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Audits" sheetId="2" state="visible" r:id="rId4"/>
    <sheet name="Rubric" sheetId="3" state="visible" r:id="rId5"/>
    <sheet name="Bands" sheetId="4" state="visible" r:id="rId6"/>
    <sheet name="Ag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<sst xmlns="http://schemas.openxmlformats.org/spreadsheetml/2006/main" count="13382" uniqueCount="3325">
  <si>
    <t xml:space="preserve">QA Audit Log</t>
  </si>
  <si>
    <t xml:space="preserve">The Power Automate flow adds one row to the Audits table for every Microsoft Forms submission.</t>
  </si>
  <si>
    <t xml:space="preserve">White columns are inputs (written by the flow). Blue columns are formulas: do not type in them.</t>
  </si>
  <si>
    <t xml:space="preserve">Rubric: change a weight there and every score updates. Weights must total 100.</t>
  </si>
  <si>
    <t xml:space="preserve">Bands: score thresholds for the band label.</t>
  </si>
  <si>
    <t xml:space="preserve">Agents: fill in agent_email and lead_email. The flow looks these up to send feedback.</t>
  </si>
  <si>
    <t xml:space="preserve">Keep the table names 'Audits' and 'Agents': the flow refers to them by name.</t>
  </si>
  <si>
    <t xml:space="preserve">audit_id</t>
  </si>
  <si>
    <t xml:space="preserve">audit_ts</t>
  </si>
  <si>
    <t xml:space="preserve">reviewer</t>
  </si>
  <si>
    <t xml:space="preserve">agent_id</t>
  </si>
  <si>
    <t xml:space="preserve">agent_name</t>
  </si>
  <si>
    <t xml:space="preserve">team</t>
  </si>
  <si>
    <t xml:space="preserve">channel</t>
  </si>
  <si>
    <t xml:space="preserve">interaction_ref</t>
  </si>
  <si>
    <t xml:space="preserve">c1_score</t>
  </si>
  <si>
    <t xml:space="preserve">c2_score</t>
  </si>
  <si>
    <t xml:space="preserve">c3_score</t>
  </si>
  <si>
    <t xml:space="preserve">c4_score</t>
  </si>
  <si>
    <t xml:space="preserve">c5_score</t>
  </si>
  <si>
    <t xml:space="preserve">c6_score</t>
  </si>
  <si>
    <t xml:space="preserve">critical_error</t>
  </si>
  <si>
    <t xml:space="preserve">flagged_issues</t>
  </si>
  <si>
    <t xml:space="preserve">feedback_sent_at</t>
  </si>
  <si>
    <t xml:space="preserve">agent_acknowledged_at</t>
  </si>
  <si>
    <t xml:space="preserve">process</t>
  </si>
  <si>
    <t xml:space="preserve">score</t>
  </si>
  <si>
    <t xml:space="preserve">band</t>
  </si>
  <si>
    <t xml:space="preserve">hours_to_feedback</t>
  </si>
  <si>
    <t xml:space="preserve">AUD70001</t>
  </si>
  <si>
    <t xml:space="preserve">QA Reviewer 3</t>
  </si>
  <si>
    <t xml:space="preserve">QA002</t>
  </si>
  <si>
    <t xml:space="preserve">Lina Karam</t>
  </si>
  <si>
    <t xml:space="preserve">After-Sales</t>
  </si>
  <si>
    <t xml:space="preserve">Chat</t>
  </si>
  <si>
    <t xml:space="preserve">CH-828119</t>
  </si>
  <si>
    <t xml:space="preserve">Changed account details before verifying identity</t>
  </si>
  <si>
    <t xml:space="preserve">Manual (spreadsheet + email)</t>
  </si>
  <si>
    <t xml:space="preserve">AUD70002</t>
  </si>
  <si>
    <t xml:space="preserve">QA Reviewer 1</t>
  </si>
  <si>
    <t xml:space="preserve">QA011</t>
  </si>
  <si>
    <t xml:space="preserve">Fadi Khoury</t>
  </si>
  <si>
    <t xml:space="preserve">Call</t>
  </si>
  <si>
    <t xml:space="preserve">CA-120902</t>
  </si>
  <si>
    <t xml:space="preserve">Escalated without full notes</t>
  </si>
  <si>
    <t xml:space="preserve">AUD70003</t>
  </si>
  <si>
    <t xml:space="preserve">QA019</t>
  </si>
  <si>
    <t xml:space="preserve">Walid Chami</t>
  </si>
  <si>
    <t xml:space="preserve">CA-452284</t>
  </si>
  <si>
    <t xml:space="preserve">No follow-up after promising a callback</t>
  </si>
  <si>
    <t xml:space="preserve">AUD70004</t>
  </si>
  <si>
    <t xml:space="preserve">QA033</t>
  </si>
  <si>
    <t xml:space="preserve">Majd Rizk</t>
  </si>
  <si>
    <t xml:space="preserve">Card Services</t>
  </si>
  <si>
    <t xml:space="preserve">Ticket</t>
  </si>
  <si>
    <t xml:space="preserve">TI-407213</t>
  </si>
  <si>
    <t xml:space="preserve">Skipped a step in the SOP</t>
  </si>
  <si>
    <t xml:space="preserve">AUD70005</t>
  </si>
  <si>
    <t xml:space="preserve">QA038</t>
  </si>
  <si>
    <t xml:space="preserve">Aya Aoun</t>
  </si>
  <si>
    <t xml:space="preserve">CA-896928</t>
  </si>
  <si>
    <t xml:space="preserve">No follow-up after promising a callback; Changed account details before verifying identity</t>
  </si>
  <si>
    <t xml:space="preserve">AUD70006</t>
  </si>
  <si>
    <t xml:space="preserve">QA024</t>
  </si>
  <si>
    <t xml:space="preserve">Joelle Daher</t>
  </si>
  <si>
    <t xml:space="preserve">Agent Support</t>
  </si>
  <si>
    <t xml:space="preserve">CA-807346</t>
  </si>
  <si>
    <t xml:space="preserve">AUD70007</t>
  </si>
  <si>
    <t xml:space="preserve">QA Reviewer 2</t>
  </si>
  <si>
    <t xml:space="preserve">QA026</t>
  </si>
  <si>
    <t xml:space="preserve">Layal Haddad</t>
  </si>
  <si>
    <t xml:space="preserve">CA-522475</t>
  </si>
  <si>
    <t xml:space="preserve">AUD70008</t>
  </si>
  <si>
    <t xml:space="preserve">QA009</t>
  </si>
  <si>
    <t xml:space="preserve">Ziad Rizk</t>
  </si>
  <si>
    <t xml:space="preserve">CH-562546</t>
  </si>
  <si>
    <t xml:space="preserve">AUD70009</t>
  </si>
  <si>
    <t xml:space="preserve">QA012</t>
  </si>
  <si>
    <t xml:space="preserve">Dana Hamdan</t>
  </si>
  <si>
    <t xml:space="preserve">TI-310068</t>
  </si>
  <si>
    <t xml:space="preserve">AUD70010</t>
  </si>
  <si>
    <t xml:space="preserve">QA030</t>
  </si>
  <si>
    <t xml:space="preserve">Nadine Sleiman</t>
  </si>
  <si>
    <t xml:space="preserve">TI-601474</t>
  </si>
  <si>
    <t xml:space="preserve">AUD70011</t>
  </si>
  <si>
    <t xml:space="preserve">QA022</t>
  </si>
  <si>
    <t xml:space="preserve">Mira Saab</t>
  </si>
  <si>
    <t xml:space="preserve">CA-929807</t>
  </si>
  <si>
    <t xml:space="preserve">Rushed greeting / no empathy statement</t>
  </si>
  <si>
    <t xml:space="preserve">AUD70012</t>
  </si>
  <si>
    <t xml:space="preserve">QA031</t>
  </si>
  <si>
    <t xml:space="preserve">Elie Nassar</t>
  </si>
  <si>
    <t xml:space="preserve">CA-161494</t>
  </si>
  <si>
    <t xml:space="preserve">AUD70013</t>
  </si>
  <si>
    <t xml:space="preserve">CA-425727</t>
  </si>
  <si>
    <t xml:space="preserve">AUD70014</t>
  </si>
  <si>
    <t xml:space="preserve">QA008</t>
  </si>
  <si>
    <t xml:space="preserve">Rana Bitar</t>
  </si>
  <si>
    <t xml:space="preserve">CA-311126</t>
  </si>
  <si>
    <t xml:space="preserve">AUD70015</t>
  </si>
  <si>
    <t xml:space="preserve">QA007</t>
  </si>
  <si>
    <t xml:space="preserve">Hadi Najjar</t>
  </si>
  <si>
    <t xml:space="preserve">TI-213894</t>
  </si>
  <si>
    <t xml:space="preserve">Gave wrong fee / timing information</t>
  </si>
  <si>
    <t xml:space="preserve">AUD70016</t>
  </si>
  <si>
    <t xml:space="preserve">QA029</t>
  </si>
  <si>
    <t xml:space="preserve">Ali Haddad</t>
  </si>
  <si>
    <t xml:space="preserve">CA-556230</t>
  </si>
  <si>
    <t xml:space="preserve">AUD70017</t>
  </si>
  <si>
    <t xml:space="preserve">TI-142965</t>
  </si>
  <si>
    <t xml:space="preserve">AUD70018</t>
  </si>
  <si>
    <t xml:space="preserve">QA015</t>
  </si>
  <si>
    <t xml:space="preserve">Samir Karam</t>
  </si>
  <si>
    <t xml:space="preserve">CA-343408</t>
  </si>
  <si>
    <t xml:space="preserve">AUD70019</t>
  </si>
  <si>
    <t xml:space="preserve">QA018</t>
  </si>
  <si>
    <t xml:space="preserve">Rita Hajj</t>
  </si>
  <si>
    <t xml:space="preserve">CA-220529</t>
  </si>
  <si>
    <t xml:space="preserve">AUD70020</t>
  </si>
  <si>
    <t xml:space="preserve">QA004</t>
  </si>
  <si>
    <t xml:space="preserve">Maya Nassar</t>
  </si>
  <si>
    <t xml:space="preserve">CA-796617</t>
  </si>
  <si>
    <t xml:space="preserve">AUD70021</t>
  </si>
  <si>
    <t xml:space="preserve">CA-775183</t>
  </si>
  <si>
    <t xml:space="preserve">AUD70022</t>
  </si>
  <si>
    <t xml:space="preserve">QA040</t>
  </si>
  <si>
    <t xml:space="preserve">Zeina Daher</t>
  </si>
  <si>
    <t xml:space="preserve">TI-389398</t>
  </si>
  <si>
    <t xml:space="preserve">Escalated without full notes; Changed account details before verifying identity</t>
  </si>
  <si>
    <t xml:space="preserve">AUD70023</t>
  </si>
  <si>
    <t xml:space="preserve">CA-514324</t>
  </si>
  <si>
    <t xml:space="preserve">No follow-up after promising a callback; Gave wrong fee / timing information</t>
  </si>
  <si>
    <t xml:space="preserve">AUD70024</t>
  </si>
  <si>
    <t xml:space="preserve">QA001</t>
  </si>
  <si>
    <t xml:space="preserve">Rami Yazbek</t>
  </si>
  <si>
    <t xml:space="preserve">TI-965102</t>
  </si>
  <si>
    <t xml:space="preserve">AUD70025</t>
  </si>
  <si>
    <t xml:space="preserve">QA025</t>
  </si>
  <si>
    <t xml:space="preserve">Sami Fares</t>
  </si>
  <si>
    <t xml:space="preserve">CA-100621</t>
  </si>
  <si>
    <t xml:space="preserve">AUD70026</t>
  </si>
  <si>
    <t xml:space="preserve">CA-459790</t>
  </si>
  <si>
    <t xml:space="preserve">AUD70027</t>
  </si>
  <si>
    <t xml:space="preserve">CA-239519</t>
  </si>
  <si>
    <t xml:space="preserve">AUD70028</t>
  </si>
  <si>
    <t xml:space="preserve">QA010</t>
  </si>
  <si>
    <t xml:space="preserve">Sara Chami</t>
  </si>
  <si>
    <t xml:space="preserve">CA-726074</t>
  </si>
  <si>
    <t xml:space="preserve">AUD70029</t>
  </si>
  <si>
    <t xml:space="preserve">CA-156940</t>
  </si>
  <si>
    <t xml:space="preserve">AUD70030</t>
  </si>
  <si>
    <t xml:space="preserve">QA020</t>
  </si>
  <si>
    <t xml:space="preserve">Lara Karam</t>
  </si>
  <si>
    <t xml:space="preserve">CA-435171</t>
  </si>
  <si>
    <t xml:space="preserve">AUD70031</t>
  </si>
  <si>
    <t xml:space="preserve">QA027</t>
  </si>
  <si>
    <t xml:space="preserve">Firas Bitar</t>
  </si>
  <si>
    <t xml:space="preserve">CA-106464</t>
  </si>
  <si>
    <t xml:space="preserve">AUD70032</t>
  </si>
  <si>
    <t xml:space="preserve">CA-102503</t>
  </si>
  <si>
    <t xml:space="preserve">AUD70033</t>
  </si>
  <si>
    <t xml:space="preserve">QA003</t>
  </si>
  <si>
    <t xml:space="preserve">Karim Bitar</t>
  </si>
  <si>
    <t xml:space="preserve">CA-743304</t>
  </si>
  <si>
    <t xml:space="preserve">AUD70034</t>
  </si>
  <si>
    <t xml:space="preserve">CA-667026</t>
  </si>
  <si>
    <t xml:space="preserve">AUD70035</t>
  </si>
  <si>
    <t xml:space="preserve">QA017</t>
  </si>
  <si>
    <t xml:space="preserve">Jad Nassar</t>
  </si>
  <si>
    <t xml:space="preserve">CA-620246</t>
  </si>
  <si>
    <t xml:space="preserve">AUD70036</t>
  </si>
  <si>
    <t xml:space="preserve">CA-793310</t>
  </si>
  <si>
    <t xml:space="preserve">AUD70037</t>
  </si>
  <si>
    <t xml:space="preserve">CH-857439</t>
  </si>
  <si>
    <t xml:space="preserve">AUD70038</t>
  </si>
  <si>
    <t xml:space="preserve">CA-300335</t>
  </si>
  <si>
    <t xml:space="preserve">AUD70039</t>
  </si>
  <si>
    <t xml:space="preserve">CA-262766</t>
  </si>
  <si>
    <t xml:space="preserve">AUD70040</t>
  </si>
  <si>
    <t xml:space="preserve">TI-773574</t>
  </si>
  <si>
    <t xml:space="preserve">Rushed greeting / no empathy statement; No follow-up after promising a callback</t>
  </si>
  <si>
    <t xml:space="preserve">AUD70041</t>
  </si>
  <si>
    <t xml:space="preserve">CA-180934</t>
  </si>
  <si>
    <t xml:space="preserve">AUD70042</t>
  </si>
  <si>
    <t xml:space="preserve">CH-945298</t>
  </si>
  <si>
    <t xml:space="preserve">AUD70043</t>
  </si>
  <si>
    <t xml:space="preserve">TI-569360</t>
  </si>
  <si>
    <t xml:space="preserve">AUD70044</t>
  </si>
  <si>
    <t xml:space="preserve">CA-520956</t>
  </si>
  <si>
    <t xml:space="preserve">AUD70045</t>
  </si>
  <si>
    <t xml:space="preserve">TI-219519</t>
  </si>
  <si>
    <t xml:space="preserve">AUD70046</t>
  </si>
  <si>
    <t xml:space="preserve">CA-862077</t>
  </si>
  <si>
    <t xml:space="preserve">AUD70047</t>
  </si>
  <si>
    <t xml:space="preserve">QA037</t>
  </si>
  <si>
    <t xml:space="preserve">Rabih Sleiman</t>
  </si>
  <si>
    <t xml:space="preserve">CA-627365</t>
  </si>
  <si>
    <t xml:space="preserve">AUD70048</t>
  </si>
  <si>
    <t xml:space="preserve">QA006</t>
  </si>
  <si>
    <t xml:space="preserve">Nour Harb</t>
  </si>
  <si>
    <t xml:space="preserve">CA-805339</t>
  </si>
  <si>
    <t xml:space="preserve">AUD70049</t>
  </si>
  <si>
    <t xml:space="preserve">QA039</t>
  </si>
  <si>
    <t xml:space="preserve">Ghassan Fares</t>
  </si>
  <si>
    <t xml:space="preserve">CH-187534</t>
  </si>
  <si>
    <t xml:space="preserve">AUD70050</t>
  </si>
  <si>
    <t xml:space="preserve">TI-296763</t>
  </si>
  <si>
    <t xml:space="preserve">AUD70051</t>
  </si>
  <si>
    <t xml:space="preserve">TI-986135</t>
  </si>
  <si>
    <t xml:space="preserve">AUD70052</t>
  </si>
  <si>
    <t xml:space="preserve">TI-445583</t>
  </si>
  <si>
    <t xml:space="preserve">AUD70053</t>
  </si>
  <si>
    <t xml:space="preserve">QA016</t>
  </si>
  <si>
    <t xml:space="preserve">Hiba Khoury</t>
  </si>
  <si>
    <t xml:space="preserve">CA-428330</t>
  </si>
  <si>
    <t xml:space="preserve">AUD70054</t>
  </si>
  <si>
    <t xml:space="preserve">CH-401463</t>
  </si>
  <si>
    <t xml:space="preserve">AUD70055</t>
  </si>
  <si>
    <t xml:space="preserve">TI-389256</t>
  </si>
  <si>
    <t xml:space="preserve">AUD70056</t>
  </si>
  <si>
    <t xml:space="preserve">CA-971795</t>
  </si>
  <si>
    <t xml:space="preserve">AUD70057</t>
  </si>
  <si>
    <t xml:space="preserve">QA035</t>
  </si>
  <si>
    <t xml:space="preserve">Imad Nassar</t>
  </si>
  <si>
    <t xml:space="preserve">CA-199554</t>
  </si>
  <si>
    <t xml:space="preserve">AUD70058</t>
  </si>
  <si>
    <t xml:space="preserve">TI-774812</t>
  </si>
  <si>
    <t xml:space="preserve">AUD70059</t>
  </si>
  <si>
    <t xml:space="preserve">QA028</t>
  </si>
  <si>
    <t xml:space="preserve">Reem Khoury</t>
  </si>
  <si>
    <t xml:space="preserve">CA-844161</t>
  </si>
  <si>
    <t xml:space="preserve">AUD70060</t>
  </si>
  <si>
    <t xml:space="preserve">TI-886309</t>
  </si>
  <si>
    <t xml:space="preserve">AUD70061</t>
  </si>
  <si>
    <t xml:space="preserve">TI-948495</t>
  </si>
  <si>
    <t xml:space="preserve">AUD70062</t>
  </si>
  <si>
    <t xml:space="preserve">CA-347025</t>
  </si>
  <si>
    <t xml:space="preserve">AUD70063</t>
  </si>
  <si>
    <t xml:space="preserve">QA005</t>
  </si>
  <si>
    <t xml:space="preserve">Omar Yazbek</t>
  </si>
  <si>
    <t xml:space="preserve">TI-955659</t>
  </si>
  <si>
    <t xml:space="preserve">AUD70064</t>
  </si>
  <si>
    <t xml:space="preserve">TI-593984</t>
  </si>
  <si>
    <t xml:space="preserve">AUD70065</t>
  </si>
  <si>
    <t xml:space="preserve">CH-816367</t>
  </si>
  <si>
    <t xml:space="preserve">Rushed greeting / no empathy statement; Changed account details before verifying identity</t>
  </si>
  <si>
    <t xml:space="preserve">AUD70066</t>
  </si>
  <si>
    <t xml:space="preserve">CA-527561</t>
  </si>
  <si>
    <t xml:space="preserve">AUD70067</t>
  </si>
  <si>
    <t xml:space="preserve">CA-269041</t>
  </si>
  <si>
    <t xml:space="preserve">AUD70068</t>
  </si>
  <si>
    <t xml:space="preserve">QA036</t>
  </si>
  <si>
    <t xml:space="preserve">Celine Aoun</t>
  </si>
  <si>
    <t xml:space="preserve">CA-520743</t>
  </si>
  <si>
    <t xml:space="preserve">AUD70069</t>
  </si>
  <si>
    <t xml:space="preserve">TI-731884</t>
  </si>
  <si>
    <t xml:space="preserve">AUD70070</t>
  </si>
  <si>
    <t xml:space="preserve">CA-830380</t>
  </si>
  <si>
    <t xml:space="preserve">AUD70071</t>
  </si>
  <si>
    <t xml:space="preserve">QA013</t>
  </si>
  <si>
    <t xml:space="preserve">Tarek Saab</t>
  </si>
  <si>
    <t xml:space="preserve">CA-820638</t>
  </si>
  <si>
    <t xml:space="preserve">AUD70072</t>
  </si>
  <si>
    <t xml:space="preserve">CA-958687</t>
  </si>
  <si>
    <t xml:space="preserve">AUD70073</t>
  </si>
  <si>
    <t xml:space="preserve">QA021</t>
  </si>
  <si>
    <t xml:space="preserve">Bilal Chami</t>
  </si>
  <si>
    <t xml:space="preserve">CA-852764</t>
  </si>
  <si>
    <t xml:space="preserve">AUD70074</t>
  </si>
  <si>
    <t xml:space="preserve">TI-470278</t>
  </si>
  <si>
    <t xml:space="preserve">AUD70075</t>
  </si>
  <si>
    <t xml:space="preserve">TI-275144</t>
  </si>
  <si>
    <t xml:space="preserve">AUD70076</t>
  </si>
  <si>
    <t xml:space="preserve">TI-691925</t>
  </si>
  <si>
    <t xml:space="preserve">AUD70077</t>
  </si>
  <si>
    <t xml:space="preserve">CA-834675</t>
  </si>
  <si>
    <t xml:space="preserve">AUD70078</t>
  </si>
  <si>
    <t xml:space="preserve">CA-515450</t>
  </si>
  <si>
    <t xml:space="preserve">AUD70079</t>
  </si>
  <si>
    <t xml:space="preserve">TI-654023</t>
  </si>
  <si>
    <t xml:space="preserve">AUD70080</t>
  </si>
  <si>
    <t xml:space="preserve">TI-383357</t>
  </si>
  <si>
    <t xml:space="preserve">AUD70081</t>
  </si>
  <si>
    <t xml:space="preserve">CA-938957</t>
  </si>
  <si>
    <t xml:space="preserve">AUD70082</t>
  </si>
  <si>
    <t xml:space="preserve">CA-538174</t>
  </si>
  <si>
    <t xml:space="preserve">AUD70083</t>
  </si>
  <si>
    <t xml:space="preserve">TI-865133</t>
  </si>
  <si>
    <t xml:space="preserve">AUD70084</t>
  </si>
  <si>
    <t xml:space="preserve">CA-907585</t>
  </si>
  <si>
    <t xml:space="preserve">AUD70085</t>
  </si>
  <si>
    <t xml:space="preserve">CA-931183</t>
  </si>
  <si>
    <t xml:space="preserve">AUD70086</t>
  </si>
  <si>
    <t xml:space="preserve">QA023</t>
  </si>
  <si>
    <t xml:space="preserve">Nabil Yazbek</t>
  </si>
  <si>
    <t xml:space="preserve">CA-206030</t>
  </si>
  <si>
    <t xml:space="preserve">AUD70087</t>
  </si>
  <si>
    <t xml:space="preserve">TI-612535</t>
  </si>
  <si>
    <t xml:space="preserve">AUD70088</t>
  </si>
  <si>
    <t xml:space="preserve">TI-696482</t>
  </si>
  <si>
    <t xml:space="preserve">AUD70089</t>
  </si>
  <si>
    <t xml:space="preserve">CA-934199</t>
  </si>
  <si>
    <t xml:space="preserve">AUD70090</t>
  </si>
  <si>
    <t xml:space="preserve">CA-627059</t>
  </si>
  <si>
    <t xml:space="preserve">AUD70091</t>
  </si>
  <si>
    <t xml:space="preserve">TI-857316</t>
  </si>
  <si>
    <t xml:space="preserve">AUD70092</t>
  </si>
  <si>
    <t xml:space="preserve">QA014</t>
  </si>
  <si>
    <t xml:space="preserve">Yara Karam</t>
  </si>
  <si>
    <t xml:space="preserve">TI-379456</t>
  </si>
  <si>
    <t xml:space="preserve">AUD70093</t>
  </si>
  <si>
    <t xml:space="preserve">CA-858634</t>
  </si>
  <si>
    <t xml:space="preserve">Gave wrong fee / timing information; Changed account details before verifying identity</t>
  </si>
  <si>
    <t xml:space="preserve">AUD70094</t>
  </si>
  <si>
    <t xml:space="preserve">TI-271266</t>
  </si>
  <si>
    <t xml:space="preserve">AUD70095</t>
  </si>
  <si>
    <t xml:space="preserve">CA-955300</t>
  </si>
  <si>
    <t xml:space="preserve">AUD70096</t>
  </si>
  <si>
    <t xml:space="preserve">CH-634466</t>
  </si>
  <si>
    <t xml:space="preserve">AUD70097</t>
  </si>
  <si>
    <t xml:space="preserve">CH-976947</t>
  </si>
  <si>
    <t xml:space="preserve">AUD70098</t>
  </si>
  <si>
    <t xml:space="preserve">CH-553921</t>
  </si>
  <si>
    <t xml:space="preserve">AUD70099</t>
  </si>
  <si>
    <t xml:space="preserve">CA-911014</t>
  </si>
  <si>
    <t xml:space="preserve">AUD70100</t>
  </si>
  <si>
    <t xml:space="preserve">CA-427074</t>
  </si>
  <si>
    <t xml:space="preserve">AUD70101</t>
  </si>
  <si>
    <t xml:space="preserve">CA-946675</t>
  </si>
  <si>
    <t xml:space="preserve">AUD70102</t>
  </si>
  <si>
    <t xml:space="preserve">CH-297545</t>
  </si>
  <si>
    <t xml:space="preserve">AUD70103</t>
  </si>
  <si>
    <t xml:space="preserve">TI-263798</t>
  </si>
  <si>
    <t xml:space="preserve">AUD70104</t>
  </si>
  <si>
    <t xml:space="preserve">TI-566851</t>
  </si>
  <si>
    <t xml:space="preserve">AUD70105</t>
  </si>
  <si>
    <t xml:space="preserve">TI-878398</t>
  </si>
  <si>
    <t xml:space="preserve">AUD70106</t>
  </si>
  <si>
    <t xml:space="preserve">CA-566512</t>
  </si>
  <si>
    <t xml:space="preserve">AUD70107</t>
  </si>
  <si>
    <t xml:space="preserve">TI-888065</t>
  </si>
  <si>
    <t xml:space="preserve">AUD70108</t>
  </si>
  <si>
    <t xml:space="preserve">TI-101522</t>
  </si>
  <si>
    <t xml:space="preserve">AUD70109</t>
  </si>
  <si>
    <t xml:space="preserve">CA-302757</t>
  </si>
  <si>
    <t xml:space="preserve">AUD70110</t>
  </si>
  <si>
    <t xml:space="preserve">CA-831921</t>
  </si>
  <si>
    <t xml:space="preserve">AUD70111</t>
  </si>
  <si>
    <t xml:space="preserve">CH-581690</t>
  </si>
  <si>
    <t xml:space="preserve">AUD70112</t>
  </si>
  <si>
    <t xml:space="preserve">CA-987585</t>
  </si>
  <si>
    <t xml:space="preserve">AUD70113</t>
  </si>
  <si>
    <t xml:space="preserve">CH-775634</t>
  </si>
  <si>
    <t xml:space="preserve">AUD70114</t>
  </si>
  <si>
    <t xml:space="preserve">CA-440205</t>
  </si>
  <si>
    <t xml:space="preserve">AUD70115</t>
  </si>
  <si>
    <t xml:space="preserve">CA-943100</t>
  </si>
  <si>
    <t xml:space="preserve">AUD70116</t>
  </si>
  <si>
    <t xml:space="preserve">TI-825881</t>
  </si>
  <si>
    <t xml:space="preserve">AUD70117</t>
  </si>
  <si>
    <t xml:space="preserve">CA-524873</t>
  </si>
  <si>
    <t xml:space="preserve">AUD70118</t>
  </si>
  <si>
    <t xml:space="preserve">TI-835362</t>
  </si>
  <si>
    <t xml:space="preserve">AUD70119</t>
  </si>
  <si>
    <t xml:space="preserve">CA-812452</t>
  </si>
  <si>
    <t xml:space="preserve">AUD70120</t>
  </si>
  <si>
    <t xml:space="preserve">QA034</t>
  </si>
  <si>
    <t xml:space="preserve">Tala Bitar</t>
  </si>
  <si>
    <t xml:space="preserve">TI-252072</t>
  </si>
  <si>
    <t xml:space="preserve">AUD70121</t>
  </si>
  <si>
    <t xml:space="preserve">TI-204061</t>
  </si>
  <si>
    <t xml:space="preserve">Skipped a step in the SOP; Gave wrong fee / timing information</t>
  </si>
  <si>
    <t xml:space="preserve">AUD70122</t>
  </si>
  <si>
    <t xml:space="preserve">TI-611169</t>
  </si>
  <si>
    <t xml:space="preserve">AUD70123</t>
  </si>
  <si>
    <t xml:space="preserve">TI-235733</t>
  </si>
  <si>
    <t xml:space="preserve">AUD70124</t>
  </si>
  <si>
    <t xml:space="preserve">CA-122756</t>
  </si>
  <si>
    <t xml:space="preserve">AUD70125</t>
  </si>
  <si>
    <t xml:space="preserve">CA-560735</t>
  </si>
  <si>
    <t xml:space="preserve">AUD70126</t>
  </si>
  <si>
    <t xml:space="preserve">CA-295212</t>
  </si>
  <si>
    <t xml:space="preserve">AUD70127</t>
  </si>
  <si>
    <t xml:space="preserve">CA-146336</t>
  </si>
  <si>
    <t xml:space="preserve">AUD70128</t>
  </si>
  <si>
    <t xml:space="preserve">TI-327281</t>
  </si>
  <si>
    <t xml:space="preserve">AUD70129</t>
  </si>
  <si>
    <t xml:space="preserve">TI-308674</t>
  </si>
  <si>
    <t xml:space="preserve">AUD70130</t>
  </si>
  <si>
    <t xml:space="preserve">TI-415271</t>
  </si>
  <si>
    <t xml:space="preserve">AUD70131</t>
  </si>
  <si>
    <t xml:space="preserve">CH-356795</t>
  </si>
  <si>
    <t xml:space="preserve">AUD70132</t>
  </si>
  <si>
    <t xml:space="preserve">TI-602211</t>
  </si>
  <si>
    <t xml:space="preserve">AUD70133</t>
  </si>
  <si>
    <t xml:space="preserve">CH-507589</t>
  </si>
  <si>
    <t xml:space="preserve">AUD70134</t>
  </si>
  <si>
    <t xml:space="preserve">TI-845864</t>
  </si>
  <si>
    <t xml:space="preserve">AUD70135</t>
  </si>
  <si>
    <t xml:space="preserve">TI-999012</t>
  </si>
  <si>
    <t xml:space="preserve">AUD70136</t>
  </si>
  <si>
    <t xml:space="preserve">CA-585926</t>
  </si>
  <si>
    <t xml:space="preserve">AUD70137</t>
  </si>
  <si>
    <t xml:space="preserve">TI-667431</t>
  </si>
  <si>
    <t xml:space="preserve">AUD70138</t>
  </si>
  <si>
    <t xml:space="preserve">CH-507331</t>
  </si>
  <si>
    <t xml:space="preserve">AUD70139</t>
  </si>
  <si>
    <t xml:space="preserve">CA-195495</t>
  </si>
  <si>
    <t xml:space="preserve">AUD70140</t>
  </si>
  <si>
    <t xml:space="preserve">TI-436441</t>
  </si>
  <si>
    <t xml:space="preserve">AUD70141</t>
  </si>
  <si>
    <t xml:space="preserve">TI-620475</t>
  </si>
  <si>
    <t xml:space="preserve">AUD70142</t>
  </si>
  <si>
    <t xml:space="preserve">TI-822268</t>
  </si>
  <si>
    <t xml:space="preserve">AUD70143</t>
  </si>
  <si>
    <t xml:space="preserve">CA-819605</t>
  </si>
  <si>
    <t xml:space="preserve">AUD70144</t>
  </si>
  <si>
    <t xml:space="preserve">CA-937908</t>
  </si>
  <si>
    <t xml:space="preserve">AUD70145</t>
  </si>
  <si>
    <t xml:space="preserve">TI-620617</t>
  </si>
  <si>
    <t xml:space="preserve">AUD70146</t>
  </si>
  <si>
    <t xml:space="preserve">CA-867483</t>
  </si>
  <si>
    <t xml:space="preserve">AUD70147</t>
  </si>
  <si>
    <t xml:space="preserve">TI-492295</t>
  </si>
  <si>
    <t xml:space="preserve">AUD70148</t>
  </si>
  <si>
    <t xml:space="preserve">TI-159250</t>
  </si>
  <si>
    <t xml:space="preserve">AUD70149</t>
  </si>
  <si>
    <t xml:space="preserve">TI-573982</t>
  </si>
  <si>
    <t xml:space="preserve">AUD70150</t>
  </si>
  <si>
    <t xml:space="preserve">CA-658458</t>
  </si>
  <si>
    <t xml:space="preserve">AUD70151</t>
  </si>
  <si>
    <t xml:space="preserve">CA-674320</t>
  </si>
  <si>
    <t xml:space="preserve">AUD70152</t>
  </si>
  <si>
    <t xml:space="preserve">TI-202523</t>
  </si>
  <si>
    <t xml:space="preserve">AUD70153</t>
  </si>
  <si>
    <t xml:space="preserve">CH-943681</t>
  </si>
  <si>
    <t xml:space="preserve">AUD70154</t>
  </si>
  <si>
    <t xml:space="preserve">TI-219797</t>
  </si>
  <si>
    <t xml:space="preserve">Skipped a step in the SOP; Changed account details before verifying identity</t>
  </si>
  <si>
    <t xml:space="preserve">AUD70155</t>
  </si>
  <si>
    <t xml:space="preserve">TI-716011</t>
  </si>
  <si>
    <t xml:space="preserve">AUD70156</t>
  </si>
  <si>
    <t xml:space="preserve">CH-370181</t>
  </si>
  <si>
    <t xml:space="preserve">AUD70157</t>
  </si>
  <si>
    <t xml:space="preserve">TI-525995</t>
  </si>
  <si>
    <t xml:space="preserve">AUD70158</t>
  </si>
  <si>
    <t xml:space="preserve">TI-235847</t>
  </si>
  <si>
    <t xml:space="preserve">AUD70159</t>
  </si>
  <si>
    <t xml:space="preserve">TI-880835</t>
  </si>
  <si>
    <t xml:space="preserve">AUD70160</t>
  </si>
  <si>
    <t xml:space="preserve">CA-111350</t>
  </si>
  <si>
    <t xml:space="preserve">AUD70161</t>
  </si>
  <si>
    <t xml:space="preserve">TI-273652</t>
  </si>
  <si>
    <t xml:space="preserve">AUD70162</t>
  </si>
  <si>
    <t xml:space="preserve">CA-902745</t>
  </si>
  <si>
    <t xml:space="preserve">AUD70163</t>
  </si>
  <si>
    <t xml:space="preserve">TI-105178</t>
  </si>
  <si>
    <t xml:space="preserve">AUD70164</t>
  </si>
  <si>
    <t xml:space="preserve">TI-526338</t>
  </si>
  <si>
    <t xml:space="preserve">AUD70165</t>
  </si>
  <si>
    <t xml:space="preserve">CA-152526</t>
  </si>
  <si>
    <t xml:space="preserve">AUD70166</t>
  </si>
  <si>
    <t xml:space="preserve">TI-888311</t>
  </si>
  <si>
    <t xml:space="preserve">AUD70167</t>
  </si>
  <si>
    <t xml:space="preserve">CA-356472</t>
  </si>
  <si>
    <t xml:space="preserve">AUD70168</t>
  </si>
  <si>
    <t xml:space="preserve">TI-435724</t>
  </si>
  <si>
    <t xml:space="preserve">AUD70169</t>
  </si>
  <si>
    <t xml:space="preserve">TI-509484</t>
  </si>
  <si>
    <t xml:space="preserve">AUD70170</t>
  </si>
  <si>
    <t xml:space="preserve">TI-209893</t>
  </si>
  <si>
    <t xml:space="preserve">AUD70171</t>
  </si>
  <si>
    <t xml:space="preserve">TI-396213</t>
  </si>
  <si>
    <t xml:space="preserve">AUD70172</t>
  </si>
  <si>
    <t xml:space="preserve">CH-518323</t>
  </si>
  <si>
    <t xml:space="preserve">AUD70173</t>
  </si>
  <si>
    <t xml:space="preserve">TI-779192</t>
  </si>
  <si>
    <t xml:space="preserve">AUD70174</t>
  </si>
  <si>
    <t xml:space="preserve">CA-263558</t>
  </si>
  <si>
    <t xml:space="preserve">AUD70175</t>
  </si>
  <si>
    <t xml:space="preserve">CH-630704</t>
  </si>
  <si>
    <t xml:space="preserve">AUD70176</t>
  </si>
  <si>
    <t xml:space="preserve">CH-126667</t>
  </si>
  <si>
    <t xml:space="preserve">AUD70177</t>
  </si>
  <si>
    <t xml:space="preserve">CA-862803</t>
  </si>
  <si>
    <t xml:space="preserve">AUD70178</t>
  </si>
  <si>
    <t xml:space="preserve">QA032</t>
  </si>
  <si>
    <t xml:space="preserve">Hala Rizk</t>
  </si>
  <si>
    <t xml:space="preserve">CA-380122</t>
  </si>
  <si>
    <t xml:space="preserve">AUD70179</t>
  </si>
  <si>
    <t xml:space="preserve">TI-330549</t>
  </si>
  <si>
    <t xml:space="preserve">AUD70180</t>
  </si>
  <si>
    <t xml:space="preserve">CA-179474</t>
  </si>
  <si>
    <t xml:space="preserve">AUD70181</t>
  </si>
  <si>
    <t xml:space="preserve">CA-126821</t>
  </si>
  <si>
    <t xml:space="preserve">AUD70182</t>
  </si>
  <si>
    <t xml:space="preserve">CA-332516</t>
  </si>
  <si>
    <t xml:space="preserve">AUD70183</t>
  </si>
  <si>
    <t xml:space="preserve">TI-724499</t>
  </si>
  <si>
    <t xml:space="preserve">AUD70184</t>
  </si>
  <si>
    <t xml:space="preserve">TI-459059</t>
  </si>
  <si>
    <t xml:space="preserve">AUD70185</t>
  </si>
  <si>
    <t xml:space="preserve">TI-696019</t>
  </si>
  <si>
    <t xml:space="preserve">AUD70186</t>
  </si>
  <si>
    <t xml:space="preserve">CA-695452</t>
  </si>
  <si>
    <t xml:space="preserve">AUD70187</t>
  </si>
  <si>
    <t xml:space="preserve">CA-750765</t>
  </si>
  <si>
    <t xml:space="preserve">AUD70188</t>
  </si>
  <si>
    <t xml:space="preserve">TI-636122</t>
  </si>
  <si>
    <t xml:space="preserve">AUD70189</t>
  </si>
  <si>
    <t xml:space="preserve">CA-203769</t>
  </si>
  <si>
    <t xml:space="preserve">AUD70190</t>
  </si>
  <si>
    <t xml:space="preserve">CA-976792</t>
  </si>
  <si>
    <t xml:space="preserve">AUD70191</t>
  </si>
  <si>
    <t xml:space="preserve">CA-900702</t>
  </si>
  <si>
    <t xml:space="preserve">AUD70192</t>
  </si>
  <si>
    <t xml:space="preserve">TI-593971</t>
  </si>
  <si>
    <t xml:space="preserve">AUD70193</t>
  </si>
  <si>
    <t xml:space="preserve">TI-978542</t>
  </si>
  <si>
    <t xml:space="preserve">AUD70194</t>
  </si>
  <si>
    <t xml:space="preserve">TI-325982</t>
  </si>
  <si>
    <t xml:space="preserve">AUD70195</t>
  </si>
  <si>
    <t xml:space="preserve">TI-396877</t>
  </si>
  <si>
    <t xml:space="preserve">AUD70196</t>
  </si>
  <si>
    <t xml:space="preserve">CA-642664</t>
  </si>
  <si>
    <t xml:space="preserve">AUD70197</t>
  </si>
  <si>
    <t xml:space="preserve">TI-576950</t>
  </si>
  <si>
    <t xml:space="preserve">AUD70198</t>
  </si>
  <si>
    <t xml:space="preserve">TI-421827</t>
  </si>
  <si>
    <t xml:space="preserve">AUD70199</t>
  </si>
  <si>
    <t xml:space="preserve">CH-285917</t>
  </si>
  <si>
    <t xml:space="preserve">AUD70200</t>
  </si>
  <si>
    <t xml:space="preserve">CH-937193</t>
  </si>
  <si>
    <t xml:space="preserve">AUD70201</t>
  </si>
  <si>
    <t xml:space="preserve">TI-902116</t>
  </si>
  <si>
    <t xml:space="preserve">AUD70202</t>
  </si>
  <si>
    <t xml:space="preserve">TI-969006</t>
  </si>
  <si>
    <t xml:space="preserve">AUD70203</t>
  </si>
  <si>
    <t xml:space="preserve">CA-798646</t>
  </si>
  <si>
    <t xml:space="preserve">AUD70204</t>
  </si>
  <si>
    <t xml:space="preserve">CA-111391</t>
  </si>
  <si>
    <t xml:space="preserve">AUD70205</t>
  </si>
  <si>
    <t xml:space="preserve">CA-556313</t>
  </si>
  <si>
    <t xml:space="preserve">AUD70206</t>
  </si>
  <si>
    <t xml:space="preserve">TI-617139</t>
  </si>
  <si>
    <t xml:space="preserve">AUD70207</t>
  </si>
  <si>
    <t xml:space="preserve">TI-989630</t>
  </si>
  <si>
    <t xml:space="preserve">AUD70208</t>
  </si>
  <si>
    <t xml:space="preserve">TI-398032</t>
  </si>
  <si>
    <t xml:space="preserve">AUD70209</t>
  </si>
  <si>
    <t xml:space="preserve">CA-450607</t>
  </si>
  <si>
    <t xml:space="preserve">AUD70210</t>
  </si>
  <si>
    <t xml:space="preserve">TI-203164</t>
  </si>
  <si>
    <t xml:space="preserve">AUD70211</t>
  </si>
  <si>
    <t xml:space="preserve">CA-193432</t>
  </si>
  <si>
    <t xml:space="preserve">AUD70212</t>
  </si>
  <si>
    <t xml:space="preserve">CA-507766</t>
  </si>
  <si>
    <t xml:space="preserve">AUD70213</t>
  </si>
  <si>
    <t xml:space="preserve">CH-762544</t>
  </si>
  <si>
    <t xml:space="preserve">AUD70214</t>
  </si>
  <si>
    <t xml:space="preserve">TI-533412</t>
  </si>
  <si>
    <t xml:space="preserve">AUD70215</t>
  </si>
  <si>
    <t xml:space="preserve">CA-650944</t>
  </si>
  <si>
    <t xml:space="preserve">AUD70216</t>
  </si>
  <si>
    <t xml:space="preserve">CA-166922</t>
  </si>
  <si>
    <t xml:space="preserve">AUD70217</t>
  </si>
  <si>
    <t xml:space="preserve">TI-404460</t>
  </si>
  <si>
    <t xml:space="preserve">AUD70218</t>
  </si>
  <si>
    <t xml:space="preserve">CA-430581</t>
  </si>
  <si>
    <t xml:space="preserve">AUD70219</t>
  </si>
  <si>
    <t xml:space="preserve">TI-355594</t>
  </si>
  <si>
    <t xml:space="preserve">AUD70220</t>
  </si>
  <si>
    <t xml:space="preserve">CA-968014</t>
  </si>
  <si>
    <t xml:space="preserve">AUD70221</t>
  </si>
  <si>
    <t xml:space="preserve">TI-750959</t>
  </si>
  <si>
    <t xml:space="preserve">AUD70222</t>
  </si>
  <si>
    <t xml:space="preserve">CA-131475</t>
  </si>
  <si>
    <t xml:space="preserve">AUD70223</t>
  </si>
  <si>
    <t xml:space="preserve">TI-370527</t>
  </si>
  <si>
    <t xml:space="preserve">AUD70224</t>
  </si>
  <si>
    <t xml:space="preserve">CH-357898</t>
  </si>
  <si>
    <t xml:space="preserve">AUD70225</t>
  </si>
  <si>
    <t xml:space="preserve">TI-445085</t>
  </si>
  <si>
    <t xml:space="preserve">AUD70226</t>
  </si>
  <si>
    <t xml:space="preserve">CA-893128</t>
  </si>
  <si>
    <t xml:space="preserve">AUD70227</t>
  </si>
  <si>
    <t xml:space="preserve">CA-600618</t>
  </si>
  <si>
    <t xml:space="preserve">AUD70228</t>
  </si>
  <si>
    <t xml:space="preserve">CA-755838</t>
  </si>
  <si>
    <t xml:space="preserve">AUD70229</t>
  </si>
  <si>
    <t xml:space="preserve">CA-549810</t>
  </si>
  <si>
    <t xml:space="preserve">AUD70230</t>
  </si>
  <si>
    <t xml:space="preserve">CA-618980</t>
  </si>
  <si>
    <t xml:space="preserve">AUD70231</t>
  </si>
  <si>
    <t xml:space="preserve">TI-922957</t>
  </si>
  <si>
    <t xml:space="preserve">AUD70232</t>
  </si>
  <si>
    <t xml:space="preserve">CA-828877</t>
  </si>
  <si>
    <t xml:space="preserve">AUD70233</t>
  </si>
  <si>
    <t xml:space="preserve">CA-487066</t>
  </si>
  <si>
    <t xml:space="preserve">AUD70234</t>
  </si>
  <si>
    <t xml:space="preserve">TI-396106</t>
  </si>
  <si>
    <t xml:space="preserve">AUD70235</t>
  </si>
  <si>
    <t xml:space="preserve">CA-447761</t>
  </si>
  <si>
    <t xml:space="preserve">AUD70236</t>
  </si>
  <si>
    <t xml:space="preserve">TI-551287</t>
  </si>
  <si>
    <t xml:space="preserve">AUD70237</t>
  </si>
  <si>
    <t xml:space="preserve">TI-531631</t>
  </si>
  <si>
    <t xml:space="preserve">AUD70238</t>
  </si>
  <si>
    <t xml:space="preserve">CH-633341</t>
  </si>
  <si>
    <t xml:space="preserve">AUD70239</t>
  </si>
  <si>
    <t xml:space="preserve">CA-727573</t>
  </si>
  <si>
    <t xml:space="preserve">AUD70240</t>
  </si>
  <si>
    <t xml:space="preserve">TI-414329</t>
  </si>
  <si>
    <t xml:space="preserve">AUD70241</t>
  </si>
  <si>
    <t xml:space="preserve">CH-685016</t>
  </si>
  <si>
    <t xml:space="preserve">AUD70242</t>
  </si>
  <si>
    <t xml:space="preserve">TI-734032</t>
  </si>
  <si>
    <t xml:space="preserve">AUD70243</t>
  </si>
  <si>
    <t xml:space="preserve">TI-868154</t>
  </si>
  <si>
    <t xml:space="preserve">AUD70244</t>
  </si>
  <si>
    <t xml:space="preserve">CA-343936</t>
  </si>
  <si>
    <t xml:space="preserve">AUD70245</t>
  </si>
  <si>
    <t xml:space="preserve">TI-892067</t>
  </si>
  <si>
    <t xml:space="preserve">AUD70246</t>
  </si>
  <si>
    <t xml:space="preserve">TI-910078</t>
  </si>
  <si>
    <t xml:space="preserve">AUD70247</t>
  </si>
  <si>
    <t xml:space="preserve">CA-478072</t>
  </si>
  <si>
    <t xml:space="preserve">AUD70248</t>
  </si>
  <si>
    <t xml:space="preserve">CA-963897</t>
  </si>
  <si>
    <t xml:space="preserve">AUD70249</t>
  </si>
  <si>
    <t xml:space="preserve">CA-426676</t>
  </si>
  <si>
    <t xml:space="preserve">AUD70250</t>
  </si>
  <si>
    <t xml:space="preserve">TI-624498</t>
  </si>
  <si>
    <t xml:space="preserve">AUD70251</t>
  </si>
  <si>
    <t xml:space="preserve">CA-127283</t>
  </si>
  <si>
    <t xml:space="preserve">AUD70252</t>
  </si>
  <si>
    <t xml:space="preserve">TI-565652</t>
  </si>
  <si>
    <t xml:space="preserve">AUD70253</t>
  </si>
  <si>
    <t xml:space="preserve">CA-911064</t>
  </si>
  <si>
    <t xml:space="preserve">AUD70254</t>
  </si>
  <si>
    <t xml:space="preserve">TI-390064</t>
  </si>
  <si>
    <t xml:space="preserve">AUD70255</t>
  </si>
  <si>
    <t xml:space="preserve">CA-536402</t>
  </si>
  <si>
    <t xml:space="preserve">AUD70256</t>
  </si>
  <si>
    <t xml:space="preserve">CA-574811</t>
  </si>
  <si>
    <t xml:space="preserve">AUD70257</t>
  </si>
  <si>
    <t xml:space="preserve">TI-541388</t>
  </si>
  <si>
    <t xml:space="preserve">AUD70258</t>
  </si>
  <si>
    <t xml:space="preserve">CA-924799</t>
  </si>
  <si>
    <t xml:space="preserve">AUD70259</t>
  </si>
  <si>
    <t xml:space="preserve">CA-319015</t>
  </si>
  <si>
    <t xml:space="preserve">AUD70260</t>
  </si>
  <si>
    <t xml:space="preserve">TI-711342</t>
  </si>
  <si>
    <t xml:space="preserve">AUD70261</t>
  </si>
  <si>
    <t xml:space="preserve">TI-744012</t>
  </si>
  <si>
    <t xml:space="preserve">AUD70262</t>
  </si>
  <si>
    <t xml:space="preserve">CA-346803</t>
  </si>
  <si>
    <t xml:space="preserve">AUD70263</t>
  </si>
  <si>
    <t xml:space="preserve">CA-201049</t>
  </si>
  <si>
    <t xml:space="preserve">AUD70264</t>
  </si>
  <si>
    <t xml:space="preserve">TI-405783</t>
  </si>
  <si>
    <t xml:space="preserve">AUD70265</t>
  </si>
  <si>
    <t xml:space="preserve">CA-103842</t>
  </si>
  <si>
    <t xml:space="preserve">AUD70266</t>
  </si>
  <si>
    <t xml:space="preserve">TI-911610</t>
  </si>
  <si>
    <t xml:space="preserve">AUD70267</t>
  </si>
  <si>
    <t xml:space="preserve">CH-370163</t>
  </si>
  <si>
    <t xml:space="preserve">AUD70268</t>
  </si>
  <si>
    <t xml:space="preserve">CA-476889</t>
  </si>
  <si>
    <t xml:space="preserve">AUD70269</t>
  </si>
  <si>
    <t xml:space="preserve">TI-221494</t>
  </si>
  <si>
    <t xml:space="preserve">AUD70270</t>
  </si>
  <si>
    <t xml:space="preserve">TI-487776</t>
  </si>
  <si>
    <t xml:space="preserve">AUD70271</t>
  </si>
  <si>
    <t xml:space="preserve">TI-419463</t>
  </si>
  <si>
    <t xml:space="preserve">AUD70272</t>
  </si>
  <si>
    <t xml:space="preserve">TI-177292</t>
  </si>
  <si>
    <t xml:space="preserve">AUD70273</t>
  </si>
  <si>
    <t xml:space="preserve">TI-657771</t>
  </si>
  <si>
    <t xml:space="preserve">AUD70274</t>
  </si>
  <si>
    <t xml:space="preserve">CA-702373</t>
  </si>
  <si>
    <t xml:space="preserve">AUD70275</t>
  </si>
  <si>
    <t xml:space="preserve">CH-423315</t>
  </si>
  <si>
    <t xml:space="preserve">AUD70276</t>
  </si>
  <si>
    <t xml:space="preserve">TI-613039</t>
  </si>
  <si>
    <t xml:space="preserve">AUD70277</t>
  </si>
  <si>
    <t xml:space="preserve">TI-220928</t>
  </si>
  <si>
    <t xml:space="preserve">AUD70278</t>
  </si>
  <si>
    <t xml:space="preserve">TI-845458</t>
  </si>
  <si>
    <t xml:space="preserve">AUD70279</t>
  </si>
  <si>
    <t xml:space="preserve">CH-620646</t>
  </si>
  <si>
    <t xml:space="preserve">AUD70280</t>
  </si>
  <si>
    <t xml:space="preserve">CH-894786</t>
  </si>
  <si>
    <t xml:space="preserve">AUD70281</t>
  </si>
  <si>
    <t xml:space="preserve">CH-863990</t>
  </si>
  <si>
    <t xml:space="preserve">AUD70282</t>
  </si>
  <si>
    <t xml:space="preserve">TI-102844</t>
  </si>
  <si>
    <t xml:space="preserve">AUD70283</t>
  </si>
  <si>
    <t xml:space="preserve">CA-718065</t>
  </si>
  <si>
    <t xml:space="preserve">AUD70284</t>
  </si>
  <si>
    <t xml:space="preserve">TI-148791</t>
  </si>
  <si>
    <t xml:space="preserve">AUD70285</t>
  </si>
  <si>
    <t xml:space="preserve">TI-383957</t>
  </si>
  <si>
    <t xml:space="preserve">AUD70286</t>
  </si>
  <si>
    <t xml:space="preserve">CA-319253</t>
  </si>
  <si>
    <t xml:space="preserve">AUD70287</t>
  </si>
  <si>
    <t xml:space="preserve">CA-215113</t>
  </si>
  <si>
    <t xml:space="preserve">AUD70288</t>
  </si>
  <si>
    <t xml:space="preserve">TI-190033</t>
  </si>
  <si>
    <t xml:space="preserve">AUD70289</t>
  </si>
  <si>
    <t xml:space="preserve">CA-266007</t>
  </si>
  <si>
    <t xml:space="preserve">AUD70290</t>
  </si>
  <si>
    <t xml:space="preserve">CA-198632</t>
  </si>
  <si>
    <t xml:space="preserve">AUD70291</t>
  </si>
  <si>
    <t xml:space="preserve">CA-378428</t>
  </si>
  <si>
    <t xml:space="preserve">AUD70292</t>
  </si>
  <si>
    <t xml:space="preserve">TI-581193</t>
  </si>
  <si>
    <t xml:space="preserve">AUD70293</t>
  </si>
  <si>
    <t xml:space="preserve">TI-326134</t>
  </si>
  <si>
    <t xml:space="preserve">AUD70294</t>
  </si>
  <si>
    <t xml:space="preserve">TI-204438</t>
  </si>
  <si>
    <t xml:space="preserve">AUD70295</t>
  </si>
  <si>
    <t xml:space="preserve">TI-274835</t>
  </si>
  <si>
    <t xml:space="preserve">AUD70296</t>
  </si>
  <si>
    <t xml:space="preserve">CA-117057</t>
  </si>
  <si>
    <t xml:space="preserve">AUD70297</t>
  </si>
  <si>
    <t xml:space="preserve">CH-510355</t>
  </si>
  <si>
    <t xml:space="preserve">AUD70298</t>
  </si>
  <si>
    <t xml:space="preserve">CA-425007</t>
  </si>
  <si>
    <t xml:space="preserve">AUD70299</t>
  </si>
  <si>
    <t xml:space="preserve">CA-713932</t>
  </si>
  <si>
    <t xml:space="preserve">AUD70300</t>
  </si>
  <si>
    <t xml:space="preserve">CA-524955</t>
  </si>
  <si>
    <t xml:space="preserve">AUD70301</t>
  </si>
  <si>
    <t xml:space="preserve">CH-698670</t>
  </si>
  <si>
    <t xml:space="preserve">AUD70302</t>
  </si>
  <si>
    <t xml:space="preserve">TI-557451</t>
  </si>
  <si>
    <t xml:space="preserve">AUD70303</t>
  </si>
  <si>
    <t xml:space="preserve">TI-772693</t>
  </si>
  <si>
    <t xml:space="preserve">AUD70304</t>
  </si>
  <si>
    <t xml:space="preserve">CA-396229</t>
  </si>
  <si>
    <t xml:space="preserve">AUD70305</t>
  </si>
  <si>
    <t xml:space="preserve">CA-272388</t>
  </si>
  <si>
    <t xml:space="preserve">AUD70306</t>
  </si>
  <si>
    <t xml:space="preserve">TI-962883</t>
  </si>
  <si>
    <t xml:space="preserve">AUD70307</t>
  </si>
  <si>
    <t xml:space="preserve">TI-405660</t>
  </si>
  <si>
    <t xml:space="preserve">AUD70308</t>
  </si>
  <si>
    <t xml:space="preserve">TI-915229</t>
  </si>
  <si>
    <t xml:space="preserve">AUD70309</t>
  </si>
  <si>
    <t xml:space="preserve">CH-969762</t>
  </si>
  <si>
    <t xml:space="preserve">AUD70310</t>
  </si>
  <si>
    <t xml:space="preserve">CA-828312</t>
  </si>
  <si>
    <t xml:space="preserve">AUD70311</t>
  </si>
  <si>
    <t xml:space="preserve">TI-557484</t>
  </si>
  <si>
    <t xml:space="preserve">AUD70312</t>
  </si>
  <si>
    <t xml:space="preserve">TI-403669</t>
  </si>
  <si>
    <t xml:space="preserve">AUD70313</t>
  </si>
  <si>
    <t xml:space="preserve">CA-221062</t>
  </si>
  <si>
    <t xml:space="preserve">AUD70314</t>
  </si>
  <si>
    <t xml:space="preserve">CA-292057</t>
  </si>
  <si>
    <t xml:space="preserve">AUD70315</t>
  </si>
  <si>
    <t xml:space="preserve">TI-329891</t>
  </si>
  <si>
    <t xml:space="preserve">AUD70316</t>
  </si>
  <si>
    <t xml:space="preserve">TI-346806</t>
  </si>
  <si>
    <t xml:space="preserve">AUD70317</t>
  </si>
  <si>
    <t xml:space="preserve">CA-450467</t>
  </si>
  <si>
    <t xml:space="preserve">AUD70318</t>
  </si>
  <si>
    <t xml:space="preserve">CH-923832</t>
  </si>
  <si>
    <t xml:space="preserve">AUD70319</t>
  </si>
  <si>
    <t xml:space="preserve">CH-256527</t>
  </si>
  <si>
    <t xml:space="preserve">AUD70320</t>
  </si>
  <si>
    <t xml:space="preserve">CH-613222</t>
  </si>
  <si>
    <t xml:space="preserve">AUD70321</t>
  </si>
  <si>
    <t xml:space="preserve">CA-950591</t>
  </si>
  <si>
    <t xml:space="preserve">AUD70322</t>
  </si>
  <si>
    <t xml:space="preserve">TI-714373</t>
  </si>
  <si>
    <t xml:space="preserve">AUD70323</t>
  </si>
  <si>
    <t xml:space="preserve">TI-403441</t>
  </si>
  <si>
    <t xml:space="preserve">AUD70324</t>
  </si>
  <si>
    <t xml:space="preserve">TI-821325</t>
  </si>
  <si>
    <t xml:space="preserve">AUD70325</t>
  </si>
  <si>
    <t xml:space="preserve">CA-186868</t>
  </si>
  <si>
    <t xml:space="preserve">AUD70326</t>
  </si>
  <si>
    <t xml:space="preserve">CA-986258</t>
  </si>
  <si>
    <t xml:space="preserve">AUD70327</t>
  </si>
  <si>
    <t xml:space="preserve">CA-902161</t>
  </si>
  <si>
    <t xml:space="preserve">AUD70328</t>
  </si>
  <si>
    <t xml:space="preserve">CA-624054</t>
  </si>
  <si>
    <t xml:space="preserve">AUD70329</t>
  </si>
  <si>
    <t xml:space="preserve">TI-230141</t>
  </si>
  <si>
    <t xml:space="preserve">AUD70330</t>
  </si>
  <si>
    <t xml:space="preserve">TI-510910</t>
  </si>
  <si>
    <t xml:space="preserve">AUD70331</t>
  </si>
  <si>
    <t xml:space="preserve">TI-798316</t>
  </si>
  <si>
    <t xml:space="preserve">AUD70332</t>
  </si>
  <si>
    <t xml:space="preserve">CA-615871</t>
  </si>
  <si>
    <t xml:space="preserve">AUD70333</t>
  </si>
  <si>
    <t xml:space="preserve">CA-880727</t>
  </si>
  <si>
    <t xml:space="preserve">AUD70334</t>
  </si>
  <si>
    <t xml:space="preserve">CH-884872</t>
  </si>
  <si>
    <t xml:space="preserve">AUD70335</t>
  </si>
  <si>
    <t xml:space="preserve">CH-200583</t>
  </si>
  <si>
    <t xml:space="preserve">AUD70336</t>
  </si>
  <si>
    <t xml:space="preserve">CA-433056</t>
  </si>
  <si>
    <t xml:space="preserve">AUD70337</t>
  </si>
  <si>
    <t xml:space="preserve">TI-612254</t>
  </si>
  <si>
    <t xml:space="preserve">AUD70338</t>
  </si>
  <si>
    <t xml:space="preserve">TI-266234</t>
  </si>
  <si>
    <t xml:space="preserve">AUD70339</t>
  </si>
  <si>
    <t xml:space="preserve">CA-150164</t>
  </si>
  <si>
    <t xml:space="preserve">AUD70340</t>
  </si>
  <si>
    <t xml:space="preserve">TI-164951</t>
  </si>
  <si>
    <t xml:space="preserve">AUD70341</t>
  </si>
  <si>
    <t xml:space="preserve">TI-162847</t>
  </si>
  <si>
    <t xml:space="preserve">AUD70342</t>
  </si>
  <si>
    <t xml:space="preserve">CH-441152</t>
  </si>
  <si>
    <t xml:space="preserve">AUD70343</t>
  </si>
  <si>
    <t xml:space="preserve">CA-107447</t>
  </si>
  <si>
    <t xml:space="preserve">AUD70344</t>
  </si>
  <si>
    <t xml:space="preserve">TI-232388</t>
  </si>
  <si>
    <t xml:space="preserve">AUD70345</t>
  </si>
  <si>
    <t xml:space="preserve">TI-831272</t>
  </si>
  <si>
    <t xml:space="preserve">AUD70346</t>
  </si>
  <si>
    <t xml:space="preserve">CH-270781</t>
  </si>
  <si>
    <t xml:space="preserve">AUD70347</t>
  </si>
  <si>
    <t xml:space="preserve">CH-854387</t>
  </si>
  <si>
    <t xml:space="preserve">AUD70348</t>
  </si>
  <si>
    <t xml:space="preserve">CA-404724</t>
  </si>
  <si>
    <t xml:space="preserve">AUD70349</t>
  </si>
  <si>
    <t xml:space="preserve">TI-463077</t>
  </si>
  <si>
    <t xml:space="preserve">AUD70350</t>
  </si>
  <si>
    <t xml:space="preserve">TI-359384</t>
  </si>
  <si>
    <t xml:space="preserve">AUD70351</t>
  </si>
  <si>
    <t xml:space="preserve">TI-773732</t>
  </si>
  <si>
    <t xml:space="preserve">AUD70352</t>
  </si>
  <si>
    <t xml:space="preserve">CA-346597</t>
  </si>
  <si>
    <t xml:space="preserve">AUD70353</t>
  </si>
  <si>
    <t xml:space="preserve">CA-331388</t>
  </si>
  <si>
    <t xml:space="preserve">AUD70354</t>
  </si>
  <si>
    <t xml:space="preserve">TI-528327</t>
  </si>
  <si>
    <t xml:space="preserve">AUD70355</t>
  </si>
  <si>
    <t xml:space="preserve">TI-665588</t>
  </si>
  <si>
    <t xml:space="preserve">AUD70356</t>
  </si>
  <si>
    <t xml:space="preserve">CA-657866</t>
  </si>
  <si>
    <t xml:space="preserve">AUD70357</t>
  </si>
  <si>
    <t xml:space="preserve">TI-582553</t>
  </si>
  <si>
    <t xml:space="preserve">AUD70358</t>
  </si>
  <si>
    <t xml:space="preserve">TI-371239</t>
  </si>
  <si>
    <t xml:space="preserve">AUD70359</t>
  </si>
  <si>
    <t xml:space="preserve">CA-341968</t>
  </si>
  <si>
    <t xml:space="preserve">AUD70360</t>
  </si>
  <si>
    <t xml:space="preserve">CH-320412</t>
  </si>
  <si>
    <t xml:space="preserve">AUD70361</t>
  </si>
  <si>
    <t xml:space="preserve">TI-953969</t>
  </si>
  <si>
    <t xml:space="preserve">AUD70362</t>
  </si>
  <si>
    <t xml:space="preserve">TI-503219</t>
  </si>
  <si>
    <t xml:space="preserve">AUD70363</t>
  </si>
  <si>
    <t xml:space="preserve">TI-919257</t>
  </si>
  <si>
    <t xml:space="preserve">AUD70364</t>
  </si>
  <si>
    <t xml:space="preserve">TI-146534</t>
  </si>
  <si>
    <t xml:space="preserve">AUD70365</t>
  </si>
  <si>
    <t xml:space="preserve">CH-951881</t>
  </si>
  <si>
    <t xml:space="preserve">AUD70366</t>
  </si>
  <si>
    <t xml:space="preserve">CA-600012</t>
  </si>
  <si>
    <t xml:space="preserve">AUD70367</t>
  </si>
  <si>
    <t xml:space="preserve">CA-495319</t>
  </si>
  <si>
    <t xml:space="preserve">AUD70368</t>
  </si>
  <si>
    <t xml:space="preserve">TI-689296</t>
  </si>
  <si>
    <t xml:space="preserve">AUD70369</t>
  </si>
  <si>
    <t xml:space="preserve">CH-339969</t>
  </si>
  <si>
    <t xml:space="preserve">AUD70370</t>
  </si>
  <si>
    <t xml:space="preserve">CA-186075</t>
  </si>
  <si>
    <t xml:space="preserve">AUD70371</t>
  </si>
  <si>
    <t xml:space="preserve">CA-706327</t>
  </si>
  <si>
    <t xml:space="preserve">AUD70372</t>
  </si>
  <si>
    <t xml:space="preserve">CA-177188</t>
  </si>
  <si>
    <t xml:space="preserve">AUD70373</t>
  </si>
  <si>
    <t xml:space="preserve">TI-695919</t>
  </si>
  <si>
    <t xml:space="preserve">AUD70374</t>
  </si>
  <si>
    <t xml:space="preserve">TI-602599</t>
  </si>
  <si>
    <t xml:space="preserve">AUD70375</t>
  </si>
  <si>
    <t xml:space="preserve">CA-717034</t>
  </si>
  <si>
    <t xml:space="preserve">AUD70376</t>
  </si>
  <si>
    <t xml:space="preserve">CH-465438</t>
  </si>
  <si>
    <t xml:space="preserve">AUD70377</t>
  </si>
  <si>
    <t xml:space="preserve">CA-572097</t>
  </si>
  <si>
    <t xml:space="preserve">AUD70378</t>
  </si>
  <si>
    <t xml:space="preserve">TI-267781</t>
  </si>
  <si>
    <t xml:space="preserve">AUD70379</t>
  </si>
  <si>
    <t xml:space="preserve">CA-331288</t>
  </si>
  <si>
    <t xml:space="preserve">AUD70380</t>
  </si>
  <si>
    <t xml:space="preserve">CA-808327</t>
  </si>
  <si>
    <t xml:space="preserve">AUD70381</t>
  </si>
  <si>
    <t xml:space="preserve">TI-811057</t>
  </si>
  <si>
    <t xml:space="preserve">AUD70382</t>
  </si>
  <si>
    <t xml:space="preserve">CA-742687</t>
  </si>
  <si>
    <t xml:space="preserve">AUD70383</t>
  </si>
  <si>
    <t xml:space="preserve">TI-636409</t>
  </si>
  <si>
    <t xml:space="preserve">AUD70384</t>
  </si>
  <si>
    <t xml:space="preserve">TI-327212</t>
  </si>
  <si>
    <t xml:space="preserve">AUD70385</t>
  </si>
  <si>
    <t xml:space="preserve">TI-956972</t>
  </si>
  <si>
    <t xml:space="preserve">AUD70386</t>
  </si>
  <si>
    <t xml:space="preserve">CA-828458</t>
  </si>
  <si>
    <t xml:space="preserve">AUD70387</t>
  </si>
  <si>
    <t xml:space="preserve">TI-586373</t>
  </si>
  <si>
    <t xml:space="preserve">AUD70388</t>
  </si>
  <si>
    <t xml:space="preserve">TI-478285</t>
  </si>
  <si>
    <t xml:space="preserve">AUD70389</t>
  </si>
  <si>
    <t xml:space="preserve">CA-113649</t>
  </si>
  <si>
    <t xml:space="preserve">AUD70390</t>
  </si>
  <si>
    <t xml:space="preserve">CA-647131</t>
  </si>
  <si>
    <t xml:space="preserve">AUD70391</t>
  </si>
  <si>
    <t xml:space="preserve">TI-745604</t>
  </si>
  <si>
    <t xml:space="preserve">AUD70392</t>
  </si>
  <si>
    <t xml:space="preserve">CH-957392</t>
  </si>
  <si>
    <t xml:space="preserve">AUD70393</t>
  </si>
  <si>
    <t xml:space="preserve">CH-429433</t>
  </si>
  <si>
    <t xml:space="preserve">AUD70394</t>
  </si>
  <si>
    <t xml:space="preserve">TI-114870</t>
  </si>
  <si>
    <t xml:space="preserve">AUD70395</t>
  </si>
  <si>
    <t xml:space="preserve">TI-131455</t>
  </si>
  <si>
    <t xml:space="preserve">AUD70396</t>
  </si>
  <si>
    <t xml:space="preserve">CA-315624</t>
  </si>
  <si>
    <t xml:space="preserve">AUD70397</t>
  </si>
  <si>
    <t xml:space="preserve">CH-628613</t>
  </si>
  <si>
    <t xml:space="preserve">AUD70398</t>
  </si>
  <si>
    <t xml:space="preserve">CA-748096</t>
  </si>
  <si>
    <t xml:space="preserve">AUD70399</t>
  </si>
  <si>
    <t xml:space="preserve">CH-991385</t>
  </si>
  <si>
    <t xml:space="preserve">AUD70400</t>
  </si>
  <si>
    <t xml:space="preserve">CA-113928</t>
  </si>
  <si>
    <t xml:space="preserve">AUD70401</t>
  </si>
  <si>
    <t xml:space="preserve">TI-767949</t>
  </si>
  <si>
    <t xml:space="preserve">Rushed greeting / no empathy statement; Skipped a step in the SOP; No follow-up after promising a callback; Gave wrong fee / timing information</t>
  </si>
  <si>
    <t xml:space="preserve">AUD70402</t>
  </si>
  <si>
    <t xml:space="preserve">CH-191695</t>
  </si>
  <si>
    <t xml:space="preserve">AUD70403</t>
  </si>
  <si>
    <t xml:space="preserve">TI-412747</t>
  </si>
  <si>
    <t xml:space="preserve">AUD70404</t>
  </si>
  <si>
    <t xml:space="preserve">TI-959146</t>
  </si>
  <si>
    <t xml:space="preserve">AUD70405</t>
  </si>
  <si>
    <t xml:space="preserve">TI-644356</t>
  </si>
  <si>
    <t xml:space="preserve">AUD70406</t>
  </si>
  <si>
    <t xml:space="preserve">TI-421942</t>
  </si>
  <si>
    <t xml:space="preserve">AUD70407</t>
  </si>
  <si>
    <t xml:space="preserve">TI-551230</t>
  </si>
  <si>
    <t xml:space="preserve">AUD70408</t>
  </si>
  <si>
    <t xml:space="preserve">TI-104469</t>
  </si>
  <si>
    <t xml:space="preserve">AUD70409</t>
  </si>
  <si>
    <t xml:space="preserve">CH-974331</t>
  </si>
  <si>
    <t xml:space="preserve">AUD70410</t>
  </si>
  <si>
    <t xml:space="preserve">CA-258490</t>
  </si>
  <si>
    <t xml:space="preserve">AUD70411</t>
  </si>
  <si>
    <t xml:space="preserve">CA-327235</t>
  </si>
  <si>
    <t xml:space="preserve">AUD70412</t>
  </si>
  <si>
    <t xml:space="preserve">CA-657039</t>
  </si>
  <si>
    <t xml:space="preserve">AUD70413</t>
  </si>
  <si>
    <t xml:space="preserve">TI-133808</t>
  </si>
  <si>
    <t xml:space="preserve">AUD70414</t>
  </si>
  <si>
    <t xml:space="preserve">CA-106208</t>
  </si>
  <si>
    <t xml:space="preserve">AUD70415</t>
  </si>
  <si>
    <t xml:space="preserve">CA-388023</t>
  </si>
  <si>
    <t xml:space="preserve">AUD70416</t>
  </si>
  <si>
    <t xml:space="preserve">TI-632461</t>
  </si>
  <si>
    <t xml:space="preserve">AUD70417</t>
  </si>
  <si>
    <t xml:space="preserve">CA-936799</t>
  </si>
  <si>
    <t xml:space="preserve">AUD70418</t>
  </si>
  <si>
    <t xml:space="preserve">CA-122482</t>
  </si>
  <si>
    <t xml:space="preserve">AUD70419</t>
  </si>
  <si>
    <t xml:space="preserve">CA-125723</t>
  </si>
  <si>
    <t xml:space="preserve">AUD70420</t>
  </si>
  <si>
    <t xml:space="preserve">CA-437270</t>
  </si>
  <si>
    <t xml:space="preserve">AUD70421</t>
  </si>
  <si>
    <t xml:space="preserve">TI-609398</t>
  </si>
  <si>
    <t xml:space="preserve">AUD70422</t>
  </si>
  <si>
    <t xml:space="preserve">TI-980758</t>
  </si>
  <si>
    <t xml:space="preserve">AUD70423</t>
  </si>
  <si>
    <t xml:space="preserve">TI-505089</t>
  </si>
  <si>
    <t xml:space="preserve">AUD70424</t>
  </si>
  <si>
    <t xml:space="preserve">CA-991634</t>
  </si>
  <si>
    <t xml:space="preserve">AUD70425</t>
  </si>
  <si>
    <t xml:space="preserve">TI-390234</t>
  </si>
  <si>
    <t xml:space="preserve">AUD70426</t>
  </si>
  <si>
    <t xml:space="preserve">CA-129270</t>
  </si>
  <si>
    <t xml:space="preserve">AUD70427</t>
  </si>
  <si>
    <t xml:space="preserve">CA-355558</t>
  </si>
  <si>
    <t xml:space="preserve">AUD70428</t>
  </si>
  <si>
    <t xml:space="preserve">TI-131167</t>
  </si>
  <si>
    <t xml:space="preserve">AUD70429</t>
  </si>
  <si>
    <t xml:space="preserve">TI-764595</t>
  </si>
  <si>
    <t xml:space="preserve">AUD70430</t>
  </si>
  <si>
    <t xml:space="preserve">CA-434332</t>
  </si>
  <si>
    <t xml:space="preserve">AUD70431</t>
  </si>
  <si>
    <t xml:space="preserve">TI-225629</t>
  </si>
  <si>
    <t xml:space="preserve">AUD70432</t>
  </si>
  <si>
    <t xml:space="preserve">CH-967440</t>
  </si>
  <si>
    <t xml:space="preserve">AUD70433</t>
  </si>
  <si>
    <t xml:space="preserve">TI-580150</t>
  </si>
  <si>
    <t xml:space="preserve">AUD70434</t>
  </si>
  <si>
    <t xml:space="preserve">CA-536674</t>
  </si>
  <si>
    <t xml:space="preserve">AUD70435</t>
  </si>
  <si>
    <t xml:space="preserve">TI-851168</t>
  </si>
  <si>
    <t xml:space="preserve">AUD70436</t>
  </si>
  <si>
    <t xml:space="preserve">TI-227410</t>
  </si>
  <si>
    <t xml:space="preserve">AUD70437</t>
  </si>
  <si>
    <t xml:space="preserve">TI-937530</t>
  </si>
  <si>
    <t xml:space="preserve">AUD70438</t>
  </si>
  <si>
    <t xml:space="preserve">TI-921839</t>
  </si>
  <si>
    <t xml:space="preserve">AUD70439</t>
  </si>
  <si>
    <t xml:space="preserve">TI-705221</t>
  </si>
  <si>
    <t xml:space="preserve">AUD70440</t>
  </si>
  <si>
    <t xml:space="preserve">TI-328776</t>
  </si>
  <si>
    <t xml:space="preserve">AUD70441</t>
  </si>
  <si>
    <t xml:space="preserve">TI-605196</t>
  </si>
  <si>
    <t xml:space="preserve">AUD70442</t>
  </si>
  <si>
    <t xml:space="preserve">CA-803816</t>
  </si>
  <si>
    <t xml:space="preserve">AUD70443</t>
  </si>
  <si>
    <t xml:space="preserve">CA-621990</t>
  </si>
  <si>
    <t xml:space="preserve">AUD70444</t>
  </si>
  <si>
    <t xml:space="preserve">CA-439583</t>
  </si>
  <si>
    <t xml:space="preserve">AUD70445</t>
  </si>
  <si>
    <t xml:space="preserve">CA-473178</t>
  </si>
  <si>
    <t xml:space="preserve">AUD70446</t>
  </si>
  <si>
    <t xml:space="preserve">TI-416635</t>
  </si>
  <si>
    <t xml:space="preserve">AUD70447</t>
  </si>
  <si>
    <t xml:space="preserve">TI-519709</t>
  </si>
  <si>
    <t xml:space="preserve">AUD70448</t>
  </si>
  <si>
    <t xml:space="preserve">CH-935185</t>
  </si>
  <si>
    <t xml:space="preserve">AUD70449</t>
  </si>
  <si>
    <t xml:space="preserve">CA-587963</t>
  </si>
  <si>
    <t xml:space="preserve">AUD70450</t>
  </si>
  <si>
    <t xml:space="preserve">TI-206489</t>
  </si>
  <si>
    <t xml:space="preserve">AUD70451</t>
  </si>
  <si>
    <t xml:space="preserve">CA-535388</t>
  </si>
  <si>
    <t xml:space="preserve">AUD70452</t>
  </si>
  <si>
    <t xml:space="preserve">TI-904795</t>
  </si>
  <si>
    <t xml:space="preserve">AUD70453</t>
  </si>
  <si>
    <t xml:space="preserve">TI-580822</t>
  </si>
  <si>
    <t xml:space="preserve">AUD70454</t>
  </si>
  <si>
    <t xml:space="preserve">CA-655123</t>
  </si>
  <si>
    <t xml:space="preserve">AUD70455</t>
  </si>
  <si>
    <t xml:space="preserve">TI-862219</t>
  </si>
  <si>
    <t xml:space="preserve">AUD70456</t>
  </si>
  <si>
    <t xml:space="preserve">CA-999077</t>
  </si>
  <si>
    <t xml:space="preserve">AUD70457</t>
  </si>
  <si>
    <t xml:space="preserve">TI-149366</t>
  </si>
  <si>
    <t xml:space="preserve">AUD70458</t>
  </si>
  <si>
    <t xml:space="preserve">CA-575513</t>
  </si>
  <si>
    <t xml:space="preserve">AUD70459</t>
  </si>
  <si>
    <t xml:space="preserve">TI-163563</t>
  </si>
  <si>
    <t xml:space="preserve">AUD70460</t>
  </si>
  <si>
    <t xml:space="preserve">TI-314434</t>
  </si>
  <si>
    <t xml:space="preserve">AUD70461</t>
  </si>
  <si>
    <t xml:space="preserve">TI-669454</t>
  </si>
  <si>
    <t xml:space="preserve">AUD70462</t>
  </si>
  <si>
    <t xml:space="preserve">CH-447819</t>
  </si>
  <si>
    <t xml:space="preserve">AUD70463</t>
  </si>
  <si>
    <t xml:space="preserve">CA-873253</t>
  </si>
  <si>
    <t xml:space="preserve">AUD70464</t>
  </si>
  <si>
    <t xml:space="preserve">CA-132317</t>
  </si>
  <si>
    <t xml:space="preserve">AUD70465</t>
  </si>
  <si>
    <t xml:space="preserve">CH-883867</t>
  </si>
  <si>
    <t xml:space="preserve">AUD70466</t>
  </si>
  <si>
    <t xml:space="preserve">CA-113106</t>
  </si>
  <si>
    <t xml:space="preserve">AUD70467</t>
  </si>
  <si>
    <t xml:space="preserve">TI-592614</t>
  </si>
  <si>
    <t xml:space="preserve">AUD70468</t>
  </si>
  <si>
    <t xml:space="preserve">TI-349187</t>
  </si>
  <si>
    <t xml:space="preserve">AUD70469</t>
  </si>
  <si>
    <t xml:space="preserve">TI-523339</t>
  </si>
  <si>
    <t xml:space="preserve">AUD70470</t>
  </si>
  <si>
    <t xml:space="preserve">TI-633511</t>
  </si>
  <si>
    <t xml:space="preserve">AUD70471</t>
  </si>
  <si>
    <t xml:space="preserve">TI-955357</t>
  </si>
  <si>
    <t xml:space="preserve">AUD70472</t>
  </si>
  <si>
    <t xml:space="preserve">CA-980494</t>
  </si>
  <si>
    <t xml:space="preserve">AUD70473</t>
  </si>
  <si>
    <t xml:space="preserve">CA-965387</t>
  </si>
  <si>
    <t xml:space="preserve">AUD70474</t>
  </si>
  <si>
    <t xml:space="preserve">CH-328777</t>
  </si>
  <si>
    <t xml:space="preserve">AUD70475</t>
  </si>
  <si>
    <t xml:space="preserve">CA-191745</t>
  </si>
  <si>
    <t xml:space="preserve">AUD70476</t>
  </si>
  <si>
    <t xml:space="preserve">CA-419244</t>
  </si>
  <si>
    <t xml:space="preserve">AUD70477</t>
  </si>
  <si>
    <t xml:space="preserve">CA-914061</t>
  </si>
  <si>
    <t xml:space="preserve">AUD70478</t>
  </si>
  <si>
    <t xml:space="preserve">CA-847702</t>
  </si>
  <si>
    <t xml:space="preserve">AUD70479</t>
  </si>
  <si>
    <t xml:space="preserve">CH-335160</t>
  </si>
  <si>
    <t xml:space="preserve">AUD70480</t>
  </si>
  <si>
    <t xml:space="preserve">CA-259370</t>
  </si>
  <si>
    <t xml:space="preserve">AUD70481</t>
  </si>
  <si>
    <t xml:space="preserve">CA-952866</t>
  </si>
  <si>
    <t xml:space="preserve">AUD70482</t>
  </si>
  <si>
    <t xml:space="preserve">TI-569664</t>
  </si>
  <si>
    <t xml:space="preserve">AUD70483</t>
  </si>
  <si>
    <t xml:space="preserve">TI-275740</t>
  </si>
  <si>
    <t xml:space="preserve">AUD70484</t>
  </si>
  <si>
    <t xml:space="preserve">CA-896585</t>
  </si>
  <si>
    <t xml:space="preserve">AUD70485</t>
  </si>
  <si>
    <t xml:space="preserve">CH-461089</t>
  </si>
  <si>
    <t xml:space="preserve">AUD70486</t>
  </si>
  <si>
    <t xml:space="preserve">TI-298062</t>
  </si>
  <si>
    <t xml:space="preserve">AUD70487</t>
  </si>
  <si>
    <t xml:space="preserve">TI-608193</t>
  </si>
  <si>
    <t xml:space="preserve">AUD70488</t>
  </si>
  <si>
    <t xml:space="preserve">TI-771524</t>
  </si>
  <si>
    <t xml:space="preserve">AUD70489</t>
  </si>
  <si>
    <t xml:space="preserve">CA-700409</t>
  </si>
  <si>
    <t xml:space="preserve">AUD70490</t>
  </si>
  <si>
    <t xml:space="preserve">CA-457880</t>
  </si>
  <si>
    <t xml:space="preserve">AUD70491</t>
  </si>
  <si>
    <t xml:space="preserve">CH-224214</t>
  </si>
  <si>
    <t xml:space="preserve">AUD70492</t>
  </si>
  <si>
    <t xml:space="preserve">TI-702653</t>
  </si>
  <si>
    <t xml:space="preserve">AUD70493</t>
  </si>
  <si>
    <t xml:space="preserve">CA-615981</t>
  </si>
  <si>
    <t xml:space="preserve">AUD70494</t>
  </si>
  <si>
    <t xml:space="preserve">CA-367712</t>
  </si>
  <si>
    <t xml:space="preserve">AUD70495</t>
  </si>
  <si>
    <t xml:space="preserve">TI-851795</t>
  </si>
  <si>
    <t xml:space="preserve">AUD70496</t>
  </si>
  <si>
    <t xml:space="preserve">CA-100213</t>
  </si>
  <si>
    <t xml:space="preserve">AUD70497</t>
  </si>
  <si>
    <t xml:space="preserve">CA-724118</t>
  </si>
  <si>
    <t xml:space="preserve">AUD70498</t>
  </si>
  <si>
    <t xml:space="preserve">TI-732297</t>
  </si>
  <si>
    <t xml:space="preserve">AUD70499</t>
  </si>
  <si>
    <t xml:space="preserve">CA-575864</t>
  </si>
  <si>
    <t xml:space="preserve">AUD70500</t>
  </si>
  <si>
    <t xml:space="preserve">TI-245891</t>
  </si>
  <si>
    <t xml:space="preserve">AUD70501</t>
  </si>
  <si>
    <t xml:space="preserve">CH-244278</t>
  </si>
  <si>
    <t xml:space="preserve">AUD70502</t>
  </si>
  <si>
    <t xml:space="preserve">TI-389889</t>
  </si>
  <si>
    <t xml:space="preserve">AUD70503</t>
  </si>
  <si>
    <t xml:space="preserve">CA-868399</t>
  </si>
  <si>
    <t xml:space="preserve">AUD70504</t>
  </si>
  <si>
    <t xml:space="preserve">CA-838997</t>
  </si>
  <si>
    <t xml:space="preserve">AUD70505</t>
  </si>
  <si>
    <t xml:space="preserve">TI-214330</t>
  </si>
  <si>
    <t xml:space="preserve">AUD70506</t>
  </si>
  <si>
    <t xml:space="preserve">CH-352194</t>
  </si>
  <si>
    <t xml:space="preserve">AUD70507</t>
  </si>
  <si>
    <t xml:space="preserve">TI-611179</t>
  </si>
  <si>
    <t xml:space="preserve">AUD70508</t>
  </si>
  <si>
    <t xml:space="preserve">TI-542760</t>
  </si>
  <si>
    <t xml:space="preserve">AUD70509</t>
  </si>
  <si>
    <t xml:space="preserve">TI-129711</t>
  </si>
  <si>
    <t xml:space="preserve">AUD70510</t>
  </si>
  <si>
    <t xml:space="preserve">TI-608426</t>
  </si>
  <si>
    <t xml:space="preserve">AUD70511</t>
  </si>
  <si>
    <t xml:space="preserve">CH-674965</t>
  </si>
  <si>
    <t xml:space="preserve">AUD70512</t>
  </si>
  <si>
    <t xml:space="preserve">CA-698012</t>
  </si>
  <si>
    <t xml:space="preserve">AUD70513</t>
  </si>
  <si>
    <t xml:space="preserve">TI-494564</t>
  </si>
  <si>
    <t xml:space="preserve">AUD70514</t>
  </si>
  <si>
    <t xml:space="preserve">TI-424431</t>
  </si>
  <si>
    <t xml:space="preserve">AUD70515</t>
  </si>
  <si>
    <t xml:space="preserve">TI-289546</t>
  </si>
  <si>
    <t xml:space="preserve">AUD70516</t>
  </si>
  <si>
    <t xml:space="preserve">CA-863763</t>
  </si>
  <si>
    <t xml:space="preserve">AUD70517</t>
  </si>
  <si>
    <t xml:space="preserve">TI-289910</t>
  </si>
  <si>
    <t xml:space="preserve">AUD70518</t>
  </si>
  <si>
    <t xml:space="preserve">TI-450846</t>
  </si>
  <si>
    <t xml:space="preserve">AUD70519</t>
  </si>
  <si>
    <t xml:space="preserve">TI-550662</t>
  </si>
  <si>
    <t xml:space="preserve">AUD70520</t>
  </si>
  <si>
    <t xml:space="preserve">CA-385163</t>
  </si>
  <si>
    <t xml:space="preserve">AUD70521</t>
  </si>
  <si>
    <t xml:space="preserve">TI-301123</t>
  </si>
  <si>
    <t xml:space="preserve">AUD70522</t>
  </si>
  <si>
    <t xml:space="preserve">CA-384249</t>
  </si>
  <si>
    <t xml:space="preserve">AUD70523</t>
  </si>
  <si>
    <t xml:space="preserve">TI-754530</t>
  </si>
  <si>
    <t xml:space="preserve">AUD70524</t>
  </si>
  <si>
    <t xml:space="preserve">TI-149592</t>
  </si>
  <si>
    <t xml:space="preserve">AUD70525</t>
  </si>
  <si>
    <t xml:space="preserve">CA-709433</t>
  </si>
  <si>
    <t xml:space="preserve">AUD70526</t>
  </si>
  <si>
    <t xml:space="preserve">CA-525783</t>
  </si>
  <si>
    <t xml:space="preserve">AUD70527</t>
  </si>
  <si>
    <t xml:space="preserve">CH-297984</t>
  </si>
  <si>
    <t xml:space="preserve">AUD70528</t>
  </si>
  <si>
    <t xml:space="preserve">CH-251032</t>
  </si>
  <si>
    <t xml:space="preserve">AUD70529</t>
  </si>
  <si>
    <t xml:space="preserve">TI-987606</t>
  </si>
  <si>
    <t xml:space="preserve">AUD70530</t>
  </si>
  <si>
    <t xml:space="preserve">TI-538366</t>
  </si>
  <si>
    <t xml:space="preserve">AUD70531</t>
  </si>
  <si>
    <t xml:space="preserve">CA-368522</t>
  </si>
  <si>
    <t xml:space="preserve">AUD70532</t>
  </si>
  <si>
    <t xml:space="preserve">CA-644329</t>
  </si>
  <si>
    <t xml:space="preserve">AUD70533</t>
  </si>
  <si>
    <t xml:space="preserve">TI-997128</t>
  </si>
  <si>
    <t xml:space="preserve">AUD70534</t>
  </si>
  <si>
    <t xml:space="preserve">TI-229395</t>
  </si>
  <si>
    <t xml:space="preserve">AUD70535</t>
  </si>
  <si>
    <t xml:space="preserve">CA-581078</t>
  </si>
  <si>
    <t xml:space="preserve">AUD70536</t>
  </si>
  <si>
    <t xml:space="preserve">TI-447664</t>
  </si>
  <si>
    <t xml:space="preserve">AUD70537</t>
  </si>
  <si>
    <t xml:space="preserve">CA-439059</t>
  </si>
  <si>
    <t xml:space="preserve">AUD70538</t>
  </si>
  <si>
    <t xml:space="preserve">TI-763651</t>
  </si>
  <si>
    <t xml:space="preserve">AUD70539</t>
  </si>
  <si>
    <t xml:space="preserve">TI-944764</t>
  </si>
  <si>
    <t xml:space="preserve">AUD70540</t>
  </si>
  <si>
    <t xml:space="preserve">CH-837811</t>
  </si>
  <si>
    <t xml:space="preserve">AUD70541</t>
  </si>
  <si>
    <t xml:space="preserve">CA-711686</t>
  </si>
  <si>
    <t xml:space="preserve">AUD70542</t>
  </si>
  <si>
    <t xml:space="preserve">TI-362710</t>
  </si>
  <si>
    <t xml:space="preserve">AUD70543</t>
  </si>
  <si>
    <t xml:space="preserve">CH-459570</t>
  </si>
  <si>
    <t xml:space="preserve">AUD70544</t>
  </si>
  <si>
    <t xml:space="preserve">CH-908056</t>
  </si>
  <si>
    <t xml:space="preserve">AUD70545</t>
  </si>
  <si>
    <t xml:space="preserve">TI-117300</t>
  </si>
  <si>
    <t xml:space="preserve">AUD70546</t>
  </si>
  <si>
    <t xml:space="preserve">TI-692035</t>
  </si>
  <si>
    <t xml:space="preserve">AUD70547</t>
  </si>
  <si>
    <t xml:space="preserve">CA-598677</t>
  </si>
  <si>
    <t xml:space="preserve">AUD70548</t>
  </si>
  <si>
    <t xml:space="preserve">TI-642214</t>
  </si>
  <si>
    <t xml:space="preserve">AUD70549</t>
  </si>
  <si>
    <t xml:space="preserve">TI-340946</t>
  </si>
  <si>
    <t xml:space="preserve">AUD70550</t>
  </si>
  <si>
    <t xml:space="preserve">CA-790040</t>
  </si>
  <si>
    <t xml:space="preserve">AUD70551</t>
  </si>
  <si>
    <t xml:space="preserve">TI-518844</t>
  </si>
  <si>
    <t xml:space="preserve">AUD70552</t>
  </si>
  <si>
    <t xml:space="preserve">TI-445667</t>
  </si>
  <si>
    <t xml:space="preserve">AUD70553</t>
  </si>
  <si>
    <t xml:space="preserve">TI-174953</t>
  </si>
  <si>
    <t xml:space="preserve">AUD70554</t>
  </si>
  <si>
    <t xml:space="preserve">CA-826744</t>
  </si>
  <si>
    <t xml:space="preserve">AUD70555</t>
  </si>
  <si>
    <t xml:space="preserve">TI-483182</t>
  </si>
  <si>
    <t xml:space="preserve">AUD70556</t>
  </si>
  <si>
    <t xml:space="preserve">TI-832644</t>
  </si>
  <si>
    <t xml:space="preserve">AUD70557</t>
  </si>
  <si>
    <t xml:space="preserve">CA-232184</t>
  </si>
  <si>
    <t xml:space="preserve">AUD70558</t>
  </si>
  <si>
    <t xml:space="preserve">CA-646240</t>
  </si>
  <si>
    <t xml:space="preserve">AUD70559</t>
  </si>
  <si>
    <t xml:space="preserve">CH-923189</t>
  </si>
  <si>
    <t xml:space="preserve">AUD70560</t>
  </si>
  <si>
    <t xml:space="preserve">CH-891270</t>
  </si>
  <si>
    <t xml:space="preserve">AUD70561</t>
  </si>
  <si>
    <t xml:space="preserve">CA-872714</t>
  </si>
  <si>
    <t xml:space="preserve">AUD70562</t>
  </si>
  <si>
    <t xml:space="preserve">TI-137141</t>
  </si>
  <si>
    <t xml:space="preserve">AUD70563</t>
  </si>
  <si>
    <t xml:space="preserve">TI-230434</t>
  </si>
  <si>
    <t xml:space="preserve">AUD70564</t>
  </si>
  <si>
    <t xml:space="preserve">CA-732450</t>
  </si>
  <si>
    <t xml:space="preserve">AUD70565</t>
  </si>
  <si>
    <t xml:space="preserve">CH-858767</t>
  </si>
  <si>
    <t xml:space="preserve">AUD70566</t>
  </si>
  <si>
    <t xml:space="preserve">TI-532209</t>
  </si>
  <si>
    <t xml:space="preserve">AUD70567</t>
  </si>
  <si>
    <t xml:space="preserve">CA-744841</t>
  </si>
  <si>
    <t xml:space="preserve">AUD70568</t>
  </si>
  <si>
    <t xml:space="preserve">CA-307411</t>
  </si>
  <si>
    <t xml:space="preserve">AUD70569</t>
  </si>
  <si>
    <t xml:space="preserve">CA-293135</t>
  </si>
  <si>
    <t xml:space="preserve">No follow-up after promising a callback; Escalated without full notes</t>
  </si>
  <si>
    <t xml:space="preserve">AUD70570</t>
  </si>
  <si>
    <t xml:space="preserve">CA-326736</t>
  </si>
  <si>
    <t xml:space="preserve">AUD70571</t>
  </si>
  <si>
    <t xml:space="preserve">CA-673766</t>
  </si>
  <si>
    <t xml:space="preserve">AUD70572</t>
  </si>
  <si>
    <t xml:space="preserve">CA-543767</t>
  </si>
  <si>
    <t xml:space="preserve">AUD70573</t>
  </si>
  <si>
    <t xml:space="preserve">TI-387816</t>
  </si>
  <si>
    <t xml:space="preserve">AUD70574</t>
  </si>
  <si>
    <t xml:space="preserve">CA-876891</t>
  </si>
  <si>
    <t xml:space="preserve">AUD70575</t>
  </si>
  <si>
    <t xml:space="preserve">CA-134394</t>
  </si>
  <si>
    <t xml:space="preserve">AUD70576</t>
  </si>
  <si>
    <t xml:space="preserve">CH-161043</t>
  </si>
  <si>
    <t xml:space="preserve">AUD70577</t>
  </si>
  <si>
    <t xml:space="preserve">CA-258729</t>
  </si>
  <si>
    <t xml:space="preserve">AUD70578</t>
  </si>
  <si>
    <t xml:space="preserve">TI-905346</t>
  </si>
  <si>
    <t xml:space="preserve">AUD70579</t>
  </si>
  <si>
    <t xml:space="preserve">TI-514856</t>
  </si>
  <si>
    <t xml:space="preserve">AUD70580</t>
  </si>
  <si>
    <t xml:space="preserve">CH-364517</t>
  </si>
  <si>
    <t xml:space="preserve">AUD70581</t>
  </si>
  <si>
    <t xml:space="preserve">CA-767813</t>
  </si>
  <si>
    <t xml:space="preserve">AUD70582</t>
  </si>
  <si>
    <t xml:space="preserve">TI-267075</t>
  </si>
  <si>
    <t xml:space="preserve">AUD70583</t>
  </si>
  <si>
    <t xml:space="preserve">TI-685198</t>
  </si>
  <si>
    <t xml:space="preserve">AUD70584</t>
  </si>
  <si>
    <t xml:space="preserve">TI-258460</t>
  </si>
  <si>
    <t xml:space="preserve">AUD70585</t>
  </si>
  <si>
    <t xml:space="preserve">TI-462883</t>
  </si>
  <si>
    <t xml:space="preserve">AUD70586</t>
  </si>
  <si>
    <t xml:space="preserve">CA-813101</t>
  </si>
  <si>
    <t xml:space="preserve">AUD70587</t>
  </si>
  <si>
    <t xml:space="preserve">CA-998708</t>
  </si>
  <si>
    <t xml:space="preserve">AUD70588</t>
  </si>
  <si>
    <t xml:space="preserve">CA-127262</t>
  </si>
  <si>
    <t xml:space="preserve">AUD70589</t>
  </si>
  <si>
    <t xml:space="preserve">CA-883305</t>
  </si>
  <si>
    <t xml:space="preserve">AUD70590</t>
  </si>
  <si>
    <t xml:space="preserve">CA-850937</t>
  </si>
  <si>
    <t xml:space="preserve">AUD70591</t>
  </si>
  <si>
    <t xml:space="preserve">CA-440096</t>
  </si>
  <si>
    <t xml:space="preserve">AUD70592</t>
  </si>
  <si>
    <t xml:space="preserve">CA-175927</t>
  </si>
  <si>
    <t xml:space="preserve">AUD70593</t>
  </si>
  <si>
    <t xml:space="preserve">CA-222868</t>
  </si>
  <si>
    <t xml:space="preserve">AUD70594</t>
  </si>
  <si>
    <t xml:space="preserve">CA-998068</t>
  </si>
  <si>
    <t xml:space="preserve">AUD70595</t>
  </si>
  <si>
    <t xml:space="preserve">CH-662121</t>
  </si>
  <si>
    <t xml:space="preserve">AUD70596</t>
  </si>
  <si>
    <t xml:space="preserve">CA-582169</t>
  </si>
  <si>
    <t xml:space="preserve">AUD70597</t>
  </si>
  <si>
    <t xml:space="preserve">TI-310809</t>
  </si>
  <si>
    <t xml:space="preserve">AUD70598</t>
  </si>
  <si>
    <t xml:space="preserve">CA-477456</t>
  </si>
  <si>
    <t xml:space="preserve">AUD70599</t>
  </si>
  <si>
    <t xml:space="preserve">CA-604281</t>
  </si>
  <si>
    <t xml:space="preserve">AUD70600</t>
  </si>
  <si>
    <t xml:space="preserve">CH-581040</t>
  </si>
  <si>
    <t xml:space="preserve">AUD70601</t>
  </si>
  <si>
    <t xml:space="preserve">TI-146654</t>
  </si>
  <si>
    <t xml:space="preserve">AUD70602</t>
  </si>
  <si>
    <t xml:space="preserve">TI-273514</t>
  </si>
  <si>
    <t xml:space="preserve">AUD70603</t>
  </si>
  <si>
    <t xml:space="preserve">TI-734478</t>
  </si>
  <si>
    <t xml:space="preserve">AUD70604</t>
  </si>
  <si>
    <t xml:space="preserve">TI-105483</t>
  </si>
  <si>
    <t xml:space="preserve">AUD70605</t>
  </si>
  <si>
    <t xml:space="preserve">CA-462236</t>
  </si>
  <si>
    <t xml:space="preserve">AUD70606</t>
  </si>
  <si>
    <t xml:space="preserve">TI-193051</t>
  </si>
  <si>
    <t xml:space="preserve">AUD70607</t>
  </si>
  <si>
    <t xml:space="preserve">TI-785067</t>
  </si>
  <si>
    <t xml:space="preserve">AUD70608</t>
  </si>
  <si>
    <t xml:space="preserve">TI-287371</t>
  </si>
  <si>
    <t xml:space="preserve">AUD70609</t>
  </si>
  <si>
    <t xml:space="preserve">TI-412209</t>
  </si>
  <si>
    <t xml:space="preserve">AUD70610</t>
  </si>
  <si>
    <t xml:space="preserve">CA-410513</t>
  </si>
  <si>
    <t xml:space="preserve">AUD70611</t>
  </si>
  <si>
    <t xml:space="preserve">CA-579413</t>
  </si>
  <si>
    <t xml:space="preserve">AUD70612</t>
  </si>
  <si>
    <t xml:space="preserve">CH-163964</t>
  </si>
  <si>
    <t xml:space="preserve">AUD70613</t>
  </si>
  <si>
    <t xml:space="preserve">TI-644602</t>
  </si>
  <si>
    <t xml:space="preserve">AUD70614</t>
  </si>
  <si>
    <t xml:space="preserve">CA-770578</t>
  </si>
  <si>
    <t xml:space="preserve">AUD70615</t>
  </si>
  <si>
    <t xml:space="preserve">TI-783544</t>
  </si>
  <si>
    <t xml:space="preserve">AUD70616</t>
  </si>
  <si>
    <t xml:space="preserve">CA-584012</t>
  </si>
  <si>
    <t xml:space="preserve">AUD70617</t>
  </si>
  <si>
    <t xml:space="preserve">TI-846360</t>
  </si>
  <si>
    <t xml:space="preserve">AUD70618</t>
  </si>
  <si>
    <t xml:space="preserve">TI-816499</t>
  </si>
  <si>
    <t xml:space="preserve">AUD70619</t>
  </si>
  <si>
    <t xml:space="preserve">TI-234493</t>
  </si>
  <si>
    <t xml:space="preserve">AUD70620</t>
  </si>
  <si>
    <t xml:space="preserve">CA-759576</t>
  </si>
  <si>
    <t xml:space="preserve">AUD70621</t>
  </si>
  <si>
    <t xml:space="preserve">CA-554551</t>
  </si>
  <si>
    <t xml:space="preserve">AUD70622</t>
  </si>
  <si>
    <t xml:space="preserve">CA-222897</t>
  </si>
  <si>
    <t xml:space="preserve">AUD70623</t>
  </si>
  <si>
    <t xml:space="preserve">CA-317048</t>
  </si>
  <si>
    <t xml:space="preserve">AUD70624</t>
  </si>
  <si>
    <t xml:space="preserve">TI-325978</t>
  </si>
  <si>
    <t xml:space="preserve">AUD70625</t>
  </si>
  <si>
    <t xml:space="preserve">TI-954349</t>
  </si>
  <si>
    <t xml:space="preserve">AUD70626</t>
  </si>
  <si>
    <t xml:space="preserve">TI-993966</t>
  </si>
  <si>
    <t xml:space="preserve">AUD70627</t>
  </si>
  <si>
    <t xml:space="preserve">CH-236031</t>
  </si>
  <si>
    <t xml:space="preserve">AUD70628</t>
  </si>
  <si>
    <t xml:space="preserve">CA-897629</t>
  </si>
  <si>
    <t xml:space="preserve">AUD70629</t>
  </si>
  <si>
    <t xml:space="preserve">CA-297875</t>
  </si>
  <si>
    <t xml:space="preserve">AUD70630</t>
  </si>
  <si>
    <t xml:space="preserve">TI-807095</t>
  </si>
  <si>
    <t xml:space="preserve">AUD70631</t>
  </si>
  <si>
    <t xml:space="preserve">CH-723629</t>
  </si>
  <si>
    <t xml:space="preserve">AUD70632</t>
  </si>
  <si>
    <t xml:space="preserve">CA-274570</t>
  </si>
  <si>
    <t xml:space="preserve">AUD70633</t>
  </si>
  <si>
    <t xml:space="preserve">TI-406050</t>
  </si>
  <si>
    <t xml:space="preserve">AUD70634</t>
  </si>
  <si>
    <t xml:space="preserve">TI-609077</t>
  </si>
  <si>
    <t xml:space="preserve">AUD70635</t>
  </si>
  <si>
    <t xml:space="preserve">TI-284914</t>
  </si>
  <si>
    <t xml:space="preserve">AUD70636</t>
  </si>
  <si>
    <t xml:space="preserve">TI-960670</t>
  </si>
  <si>
    <t xml:space="preserve">AUD70637</t>
  </si>
  <si>
    <t xml:space="preserve">CA-478879</t>
  </si>
  <si>
    <t xml:space="preserve">AUD70638</t>
  </si>
  <si>
    <t xml:space="preserve">TI-422240</t>
  </si>
  <si>
    <t xml:space="preserve">AUD70639</t>
  </si>
  <si>
    <t xml:space="preserve">CA-274661</t>
  </si>
  <si>
    <t xml:space="preserve">AUD70640</t>
  </si>
  <si>
    <t xml:space="preserve">CA-675923</t>
  </si>
  <si>
    <t xml:space="preserve">AUD70641</t>
  </si>
  <si>
    <t xml:space="preserve">TI-849797</t>
  </si>
  <si>
    <t xml:space="preserve">AUD70642</t>
  </si>
  <si>
    <t xml:space="preserve">TI-900445</t>
  </si>
  <si>
    <t xml:space="preserve">AUD70643</t>
  </si>
  <si>
    <t xml:space="preserve">CA-884552</t>
  </si>
  <si>
    <t xml:space="preserve">AUD70644</t>
  </si>
  <si>
    <t xml:space="preserve">TI-472930</t>
  </si>
  <si>
    <t xml:space="preserve">AUD70645</t>
  </si>
  <si>
    <t xml:space="preserve">CH-602059</t>
  </si>
  <si>
    <t xml:space="preserve">AUD70646</t>
  </si>
  <si>
    <t xml:space="preserve">CA-873210</t>
  </si>
  <si>
    <t xml:space="preserve">AUD70647</t>
  </si>
  <si>
    <t xml:space="preserve">TI-109072</t>
  </si>
  <si>
    <t xml:space="preserve">AUD70648</t>
  </si>
  <si>
    <t xml:space="preserve">CA-514066</t>
  </si>
  <si>
    <t xml:space="preserve">AUD70649</t>
  </si>
  <si>
    <t xml:space="preserve">TI-579422</t>
  </si>
  <si>
    <t xml:space="preserve">AUD70650</t>
  </si>
  <si>
    <t xml:space="preserve">TI-113797</t>
  </si>
  <si>
    <t xml:space="preserve">AUD70651</t>
  </si>
  <si>
    <t xml:space="preserve">CA-680666</t>
  </si>
  <si>
    <t xml:space="preserve">AUD70652</t>
  </si>
  <si>
    <t xml:space="preserve">CA-975805</t>
  </si>
  <si>
    <t xml:space="preserve">AUD70653</t>
  </si>
  <si>
    <t xml:space="preserve">CA-554319</t>
  </si>
  <si>
    <t xml:space="preserve">AUD70654</t>
  </si>
  <si>
    <t xml:space="preserve">TI-565272</t>
  </si>
  <si>
    <t xml:space="preserve">AUD70655</t>
  </si>
  <si>
    <t xml:space="preserve">CA-718079</t>
  </si>
  <si>
    <t xml:space="preserve">AUD70656</t>
  </si>
  <si>
    <t xml:space="preserve">TI-104703</t>
  </si>
  <si>
    <t xml:space="preserve">AUD70657</t>
  </si>
  <si>
    <t xml:space="preserve">CA-280203</t>
  </si>
  <si>
    <t xml:space="preserve">AUD70658</t>
  </si>
  <si>
    <t xml:space="preserve">TI-520311</t>
  </si>
  <si>
    <t xml:space="preserve">AUD70659</t>
  </si>
  <si>
    <t xml:space="preserve">TI-971839</t>
  </si>
  <si>
    <t xml:space="preserve">AUD70660</t>
  </si>
  <si>
    <t xml:space="preserve">TI-338053</t>
  </si>
  <si>
    <t xml:space="preserve">AUD70661</t>
  </si>
  <si>
    <t xml:space="preserve">TI-396857</t>
  </si>
  <si>
    <t xml:space="preserve">AUD70662</t>
  </si>
  <si>
    <t xml:space="preserve">CA-580736</t>
  </si>
  <si>
    <t xml:space="preserve">AUD70663</t>
  </si>
  <si>
    <t xml:space="preserve">CA-717935</t>
  </si>
  <si>
    <t xml:space="preserve">AUD70664</t>
  </si>
  <si>
    <t xml:space="preserve">TI-225506</t>
  </si>
  <si>
    <t xml:space="preserve">AUD70665</t>
  </si>
  <si>
    <t xml:space="preserve">TI-119089</t>
  </si>
  <si>
    <t xml:space="preserve">AUD70666</t>
  </si>
  <si>
    <t xml:space="preserve">CH-414967</t>
  </si>
  <si>
    <t xml:space="preserve">AUD70667</t>
  </si>
  <si>
    <t xml:space="preserve">CH-589006</t>
  </si>
  <si>
    <t xml:space="preserve">AUD70668</t>
  </si>
  <si>
    <t xml:space="preserve">CA-447552</t>
  </si>
  <si>
    <t xml:space="preserve">AUD70669</t>
  </si>
  <si>
    <t xml:space="preserve">TI-912881</t>
  </si>
  <si>
    <t xml:space="preserve">AUD70670</t>
  </si>
  <si>
    <t xml:space="preserve">TI-408400</t>
  </si>
  <si>
    <t xml:space="preserve">AUD70671</t>
  </si>
  <si>
    <t xml:space="preserve">TI-192082</t>
  </si>
  <si>
    <t xml:space="preserve">AUD70672</t>
  </si>
  <si>
    <t xml:space="preserve">CA-793948</t>
  </si>
  <si>
    <t xml:space="preserve">AUD70673</t>
  </si>
  <si>
    <t xml:space="preserve">TI-906137</t>
  </si>
  <si>
    <t xml:space="preserve">AUD70674</t>
  </si>
  <si>
    <t xml:space="preserve">TI-163900</t>
  </si>
  <si>
    <t xml:space="preserve">AUD70675</t>
  </si>
  <si>
    <t xml:space="preserve">TI-192880</t>
  </si>
  <si>
    <t xml:space="preserve">AUD70676</t>
  </si>
  <si>
    <t xml:space="preserve">CA-478298</t>
  </si>
  <si>
    <t xml:space="preserve">AUD70677</t>
  </si>
  <si>
    <t xml:space="preserve">TI-916850</t>
  </si>
  <si>
    <t xml:space="preserve">AUD70678</t>
  </si>
  <si>
    <t xml:space="preserve">CA-474024</t>
  </si>
  <si>
    <t xml:space="preserve">AUD70679</t>
  </si>
  <si>
    <t xml:space="preserve">CA-923111</t>
  </si>
  <si>
    <t xml:space="preserve">AUD70680</t>
  </si>
  <si>
    <t xml:space="preserve">TI-171422</t>
  </si>
  <si>
    <t xml:space="preserve">AUD70681</t>
  </si>
  <si>
    <t xml:space="preserve">CA-690327</t>
  </si>
  <si>
    <t xml:space="preserve">AUD70682</t>
  </si>
  <si>
    <t xml:space="preserve">CH-882226</t>
  </si>
  <si>
    <t xml:space="preserve">AUD70683</t>
  </si>
  <si>
    <t xml:space="preserve">CA-179678</t>
  </si>
  <si>
    <t xml:space="preserve">AUD70684</t>
  </si>
  <si>
    <t xml:space="preserve">CH-880094</t>
  </si>
  <si>
    <t xml:space="preserve">AUD70685</t>
  </si>
  <si>
    <t xml:space="preserve">CH-659896</t>
  </si>
  <si>
    <t xml:space="preserve">AUD70686</t>
  </si>
  <si>
    <t xml:space="preserve">TI-869481</t>
  </si>
  <si>
    <t xml:space="preserve">AUD70687</t>
  </si>
  <si>
    <t xml:space="preserve">CH-859036</t>
  </si>
  <si>
    <t xml:space="preserve">AUD70688</t>
  </si>
  <si>
    <t xml:space="preserve">CA-950087</t>
  </si>
  <si>
    <t xml:space="preserve">AUD70689</t>
  </si>
  <si>
    <t xml:space="preserve">TI-138023</t>
  </si>
  <si>
    <t xml:space="preserve">AUD70690</t>
  </si>
  <si>
    <t xml:space="preserve">CA-432887</t>
  </si>
  <si>
    <t xml:space="preserve">AUD70691</t>
  </si>
  <si>
    <t xml:space="preserve">TI-113256</t>
  </si>
  <si>
    <t xml:space="preserve">AUD70692</t>
  </si>
  <si>
    <t xml:space="preserve">TI-186125</t>
  </si>
  <si>
    <t xml:space="preserve">AUD70693</t>
  </si>
  <si>
    <t xml:space="preserve">CA-741950</t>
  </si>
  <si>
    <t xml:space="preserve">Skipped a step in the SOP; Escalated without full notes</t>
  </si>
  <si>
    <t xml:space="preserve">AUD70694</t>
  </si>
  <si>
    <t xml:space="preserve">CA-867301</t>
  </si>
  <si>
    <t xml:space="preserve">AUD70695</t>
  </si>
  <si>
    <t xml:space="preserve">CA-345309</t>
  </si>
  <si>
    <t xml:space="preserve">AUD70696</t>
  </si>
  <si>
    <t xml:space="preserve">CA-373519</t>
  </si>
  <si>
    <t xml:space="preserve">AUD70697</t>
  </si>
  <si>
    <t xml:space="preserve">CA-507259</t>
  </si>
  <si>
    <t xml:space="preserve">AUD70698</t>
  </si>
  <si>
    <t xml:space="preserve">TI-280809</t>
  </si>
  <si>
    <t xml:space="preserve">AUD70699</t>
  </si>
  <si>
    <t xml:space="preserve">TI-696580</t>
  </si>
  <si>
    <t xml:space="preserve">Rushed greeting / no empathy statement; Skipped a step in the SOP; No follow-up after promising a callback</t>
  </si>
  <si>
    <t xml:space="preserve">AUD70700</t>
  </si>
  <si>
    <t xml:space="preserve">TI-942285</t>
  </si>
  <si>
    <t xml:space="preserve">AUD70701</t>
  </si>
  <si>
    <t xml:space="preserve">CA-872963</t>
  </si>
  <si>
    <t xml:space="preserve">AUD70702</t>
  </si>
  <si>
    <t xml:space="preserve">CA-933078</t>
  </si>
  <si>
    <t xml:space="preserve">AUD70703</t>
  </si>
  <si>
    <t xml:space="preserve">TI-933931</t>
  </si>
  <si>
    <t xml:space="preserve">AUD70704</t>
  </si>
  <si>
    <t xml:space="preserve">CA-809137</t>
  </si>
  <si>
    <t xml:space="preserve">AUD70705</t>
  </si>
  <si>
    <t xml:space="preserve">CH-576812</t>
  </si>
  <si>
    <t xml:space="preserve">AUD70706</t>
  </si>
  <si>
    <t xml:space="preserve">CH-226918</t>
  </si>
  <si>
    <t xml:space="preserve">AUD70707</t>
  </si>
  <si>
    <t xml:space="preserve">TI-744800</t>
  </si>
  <si>
    <t xml:space="preserve">AUD70708</t>
  </si>
  <si>
    <t xml:space="preserve">CH-167265</t>
  </si>
  <si>
    <t xml:space="preserve">AUD70709</t>
  </si>
  <si>
    <t xml:space="preserve">TI-251311</t>
  </si>
  <si>
    <t xml:space="preserve">AUD70710</t>
  </si>
  <si>
    <t xml:space="preserve">CA-373821</t>
  </si>
  <si>
    <t xml:space="preserve">AUD70711</t>
  </si>
  <si>
    <t xml:space="preserve">CA-733305</t>
  </si>
  <si>
    <t xml:space="preserve">AUD70712</t>
  </si>
  <si>
    <t xml:space="preserve">CA-791623</t>
  </si>
  <si>
    <t xml:space="preserve">AUD70713</t>
  </si>
  <si>
    <t xml:space="preserve">CA-500840</t>
  </si>
  <si>
    <t xml:space="preserve">AUD70714</t>
  </si>
  <si>
    <t xml:space="preserve">TI-211819</t>
  </si>
  <si>
    <t xml:space="preserve">AUD70715</t>
  </si>
  <si>
    <t xml:space="preserve">CA-492321</t>
  </si>
  <si>
    <t xml:space="preserve">AUD70716</t>
  </si>
  <si>
    <t xml:space="preserve">TI-261088</t>
  </si>
  <si>
    <t xml:space="preserve">AUD70717</t>
  </si>
  <si>
    <t xml:space="preserve">TI-167839</t>
  </si>
  <si>
    <t xml:space="preserve">AUD70718</t>
  </si>
  <si>
    <t xml:space="preserve">TI-569835</t>
  </si>
  <si>
    <t xml:space="preserve">AUD70719</t>
  </si>
  <si>
    <t xml:space="preserve">CA-542677</t>
  </si>
  <si>
    <t xml:space="preserve">AUD70720</t>
  </si>
  <si>
    <t xml:space="preserve">CH-124505</t>
  </si>
  <si>
    <t xml:space="preserve">AUD70721</t>
  </si>
  <si>
    <t xml:space="preserve">CA-819330</t>
  </si>
  <si>
    <t xml:space="preserve">AUD70722</t>
  </si>
  <si>
    <t xml:space="preserve">TI-570876</t>
  </si>
  <si>
    <t xml:space="preserve">AUD70723</t>
  </si>
  <si>
    <t xml:space="preserve">TI-359756</t>
  </si>
  <si>
    <t xml:space="preserve">AUD70724</t>
  </si>
  <si>
    <t xml:space="preserve">TI-384347</t>
  </si>
  <si>
    <t xml:space="preserve">AUD70725</t>
  </si>
  <si>
    <t xml:space="preserve">CA-463391</t>
  </si>
  <si>
    <t xml:space="preserve">AUD70726</t>
  </si>
  <si>
    <t xml:space="preserve">TI-802575</t>
  </si>
  <si>
    <t xml:space="preserve">AUD70727</t>
  </si>
  <si>
    <t xml:space="preserve">TI-371435</t>
  </si>
  <si>
    <t xml:space="preserve">AUD70728</t>
  </si>
  <si>
    <t xml:space="preserve">TI-196231</t>
  </si>
  <si>
    <t xml:space="preserve">AUD70729</t>
  </si>
  <si>
    <t xml:space="preserve">CA-701772</t>
  </si>
  <si>
    <t xml:space="preserve">AUD70730</t>
  </si>
  <si>
    <t xml:space="preserve">TI-680543</t>
  </si>
  <si>
    <t xml:space="preserve">AUD70731</t>
  </si>
  <si>
    <t xml:space="preserve">TI-612937</t>
  </si>
  <si>
    <t xml:space="preserve">AUD70732</t>
  </si>
  <si>
    <t xml:space="preserve">CA-914522</t>
  </si>
  <si>
    <t xml:space="preserve">AUD70733</t>
  </si>
  <si>
    <t xml:space="preserve">TI-891337</t>
  </si>
  <si>
    <t xml:space="preserve">AUD70734</t>
  </si>
  <si>
    <t xml:space="preserve">CA-375283</t>
  </si>
  <si>
    <t xml:space="preserve">AUD70735</t>
  </si>
  <si>
    <t xml:space="preserve">TI-751226</t>
  </si>
  <si>
    <t xml:space="preserve">AUD70736</t>
  </si>
  <si>
    <t xml:space="preserve">CA-146499</t>
  </si>
  <si>
    <t xml:space="preserve">AUD70737</t>
  </si>
  <si>
    <t xml:space="preserve">CH-400964</t>
  </si>
  <si>
    <t xml:space="preserve">AUD70738</t>
  </si>
  <si>
    <t xml:space="preserve">TI-933722</t>
  </si>
  <si>
    <t xml:space="preserve">AUD70739</t>
  </si>
  <si>
    <t xml:space="preserve">CA-193777</t>
  </si>
  <si>
    <t xml:space="preserve">AUD70740</t>
  </si>
  <si>
    <t xml:space="preserve">CH-682570</t>
  </si>
  <si>
    <t xml:space="preserve">AUD70741</t>
  </si>
  <si>
    <t xml:space="preserve">TI-659954</t>
  </si>
  <si>
    <t xml:space="preserve">AUD70742</t>
  </si>
  <si>
    <t xml:space="preserve">CA-703311</t>
  </si>
  <si>
    <t xml:space="preserve">AUD70743</t>
  </si>
  <si>
    <t xml:space="preserve">CA-770984</t>
  </si>
  <si>
    <t xml:space="preserve">AUD70744</t>
  </si>
  <si>
    <t xml:space="preserve">CA-389912</t>
  </si>
  <si>
    <t xml:space="preserve">AUD70745</t>
  </si>
  <si>
    <t xml:space="preserve">TI-166944</t>
  </si>
  <si>
    <t xml:space="preserve">AUD70746</t>
  </si>
  <si>
    <t xml:space="preserve">TI-558349</t>
  </si>
  <si>
    <t xml:space="preserve">AUD70747</t>
  </si>
  <si>
    <t xml:space="preserve">CA-578821</t>
  </si>
  <si>
    <t xml:space="preserve">AUD70748</t>
  </si>
  <si>
    <t xml:space="preserve">CA-241694</t>
  </si>
  <si>
    <t xml:space="preserve">AUD70749</t>
  </si>
  <si>
    <t xml:space="preserve">TI-270333</t>
  </si>
  <si>
    <t xml:space="preserve">AUD70750</t>
  </si>
  <si>
    <t xml:space="preserve">TI-160283</t>
  </si>
  <si>
    <t xml:space="preserve">AUD70751</t>
  </si>
  <si>
    <t xml:space="preserve">TI-900157</t>
  </si>
  <si>
    <t xml:space="preserve">AUD70752</t>
  </si>
  <si>
    <t xml:space="preserve">TI-977348</t>
  </si>
  <si>
    <t xml:space="preserve">AUD70753</t>
  </si>
  <si>
    <t xml:space="preserve">CA-883671</t>
  </si>
  <si>
    <t xml:space="preserve">AUD70754</t>
  </si>
  <si>
    <t xml:space="preserve">CA-867609</t>
  </si>
  <si>
    <t xml:space="preserve">AUD70755</t>
  </si>
  <si>
    <t xml:space="preserve">TI-984405</t>
  </si>
  <si>
    <t xml:space="preserve">AUD70756</t>
  </si>
  <si>
    <t xml:space="preserve">CA-670821</t>
  </si>
  <si>
    <t xml:space="preserve">AUD70757</t>
  </si>
  <si>
    <t xml:space="preserve">CA-673277</t>
  </si>
  <si>
    <t xml:space="preserve">AUD70758</t>
  </si>
  <si>
    <t xml:space="preserve">TI-596125</t>
  </si>
  <si>
    <t xml:space="preserve">AUD70759</t>
  </si>
  <si>
    <t xml:space="preserve">AUD70760</t>
  </si>
  <si>
    <t xml:space="preserve">CA-932493</t>
  </si>
  <si>
    <t xml:space="preserve">AUD70761</t>
  </si>
  <si>
    <t xml:space="preserve">CA-621535</t>
  </si>
  <si>
    <t xml:space="preserve">Rushed greeting / no empathy statement; Skipped a step in the SOP</t>
  </si>
  <si>
    <t xml:space="preserve">AUD70762</t>
  </si>
  <si>
    <t xml:space="preserve">CA-615658</t>
  </si>
  <si>
    <t xml:space="preserve">AUD70763</t>
  </si>
  <si>
    <t xml:space="preserve">TI-670667</t>
  </si>
  <si>
    <t xml:space="preserve">AUD70764</t>
  </si>
  <si>
    <t xml:space="preserve">TI-657077</t>
  </si>
  <si>
    <t xml:space="preserve">AUD70765</t>
  </si>
  <si>
    <t xml:space="preserve">TI-122697</t>
  </si>
  <si>
    <t xml:space="preserve">AUD70766</t>
  </si>
  <si>
    <t xml:space="preserve">CA-889400</t>
  </si>
  <si>
    <t xml:space="preserve">AUD70767</t>
  </si>
  <si>
    <t xml:space="preserve">CA-298338</t>
  </si>
  <si>
    <t xml:space="preserve">AUD70768</t>
  </si>
  <si>
    <t xml:space="preserve">CA-579873</t>
  </si>
  <si>
    <t xml:space="preserve">AUD70769</t>
  </si>
  <si>
    <t xml:space="preserve">CA-407203</t>
  </si>
  <si>
    <t xml:space="preserve">AUD70770</t>
  </si>
  <si>
    <t xml:space="preserve">CA-223538</t>
  </si>
  <si>
    <t xml:space="preserve">AUD70771</t>
  </si>
  <si>
    <t xml:space="preserve">CA-981323</t>
  </si>
  <si>
    <t xml:space="preserve">AUD70772</t>
  </si>
  <si>
    <t xml:space="preserve">TI-334315</t>
  </si>
  <si>
    <t xml:space="preserve">AUD70773</t>
  </si>
  <si>
    <t xml:space="preserve">CH-153757</t>
  </si>
  <si>
    <t xml:space="preserve">AUD70774</t>
  </si>
  <si>
    <t xml:space="preserve">TI-156965</t>
  </si>
  <si>
    <t xml:space="preserve">AUD70775</t>
  </si>
  <si>
    <t xml:space="preserve">CA-350379</t>
  </si>
  <si>
    <t xml:space="preserve">AUD70776</t>
  </si>
  <si>
    <t xml:space="preserve">TI-199586</t>
  </si>
  <si>
    <t xml:space="preserve">AUD70777</t>
  </si>
  <si>
    <t xml:space="preserve">CH-260306</t>
  </si>
  <si>
    <t xml:space="preserve">AUD70778</t>
  </si>
  <si>
    <t xml:space="preserve">CA-674640</t>
  </si>
  <si>
    <t xml:space="preserve">AUD70779</t>
  </si>
  <si>
    <t xml:space="preserve">TI-846099</t>
  </si>
  <si>
    <t xml:space="preserve">AUD70780</t>
  </si>
  <si>
    <t xml:space="preserve">CA-966679</t>
  </si>
  <si>
    <t xml:space="preserve">AUD70781</t>
  </si>
  <si>
    <t xml:space="preserve">CH-452941</t>
  </si>
  <si>
    <t xml:space="preserve">Automated (Forms + Power Automate)</t>
  </si>
  <si>
    <t xml:space="preserve">AUD70782</t>
  </si>
  <si>
    <t xml:space="preserve">CH-390093</t>
  </si>
  <si>
    <t xml:space="preserve">AUD70783</t>
  </si>
  <si>
    <t xml:space="preserve">CA-745534</t>
  </si>
  <si>
    <t xml:space="preserve">AUD70784</t>
  </si>
  <si>
    <t xml:space="preserve">CH-640532</t>
  </si>
  <si>
    <t xml:space="preserve">AUD70785</t>
  </si>
  <si>
    <t xml:space="preserve">CA-740544</t>
  </si>
  <si>
    <t xml:space="preserve">AUD70786</t>
  </si>
  <si>
    <t xml:space="preserve">CA-196001</t>
  </si>
  <si>
    <t xml:space="preserve">AUD70787</t>
  </si>
  <si>
    <t xml:space="preserve">CA-135900</t>
  </si>
  <si>
    <t xml:space="preserve">AUD70788</t>
  </si>
  <si>
    <t xml:space="preserve">TI-615785</t>
  </si>
  <si>
    <t xml:space="preserve">AUD70789</t>
  </si>
  <si>
    <t xml:space="preserve">CA-755240</t>
  </si>
  <si>
    <t xml:space="preserve">AUD70790</t>
  </si>
  <si>
    <t xml:space="preserve">TI-880130</t>
  </si>
  <si>
    <t xml:space="preserve">AUD70791</t>
  </si>
  <si>
    <t xml:space="preserve">CA-989328</t>
  </si>
  <si>
    <t xml:space="preserve">AUD70792</t>
  </si>
  <si>
    <t xml:space="preserve">TI-353875</t>
  </si>
  <si>
    <t xml:space="preserve">AUD70793</t>
  </si>
  <si>
    <t xml:space="preserve">CA-703837</t>
  </si>
  <si>
    <t xml:space="preserve">AUD70794</t>
  </si>
  <si>
    <t xml:space="preserve">TI-817765</t>
  </si>
  <si>
    <t xml:space="preserve">AUD70795</t>
  </si>
  <si>
    <t xml:space="preserve">TI-787075</t>
  </si>
  <si>
    <t xml:space="preserve">AUD70796</t>
  </si>
  <si>
    <t xml:space="preserve">TI-757252</t>
  </si>
  <si>
    <t xml:space="preserve">AUD70797</t>
  </si>
  <si>
    <t xml:space="preserve">CA-459763</t>
  </si>
  <si>
    <t xml:space="preserve">AUD70798</t>
  </si>
  <si>
    <t xml:space="preserve">TI-771117</t>
  </si>
  <si>
    <t xml:space="preserve">AUD70799</t>
  </si>
  <si>
    <t xml:space="preserve">TI-575511</t>
  </si>
  <si>
    <t xml:space="preserve">AUD70800</t>
  </si>
  <si>
    <t xml:space="preserve">TI-437262</t>
  </si>
  <si>
    <t xml:space="preserve">AUD70801</t>
  </si>
  <si>
    <t xml:space="preserve">TI-924738</t>
  </si>
  <si>
    <t xml:space="preserve">AUD70802</t>
  </si>
  <si>
    <t xml:space="preserve">TI-188738</t>
  </si>
  <si>
    <t xml:space="preserve">AUD70803</t>
  </si>
  <si>
    <t xml:space="preserve">CA-937983</t>
  </si>
  <si>
    <t xml:space="preserve">AUD70804</t>
  </si>
  <si>
    <t xml:space="preserve">TI-560693</t>
  </si>
  <si>
    <t xml:space="preserve">AUD70805</t>
  </si>
  <si>
    <t xml:space="preserve">CA-655177</t>
  </si>
  <si>
    <t xml:space="preserve">AUD70806</t>
  </si>
  <si>
    <t xml:space="preserve">TI-803573</t>
  </si>
  <si>
    <t xml:space="preserve">AUD70807</t>
  </si>
  <si>
    <t xml:space="preserve">TI-880829</t>
  </si>
  <si>
    <t xml:space="preserve">AUD70808</t>
  </si>
  <si>
    <t xml:space="preserve">CA-215192</t>
  </si>
  <si>
    <t xml:space="preserve">AUD70809</t>
  </si>
  <si>
    <t xml:space="preserve">CA-605226</t>
  </si>
  <si>
    <t xml:space="preserve">AUD70810</t>
  </si>
  <si>
    <t xml:space="preserve">TI-832836</t>
  </si>
  <si>
    <t xml:space="preserve">AUD70811</t>
  </si>
  <si>
    <t xml:space="preserve">TI-522280</t>
  </si>
  <si>
    <t xml:space="preserve">AUD70812</t>
  </si>
  <si>
    <t xml:space="preserve">TI-845435</t>
  </si>
  <si>
    <t xml:space="preserve">AUD70813</t>
  </si>
  <si>
    <t xml:space="preserve">CA-863106</t>
  </si>
  <si>
    <t xml:space="preserve">AUD70814</t>
  </si>
  <si>
    <t xml:space="preserve">TI-140536</t>
  </si>
  <si>
    <t xml:space="preserve">AUD70815</t>
  </si>
  <si>
    <t xml:space="preserve">TI-255179</t>
  </si>
  <si>
    <t xml:space="preserve">AUD70816</t>
  </si>
  <si>
    <t xml:space="preserve">TI-787779</t>
  </si>
  <si>
    <t xml:space="preserve">AUD70817</t>
  </si>
  <si>
    <t xml:space="preserve">CH-480155</t>
  </si>
  <si>
    <t xml:space="preserve">AUD70818</t>
  </si>
  <si>
    <t xml:space="preserve">CA-352241</t>
  </si>
  <si>
    <t xml:space="preserve">AUD70819</t>
  </si>
  <si>
    <t xml:space="preserve">CA-692481</t>
  </si>
  <si>
    <t xml:space="preserve">AUD70820</t>
  </si>
  <si>
    <t xml:space="preserve">TI-286318</t>
  </si>
  <si>
    <t xml:space="preserve">AUD70821</t>
  </si>
  <si>
    <t xml:space="preserve">TI-947307</t>
  </si>
  <si>
    <t xml:space="preserve">AUD70822</t>
  </si>
  <si>
    <t xml:space="preserve">TI-555044</t>
  </si>
  <si>
    <t xml:space="preserve">AUD70823</t>
  </si>
  <si>
    <t xml:space="preserve">CA-828452</t>
  </si>
  <si>
    <t xml:space="preserve">AUD70824</t>
  </si>
  <si>
    <t xml:space="preserve">CA-281634</t>
  </si>
  <si>
    <t xml:space="preserve">AUD70825</t>
  </si>
  <si>
    <t xml:space="preserve">TI-747355</t>
  </si>
  <si>
    <t xml:space="preserve">AUD70826</t>
  </si>
  <si>
    <t xml:space="preserve">CH-691538</t>
  </si>
  <si>
    <t xml:space="preserve">AUD70827</t>
  </si>
  <si>
    <t xml:space="preserve">CA-954579</t>
  </si>
  <si>
    <t xml:space="preserve">AUD70828</t>
  </si>
  <si>
    <t xml:space="preserve">TI-167305</t>
  </si>
  <si>
    <t xml:space="preserve">AUD70829</t>
  </si>
  <si>
    <t xml:space="preserve">TI-950972</t>
  </si>
  <si>
    <t xml:space="preserve">AUD70830</t>
  </si>
  <si>
    <t xml:space="preserve">TI-228898</t>
  </si>
  <si>
    <t xml:space="preserve">AUD70831</t>
  </si>
  <si>
    <t xml:space="preserve">CA-474332</t>
  </si>
  <si>
    <t xml:space="preserve">AUD70832</t>
  </si>
  <si>
    <t xml:space="preserve">TI-448314</t>
  </si>
  <si>
    <t xml:space="preserve">AUD70833</t>
  </si>
  <si>
    <t xml:space="preserve">CH-933867</t>
  </si>
  <si>
    <t xml:space="preserve">AUD70834</t>
  </si>
  <si>
    <t xml:space="preserve">CA-699983</t>
  </si>
  <si>
    <t xml:space="preserve">AUD70835</t>
  </si>
  <si>
    <t xml:space="preserve">TI-675882</t>
  </si>
  <si>
    <t xml:space="preserve">AUD70836</t>
  </si>
  <si>
    <t xml:space="preserve">CH-355328</t>
  </si>
  <si>
    <t xml:space="preserve">AUD70837</t>
  </si>
  <si>
    <t xml:space="preserve">CA-995382</t>
  </si>
  <si>
    <t xml:space="preserve">AUD70838</t>
  </si>
  <si>
    <t xml:space="preserve">CA-553882</t>
  </si>
  <si>
    <t xml:space="preserve">AUD70839</t>
  </si>
  <si>
    <t xml:space="preserve">TI-308489</t>
  </si>
  <si>
    <t xml:space="preserve">AUD70840</t>
  </si>
  <si>
    <t xml:space="preserve">CH-419101</t>
  </si>
  <si>
    <t xml:space="preserve">AUD70841</t>
  </si>
  <si>
    <t xml:space="preserve">CH-876196</t>
  </si>
  <si>
    <t xml:space="preserve">AUD70842</t>
  </si>
  <si>
    <t xml:space="preserve">TI-955007</t>
  </si>
  <si>
    <t xml:space="preserve">AUD70843</t>
  </si>
  <si>
    <t xml:space="preserve">TI-338460</t>
  </si>
  <si>
    <t xml:space="preserve">AUD70844</t>
  </si>
  <si>
    <t xml:space="preserve">CA-626902</t>
  </si>
  <si>
    <t xml:space="preserve">AUD70845</t>
  </si>
  <si>
    <t xml:space="preserve">CA-990594</t>
  </si>
  <si>
    <t xml:space="preserve">AUD70846</t>
  </si>
  <si>
    <t xml:space="preserve">TI-140930</t>
  </si>
  <si>
    <t xml:space="preserve">AUD70847</t>
  </si>
  <si>
    <t xml:space="preserve">TI-216638</t>
  </si>
  <si>
    <t xml:space="preserve">AUD70848</t>
  </si>
  <si>
    <t xml:space="preserve">TI-678732</t>
  </si>
  <si>
    <t xml:space="preserve">AUD70849</t>
  </si>
  <si>
    <t xml:space="preserve">TI-242924</t>
  </si>
  <si>
    <t xml:space="preserve">AUD70850</t>
  </si>
  <si>
    <t xml:space="preserve">TI-465468</t>
  </si>
  <si>
    <t xml:space="preserve">AUD70851</t>
  </si>
  <si>
    <t xml:space="preserve">CA-489228</t>
  </si>
  <si>
    <t xml:space="preserve">AUD70852</t>
  </si>
  <si>
    <t xml:space="preserve">TI-671523</t>
  </si>
  <si>
    <t xml:space="preserve">AUD70853</t>
  </si>
  <si>
    <t xml:space="preserve">TI-749360</t>
  </si>
  <si>
    <t xml:space="preserve">AUD70854</t>
  </si>
  <si>
    <t xml:space="preserve">CH-836905</t>
  </si>
  <si>
    <t xml:space="preserve">AUD70855</t>
  </si>
  <si>
    <t xml:space="preserve">CA-283526</t>
  </si>
  <si>
    <t xml:space="preserve">AUD70856</t>
  </si>
  <si>
    <t xml:space="preserve">CA-702947</t>
  </si>
  <si>
    <t xml:space="preserve">AUD70857</t>
  </si>
  <si>
    <t xml:space="preserve">CA-798512</t>
  </si>
  <si>
    <t xml:space="preserve">AUD70858</t>
  </si>
  <si>
    <t xml:space="preserve">TI-589186</t>
  </si>
  <si>
    <t xml:space="preserve">AUD70859</t>
  </si>
  <si>
    <t xml:space="preserve">TI-562307</t>
  </si>
  <si>
    <t xml:space="preserve">AUD70860</t>
  </si>
  <si>
    <t xml:space="preserve">CA-330886</t>
  </si>
  <si>
    <t xml:space="preserve">AUD70861</t>
  </si>
  <si>
    <t xml:space="preserve">TI-226756</t>
  </si>
  <si>
    <t xml:space="preserve">AUD70862</t>
  </si>
  <si>
    <t xml:space="preserve">CA-928694</t>
  </si>
  <si>
    <t xml:space="preserve">AUD70863</t>
  </si>
  <si>
    <t xml:space="preserve">TI-501762</t>
  </si>
  <si>
    <t xml:space="preserve">AUD70864</t>
  </si>
  <si>
    <t xml:space="preserve">TI-519431</t>
  </si>
  <si>
    <t xml:space="preserve">AUD70865</t>
  </si>
  <si>
    <t xml:space="preserve">TI-117322</t>
  </si>
  <si>
    <t xml:space="preserve">AUD70866</t>
  </si>
  <si>
    <t xml:space="preserve">CH-194027</t>
  </si>
  <si>
    <t xml:space="preserve">AUD70867</t>
  </si>
  <si>
    <t xml:space="preserve">TI-341812</t>
  </si>
  <si>
    <t xml:space="preserve">AUD70868</t>
  </si>
  <si>
    <t xml:space="preserve">CA-493076</t>
  </si>
  <si>
    <t xml:space="preserve">AUD70869</t>
  </si>
  <si>
    <t xml:space="preserve">CA-299282</t>
  </si>
  <si>
    <t xml:space="preserve">AUD70870</t>
  </si>
  <si>
    <t xml:space="preserve">CA-402794</t>
  </si>
  <si>
    <t xml:space="preserve">AUD70871</t>
  </si>
  <si>
    <t xml:space="preserve">CA-526536</t>
  </si>
  <si>
    <t xml:space="preserve">AUD70872</t>
  </si>
  <si>
    <t xml:space="preserve">TI-193519</t>
  </si>
  <si>
    <t xml:space="preserve">AUD70873</t>
  </si>
  <si>
    <t xml:space="preserve">TI-298597</t>
  </si>
  <si>
    <t xml:space="preserve">AUD70874</t>
  </si>
  <si>
    <t xml:space="preserve">CA-468950</t>
  </si>
  <si>
    <t xml:space="preserve">AUD70875</t>
  </si>
  <si>
    <t xml:space="preserve">CA-517186</t>
  </si>
  <si>
    <t xml:space="preserve">AUD70876</t>
  </si>
  <si>
    <t xml:space="preserve">TI-154351</t>
  </si>
  <si>
    <t xml:space="preserve">AUD70877</t>
  </si>
  <si>
    <t xml:space="preserve">CH-218063</t>
  </si>
  <si>
    <t xml:space="preserve">AUD70878</t>
  </si>
  <si>
    <t xml:space="preserve">TI-841141</t>
  </si>
  <si>
    <t xml:space="preserve">AUD70879</t>
  </si>
  <si>
    <t xml:space="preserve">TI-669937</t>
  </si>
  <si>
    <t xml:space="preserve">AUD70880</t>
  </si>
  <si>
    <t xml:space="preserve">CA-678131</t>
  </si>
  <si>
    <t xml:space="preserve">AUD70881</t>
  </si>
  <si>
    <t xml:space="preserve">TI-804599</t>
  </si>
  <si>
    <t xml:space="preserve">AUD70882</t>
  </si>
  <si>
    <t xml:space="preserve">CH-593484</t>
  </si>
  <si>
    <t xml:space="preserve">AUD70883</t>
  </si>
  <si>
    <t xml:space="preserve">TI-715365</t>
  </si>
  <si>
    <t xml:space="preserve">AUD70884</t>
  </si>
  <si>
    <t xml:space="preserve">CH-994741</t>
  </si>
  <si>
    <t xml:space="preserve">AUD70885</t>
  </si>
  <si>
    <t xml:space="preserve">TI-968267</t>
  </si>
  <si>
    <t xml:space="preserve">AUD70886</t>
  </si>
  <si>
    <t xml:space="preserve">TI-727039</t>
  </si>
  <si>
    <t xml:space="preserve">AUD70887</t>
  </si>
  <si>
    <t xml:space="preserve">CH-683461</t>
  </si>
  <si>
    <t xml:space="preserve">AUD70888</t>
  </si>
  <si>
    <t xml:space="preserve">TI-716883</t>
  </si>
  <si>
    <t xml:space="preserve">AUD70889</t>
  </si>
  <si>
    <t xml:space="preserve">CA-880105</t>
  </si>
  <si>
    <t xml:space="preserve">AUD70890</t>
  </si>
  <si>
    <t xml:space="preserve">CA-460328</t>
  </si>
  <si>
    <t xml:space="preserve">AUD70891</t>
  </si>
  <si>
    <t xml:space="preserve">CA-612504</t>
  </si>
  <si>
    <t xml:space="preserve">AUD70892</t>
  </si>
  <si>
    <t xml:space="preserve">CA-718047</t>
  </si>
  <si>
    <t xml:space="preserve">AUD70893</t>
  </si>
  <si>
    <t xml:space="preserve">TI-627399</t>
  </si>
  <si>
    <t xml:space="preserve">AUD70894</t>
  </si>
  <si>
    <t xml:space="preserve">TI-700206</t>
  </si>
  <si>
    <t xml:space="preserve">AUD70895</t>
  </si>
  <si>
    <t xml:space="preserve">CA-898837</t>
  </si>
  <si>
    <t xml:space="preserve">AUD70896</t>
  </si>
  <si>
    <t xml:space="preserve">TI-927075</t>
  </si>
  <si>
    <t xml:space="preserve">AUD70897</t>
  </si>
  <si>
    <t xml:space="preserve">TI-291954</t>
  </si>
  <si>
    <t xml:space="preserve">AUD70898</t>
  </si>
  <si>
    <t xml:space="preserve">CA-587207</t>
  </si>
  <si>
    <t xml:space="preserve">AUD70899</t>
  </si>
  <si>
    <t xml:space="preserve">TI-695468</t>
  </si>
  <si>
    <t xml:space="preserve">AUD70900</t>
  </si>
  <si>
    <t xml:space="preserve">CA-401538</t>
  </si>
  <si>
    <t xml:space="preserve">AUD70901</t>
  </si>
  <si>
    <t xml:space="preserve">TI-519501</t>
  </si>
  <si>
    <t xml:space="preserve">AUD70902</t>
  </si>
  <si>
    <t xml:space="preserve">CH-261384</t>
  </si>
  <si>
    <t xml:space="preserve">AUD70903</t>
  </si>
  <si>
    <t xml:space="preserve">TI-317126</t>
  </si>
  <si>
    <t xml:space="preserve">AUD70904</t>
  </si>
  <si>
    <t xml:space="preserve">TI-896052</t>
  </si>
  <si>
    <t xml:space="preserve">AUD70905</t>
  </si>
  <si>
    <t xml:space="preserve">CA-605847</t>
  </si>
  <si>
    <t xml:space="preserve">AUD70906</t>
  </si>
  <si>
    <t xml:space="preserve">CH-437838</t>
  </si>
  <si>
    <t xml:space="preserve">AUD70907</t>
  </si>
  <si>
    <t xml:space="preserve">TI-484278</t>
  </si>
  <si>
    <t xml:space="preserve">AUD70908</t>
  </si>
  <si>
    <t xml:space="preserve">CA-452813</t>
  </si>
  <si>
    <t xml:space="preserve">AUD70909</t>
  </si>
  <si>
    <t xml:space="preserve">TI-885549</t>
  </si>
  <si>
    <t xml:space="preserve">AUD70910</t>
  </si>
  <si>
    <t xml:space="preserve">CA-315821</t>
  </si>
  <si>
    <t xml:space="preserve">AUD70911</t>
  </si>
  <si>
    <t xml:space="preserve">TI-676161</t>
  </si>
  <si>
    <t xml:space="preserve">AUD70912</t>
  </si>
  <si>
    <t xml:space="preserve">TI-283229</t>
  </si>
  <si>
    <t xml:space="preserve">AUD70913</t>
  </si>
  <si>
    <t xml:space="preserve">TI-360968</t>
  </si>
  <si>
    <t xml:space="preserve">AUD70914</t>
  </si>
  <si>
    <t xml:space="preserve">TI-118565</t>
  </si>
  <si>
    <t xml:space="preserve">AUD70915</t>
  </si>
  <si>
    <t xml:space="preserve">CA-847640</t>
  </si>
  <si>
    <t xml:space="preserve">AUD70916</t>
  </si>
  <si>
    <t xml:space="preserve">TI-466157</t>
  </si>
  <si>
    <t xml:space="preserve">AUD70917</t>
  </si>
  <si>
    <t xml:space="preserve">TI-267706</t>
  </si>
  <si>
    <t xml:space="preserve">AUD70918</t>
  </si>
  <si>
    <t xml:space="preserve">CA-263332</t>
  </si>
  <si>
    <t xml:space="preserve">AUD70919</t>
  </si>
  <si>
    <t xml:space="preserve">CH-815660</t>
  </si>
  <si>
    <t xml:space="preserve">AUD70920</t>
  </si>
  <si>
    <t xml:space="preserve">TI-675542</t>
  </si>
  <si>
    <t xml:space="preserve">AUD70921</t>
  </si>
  <si>
    <t xml:space="preserve">CA-175897</t>
  </si>
  <si>
    <t xml:space="preserve">AUD70922</t>
  </si>
  <si>
    <t xml:space="preserve">CA-584057</t>
  </si>
  <si>
    <t xml:space="preserve">AUD70923</t>
  </si>
  <si>
    <t xml:space="preserve">CA-776228</t>
  </si>
  <si>
    <t xml:space="preserve">AUD70924</t>
  </si>
  <si>
    <t xml:space="preserve">TI-212077</t>
  </si>
  <si>
    <t xml:space="preserve">AUD70925</t>
  </si>
  <si>
    <t xml:space="preserve">CH-540441</t>
  </si>
  <si>
    <t xml:space="preserve">AUD70926</t>
  </si>
  <si>
    <t xml:space="preserve">TI-476066</t>
  </si>
  <si>
    <t xml:space="preserve">AUD70927</t>
  </si>
  <si>
    <t xml:space="preserve">TI-359849</t>
  </si>
  <si>
    <t xml:space="preserve">AUD70928</t>
  </si>
  <si>
    <t xml:space="preserve">CA-205639</t>
  </si>
  <si>
    <t xml:space="preserve">AUD70929</t>
  </si>
  <si>
    <t xml:space="preserve">CA-433779</t>
  </si>
  <si>
    <t xml:space="preserve">AUD70930</t>
  </si>
  <si>
    <t xml:space="preserve">TI-216450</t>
  </si>
  <si>
    <t xml:space="preserve">AUD70931</t>
  </si>
  <si>
    <t xml:space="preserve">CA-867193</t>
  </si>
  <si>
    <t xml:space="preserve">AUD70932</t>
  </si>
  <si>
    <t xml:space="preserve">CH-554580</t>
  </si>
  <si>
    <t xml:space="preserve">AUD70933</t>
  </si>
  <si>
    <t xml:space="preserve">CA-580911</t>
  </si>
  <si>
    <t xml:space="preserve">AUD70934</t>
  </si>
  <si>
    <t xml:space="preserve">CH-831958</t>
  </si>
  <si>
    <t xml:space="preserve">AUD70935</t>
  </si>
  <si>
    <t xml:space="preserve">CA-529547</t>
  </si>
  <si>
    <t xml:space="preserve">AUD70936</t>
  </si>
  <si>
    <t xml:space="preserve">CA-158058</t>
  </si>
  <si>
    <t xml:space="preserve">AUD70937</t>
  </si>
  <si>
    <t xml:space="preserve">CA-913210</t>
  </si>
  <si>
    <t xml:space="preserve">AUD70938</t>
  </si>
  <si>
    <t xml:space="preserve">TI-455129</t>
  </si>
  <si>
    <t xml:space="preserve">AUD70939</t>
  </si>
  <si>
    <t xml:space="preserve">CA-474471</t>
  </si>
  <si>
    <t xml:space="preserve">AUD70940</t>
  </si>
  <si>
    <t xml:space="preserve">CA-458959</t>
  </si>
  <si>
    <t xml:space="preserve">AUD70941</t>
  </si>
  <si>
    <t xml:space="preserve">TI-883915</t>
  </si>
  <si>
    <t xml:space="preserve">AUD70942</t>
  </si>
  <si>
    <t xml:space="preserve">TI-566435</t>
  </si>
  <si>
    <t xml:space="preserve">AUD70943</t>
  </si>
  <si>
    <t xml:space="preserve">TI-956410</t>
  </si>
  <si>
    <t xml:space="preserve">AUD70944</t>
  </si>
  <si>
    <t xml:space="preserve">TI-954642</t>
  </si>
  <si>
    <t xml:space="preserve">AUD70945</t>
  </si>
  <si>
    <t xml:space="preserve">CA-588445</t>
  </si>
  <si>
    <t xml:space="preserve">AUD70946</t>
  </si>
  <si>
    <t xml:space="preserve">CA-259223</t>
  </si>
  <si>
    <t xml:space="preserve">AUD70947</t>
  </si>
  <si>
    <t xml:space="preserve">TI-270029</t>
  </si>
  <si>
    <t xml:space="preserve">AUD70948</t>
  </si>
  <si>
    <t xml:space="preserve">TI-676358</t>
  </si>
  <si>
    <t xml:space="preserve">AUD70949</t>
  </si>
  <si>
    <t xml:space="preserve">TI-161241</t>
  </si>
  <si>
    <t xml:space="preserve">AUD70950</t>
  </si>
  <si>
    <t xml:space="preserve">CA-474276</t>
  </si>
  <si>
    <t xml:space="preserve">AUD70951</t>
  </si>
  <si>
    <t xml:space="preserve">CA-712327</t>
  </si>
  <si>
    <t xml:space="preserve">AUD70952</t>
  </si>
  <si>
    <t xml:space="preserve">CA-455821</t>
  </si>
  <si>
    <t xml:space="preserve">AUD70953</t>
  </si>
  <si>
    <t xml:space="preserve">CA-446131</t>
  </si>
  <si>
    <t xml:space="preserve">AUD70954</t>
  </si>
  <si>
    <t xml:space="preserve">TI-241545</t>
  </si>
  <si>
    <t xml:space="preserve">AUD70955</t>
  </si>
  <si>
    <t xml:space="preserve">CA-215331</t>
  </si>
  <si>
    <t xml:space="preserve">AUD70956</t>
  </si>
  <si>
    <t xml:space="preserve">CH-686116</t>
  </si>
  <si>
    <t xml:space="preserve">AUD70957</t>
  </si>
  <si>
    <t xml:space="preserve">TI-383301</t>
  </si>
  <si>
    <t xml:space="preserve">AUD70958</t>
  </si>
  <si>
    <t xml:space="preserve">CA-479012</t>
  </si>
  <si>
    <t xml:space="preserve">AUD70959</t>
  </si>
  <si>
    <t xml:space="preserve">CA-112729</t>
  </si>
  <si>
    <t xml:space="preserve">AUD70960</t>
  </si>
  <si>
    <t xml:space="preserve">CA-475614</t>
  </si>
  <si>
    <t xml:space="preserve">AUD70961</t>
  </si>
  <si>
    <t xml:space="preserve">CA-282121</t>
  </si>
  <si>
    <t xml:space="preserve">AUD70962</t>
  </si>
  <si>
    <t xml:space="preserve">TI-674510</t>
  </si>
  <si>
    <t xml:space="preserve">AUD70963</t>
  </si>
  <si>
    <t xml:space="preserve">CA-554519</t>
  </si>
  <si>
    <t xml:space="preserve">AUD70964</t>
  </si>
  <si>
    <t xml:space="preserve">TI-656439</t>
  </si>
  <si>
    <t xml:space="preserve">AUD70965</t>
  </si>
  <si>
    <t xml:space="preserve">TI-156881</t>
  </si>
  <si>
    <t xml:space="preserve">AUD70966</t>
  </si>
  <si>
    <t xml:space="preserve">CA-995073</t>
  </si>
  <si>
    <t xml:space="preserve">AUD70967</t>
  </si>
  <si>
    <t xml:space="preserve">TI-924562</t>
  </si>
  <si>
    <t xml:space="preserve">AUD70968</t>
  </si>
  <si>
    <t xml:space="preserve">CA-870562</t>
  </si>
  <si>
    <t xml:space="preserve">AUD70969</t>
  </si>
  <si>
    <t xml:space="preserve">CA-912681</t>
  </si>
  <si>
    <t xml:space="preserve">AUD70970</t>
  </si>
  <si>
    <t xml:space="preserve">CH-267137</t>
  </si>
  <si>
    <t xml:space="preserve">AUD70971</t>
  </si>
  <si>
    <t xml:space="preserve">TI-644666</t>
  </si>
  <si>
    <t xml:space="preserve">AUD70972</t>
  </si>
  <si>
    <t xml:space="preserve">CA-119616</t>
  </si>
  <si>
    <t xml:space="preserve">AUD70973</t>
  </si>
  <si>
    <t xml:space="preserve">CA-603628</t>
  </si>
  <si>
    <t xml:space="preserve">AUD70974</t>
  </si>
  <si>
    <t xml:space="preserve">TI-882510</t>
  </si>
  <si>
    <t xml:space="preserve">AUD70975</t>
  </si>
  <si>
    <t xml:space="preserve">CA-880878</t>
  </si>
  <si>
    <t xml:space="preserve">AUD70976</t>
  </si>
  <si>
    <t xml:space="preserve">CA-651169</t>
  </si>
  <si>
    <t xml:space="preserve">AUD70977</t>
  </si>
  <si>
    <t xml:space="preserve">TI-850555</t>
  </si>
  <si>
    <t xml:space="preserve">AUD70978</t>
  </si>
  <si>
    <t xml:space="preserve">CH-680758</t>
  </si>
  <si>
    <t xml:space="preserve">AUD70979</t>
  </si>
  <si>
    <t xml:space="preserve">TI-936214</t>
  </si>
  <si>
    <t xml:space="preserve">AUD70980</t>
  </si>
  <si>
    <t xml:space="preserve">TI-925717</t>
  </si>
  <si>
    <t xml:space="preserve">AUD70981</t>
  </si>
  <si>
    <t xml:space="preserve">TI-818748</t>
  </si>
  <si>
    <t xml:space="preserve">AUD70982</t>
  </si>
  <si>
    <t xml:space="preserve">TI-416682</t>
  </si>
  <si>
    <t xml:space="preserve">AUD70983</t>
  </si>
  <si>
    <t xml:space="preserve">TI-311401</t>
  </si>
  <si>
    <t xml:space="preserve">AUD70984</t>
  </si>
  <si>
    <t xml:space="preserve">TI-186377</t>
  </si>
  <si>
    <t xml:space="preserve">AUD70985</t>
  </si>
  <si>
    <t xml:space="preserve">TI-851515</t>
  </si>
  <si>
    <t xml:space="preserve">AUD70986</t>
  </si>
  <si>
    <t xml:space="preserve">CH-643189</t>
  </si>
  <si>
    <t xml:space="preserve">AUD70987</t>
  </si>
  <si>
    <t xml:space="preserve">CA-987863</t>
  </si>
  <si>
    <t xml:space="preserve">AUD70988</t>
  </si>
  <si>
    <t xml:space="preserve">CH-324844</t>
  </si>
  <si>
    <t xml:space="preserve">AUD70989</t>
  </si>
  <si>
    <t xml:space="preserve">CH-914483</t>
  </si>
  <si>
    <t xml:space="preserve">AUD70990</t>
  </si>
  <si>
    <t xml:space="preserve">CA-913151</t>
  </si>
  <si>
    <t xml:space="preserve">AUD70991</t>
  </si>
  <si>
    <t xml:space="preserve">CA-223732</t>
  </si>
  <si>
    <t xml:space="preserve">AUD70992</t>
  </si>
  <si>
    <t xml:space="preserve">TI-770381</t>
  </si>
  <si>
    <t xml:space="preserve">AUD70993</t>
  </si>
  <si>
    <t xml:space="preserve">TI-179869</t>
  </si>
  <si>
    <t xml:space="preserve">AUD70994</t>
  </si>
  <si>
    <t xml:space="preserve">TI-372480</t>
  </si>
  <si>
    <t xml:space="preserve">AUD70995</t>
  </si>
  <si>
    <t xml:space="preserve">CH-860267</t>
  </si>
  <si>
    <t xml:space="preserve">AUD70996</t>
  </si>
  <si>
    <t xml:space="preserve">TI-286303</t>
  </si>
  <si>
    <t xml:space="preserve">AUD70997</t>
  </si>
  <si>
    <t xml:space="preserve">CA-984879</t>
  </si>
  <si>
    <t xml:space="preserve">AUD70998</t>
  </si>
  <si>
    <t xml:space="preserve">CA-560948</t>
  </si>
  <si>
    <t xml:space="preserve">AUD70999</t>
  </si>
  <si>
    <t xml:space="preserve">CA-170528</t>
  </si>
  <si>
    <t xml:space="preserve">AUD71000</t>
  </si>
  <si>
    <t xml:space="preserve">TI-939488</t>
  </si>
  <si>
    <t xml:space="preserve">AUD71001</t>
  </si>
  <si>
    <t xml:space="preserve">CA-796138</t>
  </si>
  <si>
    <t xml:space="preserve">AUD71002</t>
  </si>
  <si>
    <t xml:space="preserve">TI-513068</t>
  </si>
  <si>
    <t xml:space="preserve">AUD71003</t>
  </si>
  <si>
    <t xml:space="preserve">CA-139735</t>
  </si>
  <si>
    <t xml:space="preserve">AUD71004</t>
  </si>
  <si>
    <t xml:space="preserve">CA-487198</t>
  </si>
  <si>
    <t xml:space="preserve">AUD71005</t>
  </si>
  <si>
    <t xml:space="preserve">TI-953595</t>
  </si>
  <si>
    <t xml:space="preserve">AUD71006</t>
  </si>
  <si>
    <t xml:space="preserve">CA-831272</t>
  </si>
  <si>
    <t xml:space="preserve">AUD71007</t>
  </si>
  <si>
    <t xml:space="preserve">TI-571150</t>
  </si>
  <si>
    <t xml:space="preserve">AUD71008</t>
  </si>
  <si>
    <t xml:space="preserve">CA-578179</t>
  </si>
  <si>
    <t xml:space="preserve">AUD71009</t>
  </si>
  <si>
    <t xml:space="preserve">TI-184391</t>
  </si>
  <si>
    <t xml:space="preserve">AUD71010</t>
  </si>
  <si>
    <t xml:space="preserve">TI-599648</t>
  </si>
  <si>
    <t xml:space="preserve">AUD71011</t>
  </si>
  <si>
    <t xml:space="preserve">CA-528009</t>
  </si>
  <si>
    <t xml:space="preserve">AUD71012</t>
  </si>
  <si>
    <t xml:space="preserve">CH-325767</t>
  </si>
  <si>
    <t xml:space="preserve">AUD71013</t>
  </si>
  <si>
    <t xml:space="preserve">CA-680152</t>
  </si>
  <si>
    <t xml:space="preserve">AUD71014</t>
  </si>
  <si>
    <t xml:space="preserve">CA-285699</t>
  </si>
  <si>
    <t xml:space="preserve">AUD71015</t>
  </si>
  <si>
    <t xml:space="preserve">CA-235479</t>
  </si>
  <si>
    <t xml:space="preserve">AUD71016</t>
  </si>
  <si>
    <t xml:space="preserve">CA-975392</t>
  </si>
  <si>
    <t xml:space="preserve">AUD71017</t>
  </si>
  <si>
    <t xml:space="preserve">CA-683523</t>
  </si>
  <si>
    <t xml:space="preserve">AUD71018</t>
  </si>
  <si>
    <t xml:space="preserve">TI-804543</t>
  </si>
  <si>
    <t xml:space="preserve">AUD71019</t>
  </si>
  <si>
    <t xml:space="preserve">CA-182953</t>
  </si>
  <si>
    <t xml:space="preserve">AUD71020</t>
  </si>
  <si>
    <t xml:space="preserve">TI-480431</t>
  </si>
  <si>
    <t xml:space="preserve">AUD71021</t>
  </si>
  <si>
    <t xml:space="preserve">TI-677282</t>
  </si>
  <si>
    <t xml:space="preserve">AUD71022</t>
  </si>
  <si>
    <t xml:space="preserve">TI-181983</t>
  </si>
  <si>
    <t xml:space="preserve">AUD71023</t>
  </si>
  <si>
    <t xml:space="preserve">CA-520577</t>
  </si>
  <si>
    <t xml:space="preserve">AUD71024</t>
  </si>
  <si>
    <t xml:space="preserve">CH-675311</t>
  </si>
  <si>
    <t xml:space="preserve">AUD71025</t>
  </si>
  <si>
    <t xml:space="preserve">CA-396331</t>
  </si>
  <si>
    <t xml:space="preserve">AUD71026</t>
  </si>
  <si>
    <t xml:space="preserve">TI-504931</t>
  </si>
  <si>
    <t xml:space="preserve">AUD71027</t>
  </si>
  <si>
    <t xml:space="preserve">CA-633794</t>
  </si>
  <si>
    <t xml:space="preserve">AUD71028</t>
  </si>
  <si>
    <t xml:space="preserve">TI-930069</t>
  </si>
  <si>
    <t xml:space="preserve">AUD71029</t>
  </si>
  <si>
    <t xml:space="preserve">TI-238594</t>
  </si>
  <si>
    <t xml:space="preserve">AUD71030</t>
  </si>
  <si>
    <t xml:space="preserve">CA-712714</t>
  </si>
  <si>
    <t xml:space="preserve">AUD71031</t>
  </si>
  <si>
    <t xml:space="preserve">CA-710794</t>
  </si>
  <si>
    <t xml:space="preserve">AUD71032</t>
  </si>
  <si>
    <t xml:space="preserve">TI-899720</t>
  </si>
  <si>
    <t xml:space="preserve">AUD71033</t>
  </si>
  <si>
    <t xml:space="preserve">CA-969694</t>
  </si>
  <si>
    <t xml:space="preserve">AUD71034</t>
  </si>
  <si>
    <t xml:space="preserve">CH-353347</t>
  </si>
  <si>
    <t xml:space="preserve">AUD71035</t>
  </si>
  <si>
    <t xml:space="preserve">TI-327029</t>
  </si>
  <si>
    <t xml:space="preserve">AUD71036</t>
  </si>
  <si>
    <t xml:space="preserve">CA-447095</t>
  </si>
  <si>
    <t xml:space="preserve">AUD71037</t>
  </si>
  <si>
    <t xml:space="preserve">CH-930312</t>
  </si>
  <si>
    <t xml:space="preserve">AUD71038</t>
  </si>
  <si>
    <t xml:space="preserve">TI-601570</t>
  </si>
  <si>
    <t xml:space="preserve">AUD71039</t>
  </si>
  <si>
    <t xml:space="preserve">CH-965072</t>
  </si>
  <si>
    <t xml:space="preserve">AUD71040</t>
  </si>
  <si>
    <t xml:space="preserve">CA-287463</t>
  </si>
  <si>
    <t xml:space="preserve">AUD71041</t>
  </si>
  <si>
    <t xml:space="preserve">TI-305956</t>
  </si>
  <si>
    <t xml:space="preserve">AUD71042</t>
  </si>
  <si>
    <t xml:space="preserve">CA-672381</t>
  </si>
  <si>
    <t xml:space="preserve">AUD71043</t>
  </si>
  <si>
    <t xml:space="preserve">TI-887324</t>
  </si>
  <si>
    <t xml:space="preserve">AUD71044</t>
  </si>
  <si>
    <t xml:space="preserve">CH-440333</t>
  </si>
  <si>
    <t xml:space="preserve">AUD71045</t>
  </si>
  <si>
    <t xml:space="preserve">TI-385666</t>
  </si>
  <si>
    <t xml:space="preserve">AUD71046</t>
  </si>
  <si>
    <t xml:space="preserve">CA-677645</t>
  </si>
  <si>
    <t xml:space="preserve">AUD71047</t>
  </si>
  <si>
    <t xml:space="preserve">CA-837337</t>
  </si>
  <si>
    <t xml:space="preserve">AUD71048</t>
  </si>
  <si>
    <t xml:space="preserve">CA-122958</t>
  </si>
  <si>
    <t xml:space="preserve">AUD71049</t>
  </si>
  <si>
    <t xml:space="preserve">TI-837584</t>
  </si>
  <si>
    <t xml:space="preserve">AUD71050</t>
  </si>
  <si>
    <t xml:space="preserve">TI-899749</t>
  </si>
  <si>
    <t xml:space="preserve">AUD71051</t>
  </si>
  <si>
    <t xml:space="preserve">TI-646443</t>
  </si>
  <si>
    <t xml:space="preserve">AUD71052</t>
  </si>
  <si>
    <t xml:space="preserve">TI-969247</t>
  </si>
  <si>
    <t xml:space="preserve">AUD71053</t>
  </si>
  <si>
    <t xml:space="preserve">TI-628264</t>
  </si>
  <si>
    <t xml:space="preserve">AUD71054</t>
  </si>
  <si>
    <t xml:space="preserve">CA-638973</t>
  </si>
  <si>
    <t xml:space="preserve">AUD71055</t>
  </si>
  <si>
    <t xml:space="preserve">TI-247583</t>
  </si>
  <si>
    <t xml:space="preserve">AUD71056</t>
  </si>
  <si>
    <t xml:space="preserve">CA-979841</t>
  </si>
  <si>
    <t xml:space="preserve">AUD71057</t>
  </si>
  <si>
    <t xml:space="preserve">TI-591189</t>
  </si>
  <si>
    <t xml:space="preserve">AUD71058</t>
  </si>
  <si>
    <t xml:space="preserve">TI-116275</t>
  </si>
  <si>
    <t xml:space="preserve">AUD71059</t>
  </si>
  <si>
    <t xml:space="preserve">CA-622559</t>
  </si>
  <si>
    <t xml:space="preserve">AUD71060</t>
  </si>
  <si>
    <t xml:space="preserve">TI-389487</t>
  </si>
  <si>
    <t xml:space="preserve">AUD71061</t>
  </si>
  <si>
    <t xml:space="preserve">CA-572383</t>
  </si>
  <si>
    <t xml:space="preserve">AUD71062</t>
  </si>
  <si>
    <t xml:space="preserve">TI-328649</t>
  </si>
  <si>
    <t xml:space="preserve">AUD71063</t>
  </si>
  <si>
    <t xml:space="preserve">TI-150411</t>
  </si>
  <si>
    <t xml:space="preserve">AUD71064</t>
  </si>
  <si>
    <t xml:space="preserve">TI-825475</t>
  </si>
  <si>
    <t xml:space="preserve">AUD71065</t>
  </si>
  <si>
    <t xml:space="preserve">TI-707909</t>
  </si>
  <si>
    <t xml:space="preserve">AUD71066</t>
  </si>
  <si>
    <t xml:space="preserve">TI-299434</t>
  </si>
  <si>
    <t xml:space="preserve">AUD71067</t>
  </si>
  <si>
    <t xml:space="preserve">CH-422175</t>
  </si>
  <si>
    <t xml:space="preserve">AUD71068</t>
  </si>
  <si>
    <t xml:space="preserve">CA-325395</t>
  </si>
  <si>
    <t xml:space="preserve">AUD71069</t>
  </si>
  <si>
    <t xml:space="preserve">CH-757800</t>
  </si>
  <si>
    <t xml:space="preserve">AUD71070</t>
  </si>
  <si>
    <t xml:space="preserve">CA-121903</t>
  </si>
  <si>
    <t xml:space="preserve">AUD71071</t>
  </si>
  <si>
    <t xml:space="preserve">TI-427789</t>
  </si>
  <si>
    <t xml:space="preserve">AUD71072</t>
  </si>
  <si>
    <t xml:space="preserve">CA-346616</t>
  </si>
  <si>
    <t xml:space="preserve">AUD71073</t>
  </si>
  <si>
    <t xml:space="preserve">CH-185324</t>
  </si>
  <si>
    <t xml:space="preserve">AUD71074</t>
  </si>
  <si>
    <t xml:space="preserve">CA-957476</t>
  </si>
  <si>
    <t xml:space="preserve">AUD71075</t>
  </si>
  <si>
    <t xml:space="preserve">TI-875503</t>
  </si>
  <si>
    <t xml:space="preserve">AUD71076</t>
  </si>
  <si>
    <t xml:space="preserve">TI-453529</t>
  </si>
  <si>
    <t xml:space="preserve">AUD71077</t>
  </si>
  <si>
    <t xml:space="preserve">CH-196315</t>
  </si>
  <si>
    <t xml:space="preserve">AUD71078</t>
  </si>
  <si>
    <t xml:space="preserve">CH-127078</t>
  </si>
  <si>
    <t xml:space="preserve">AUD71079</t>
  </si>
  <si>
    <t xml:space="preserve">TI-996087</t>
  </si>
  <si>
    <t xml:space="preserve">AUD71080</t>
  </si>
  <si>
    <t xml:space="preserve">CA-181696</t>
  </si>
  <si>
    <t xml:space="preserve">AUD71081</t>
  </si>
  <si>
    <t xml:space="preserve">TI-731597</t>
  </si>
  <si>
    <t xml:space="preserve">AUD71082</t>
  </si>
  <si>
    <t xml:space="preserve">TI-416739</t>
  </si>
  <si>
    <t xml:space="preserve">AUD71083</t>
  </si>
  <si>
    <t xml:space="preserve">TI-963619</t>
  </si>
  <si>
    <t xml:space="preserve">AUD71084</t>
  </si>
  <si>
    <t xml:space="preserve">CA-854912</t>
  </si>
  <si>
    <t xml:space="preserve">AUD71085</t>
  </si>
  <si>
    <t xml:space="preserve">CA-170604</t>
  </si>
  <si>
    <t xml:space="preserve">AUD71086</t>
  </si>
  <si>
    <t xml:space="preserve">TI-833468</t>
  </si>
  <si>
    <t xml:space="preserve">AUD71087</t>
  </si>
  <si>
    <t xml:space="preserve">TI-455921</t>
  </si>
  <si>
    <t xml:space="preserve">AUD71088</t>
  </si>
  <si>
    <t xml:space="preserve">TI-723713</t>
  </si>
  <si>
    <t xml:space="preserve">AUD71089</t>
  </si>
  <si>
    <t xml:space="preserve">TI-150548</t>
  </si>
  <si>
    <t xml:space="preserve">AUD71090</t>
  </si>
  <si>
    <t xml:space="preserve">TI-145469</t>
  </si>
  <si>
    <t xml:space="preserve">AUD71091</t>
  </si>
  <si>
    <t xml:space="preserve">TI-375511</t>
  </si>
  <si>
    <t xml:space="preserve">AUD71092</t>
  </si>
  <si>
    <t xml:space="preserve">TI-375812</t>
  </si>
  <si>
    <t xml:space="preserve">AUD71093</t>
  </si>
  <si>
    <t xml:space="preserve">TI-109197</t>
  </si>
  <si>
    <t xml:space="preserve">AUD71094</t>
  </si>
  <si>
    <t xml:space="preserve">CA-392743</t>
  </si>
  <si>
    <t xml:space="preserve">AUD71095</t>
  </si>
  <si>
    <t xml:space="preserve">CA-619661</t>
  </si>
  <si>
    <t xml:space="preserve">AUD71096</t>
  </si>
  <si>
    <t xml:space="preserve">TI-481032</t>
  </si>
  <si>
    <t xml:space="preserve">AUD71097</t>
  </si>
  <si>
    <t xml:space="preserve">TI-371784</t>
  </si>
  <si>
    <t xml:space="preserve">AUD71098</t>
  </si>
  <si>
    <t xml:space="preserve">CA-102649</t>
  </si>
  <si>
    <t xml:space="preserve">AUD71099</t>
  </si>
  <si>
    <t xml:space="preserve">CA-821031</t>
  </si>
  <si>
    <t xml:space="preserve">AUD71100</t>
  </si>
  <si>
    <t xml:space="preserve">CA-989143</t>
  </si>
  <si>
    <t xml:space="preserve">AUD71101</t>
  </si>
  <si>
    <t xml:space="preserve">CA-672234</t>
  </si>
  <si>
    <t xml:space="preserve">AUD71102</t>
  </si>
  <si>
    <t xml:space="preserve">CH-959897</t>
  </si>
  <si>
    <t xml:space="preserve">AUD71103</t>
  </si>
  <si>
    <t xml:space="preserve">CA-744719</t>
  </si>
  <si>
    <t xml:space="preserve">AUD71104</t>
  </si>
  <si>
    <t xml:space="preserve">CA-655567</t>
  </si>
  <si>
    <t xml:space="preserve">AUD71105</t>
  </si>
  <si>
    <t xml:space="preserve">TI-918573</t>
  </si>
  <si>
    <t xml:space="preserve">AUD71106</t>
  </si>
  <si>
    <t xml:space="preserve">CH-964545</t>
  </si>
  <si>
    <t xml:space="preserve">AUD71107</t>
  </si>
  <si>
    <t xml:space="preserve">CA-621473</t>
  </si>
  <si>
    <t xml:space="preserve">AUD71108</t>
  </si>
  <si>
    <t xml:space="preserve">TI-758332</t>
  </si>
  <si>
    <t xml:space="preserve">AUD71109</t>
  </si>
  <si>
    <t xml:space="preserve">CA-302724</t>
  </si>
  <si>
    <t xml:space="preserve">AUD71110</t>
  </si>
  <si>
    <t xml:space="preserve">TI-675182</t>
  </si>
  <si>
    <t xml:space="preserve">AUD71111</t>
  </si>
  <si>
    <t xml:space="preserve">TI-862640</t>
  </si>
  <si>
    <t xml:space="preserve">AUD71112</t>
  </si>
  <si>
    <t xml:space="preserve">TI-998438</t>
  </si>
  <si>
    <t xml:space="preserve">AUD71113</t>
  </si>
  <si>
    <t xml:space="preserve">CA-224090</t>
  </si>
  <si>
    <t xml:space="preserve">AUD71114</t>
  </si>
  <si>
    <t xml:space="preserve">TI-124335</t>
  </si>
  <si>
    <t xml:space="preserve">AUD71115</t>
  </si>
  <si>
    <t xml:space="preserve">TI-212865</t>
  </si>
  <si>
    <t xml:space="preserve">AUD71116</t>
  </si>
  <si>
    <t xml:space="preserve">CH-923909</t>
  </si>
  <si>
    <t xml:space="preserve">AUD71117</t>
  </si>
  <si>
    <t xml:space="preserve">TI-650740</t>
  </si>
  <si>
    <t xml:space="preserve">AUD71118</t>
  </si>
  <si>
    <t xml:space="preserve">TI-645772</t>
  </si>
  <si>
    <t xml:space="preserve">AUD71119</t>
  </si>
  <si>
    <t xml:space="preserve">CH-801516</t>
  </si>
  <si>
    <t xml:space="preserve">AUD71120</t>
  </si>
  <si>
    <t xml:space="preserve">TI-405030</t>
  </si>
  <si>
    <t xml:space="preserve">AUD71121</t>
  </si>
  <si>
    <t xml:space="preserve">CA-136924</t>
  </si>
  <si>
    <t xml:space="preserve">AUD71122</t>
  </si>
  <si>
    <t xml:space="preserve">TI-479633</t>
  </si>
  <si>
    <t xml:space="preserve">AUD71123</t>
  </si>
  <si>
    <t xml:space="preserve">TI-207734</t>
  </si>
  <si>
    <t xml:space="preserve">AUD71124</t>
  </si>
  <si>
    <t xml:space="preserve">TI-758498</t>
  </si>
  <si>
    <t xml:space="preserve">AUD71125</t>
  </si>
  <si>
    <t xml:space="preserve">CH-480346</t>
  </si>
  <si>
    <t xml:space="preserve">AUD71126</t>
  </si>
  <si>
    <t xml:space="preserve">TI-426764</t>
  </si>
  <si>
    <t xml:space="preserve">AUD71127</t>
  </si>
  <si>
    <t xml:space="preserve">CA-813424</t>
  </si>
  <si>
    <t xml:space="preserve">AUD71128</t>
  </si>
  <si>
    <t xml:space="preserve">TI-364921</t>
  </si>
  <si>
    <t xml:space="preserve">AUD71129</t>
  </si>
  <si>
    <t xml:space="preserve">TI-164012</t>
  </si>
  <si>
    <t xml:space="preserve">AUD71130</t>
  </si>
  <si>
    <t xml:space="preserve">TI-360940</t>
  </si>
  <si>
    <t xml:space="preserve">AUD71131</t>
  </si>
  <si>
    <t xml:space="preserve">TI-504608</t>
  </si>
  <si>
    <t xml:space="preserve">AUD71132</t>
  </si>
  <si>
    <t xml:space="preserve">TI-611372</t>
  </si>
  <si>
    <t xml:space="preserve">AUD71133</t>
  </si>
  <si>
    <t xml:space="preserve">CA-926729</t>
  </si>
  <si>
    <t xml:space="preserve">AUD71134</t>
  </si>
  <si>
    <t xml:space="preserve">CA-370807</t>
  </si>
  <si>
    <t xml:space="preserve">AUD71135</t>
  </si>
  <si>
    <t xml:space="preserve">TI-623695</t>
  </si>
  <si>
    <t xml:space="preserve">AUD71136</t>
  </si>
  <si>
    <t xml:space="preserve">CH-781595</t>
  </si>
  <si>
    <t xml:space="preserve">AUD71137</t>
  </si>
  <si>
    <t xml:space="preserve">CH-140985</t>
  </si>
  <si>
    <t xml:space="preserve">AUD71138</t>
  </si>
  <si>
    <t xml:space="preserve">TI-980695</t>
  </si>
  <si>
    <t xml:space="preserve">AUD71139</t>
  </si>
  <si>
    <t xml:space="preserve">CH-527900</t>
  </si>
  <si>
    <t xml:space="preserve">AUD71140</t>
  </si>
  <si>
    <t xml:space="preserve">CH-290601</t>
  </si>
  <si>
    <t xml:space="preserve">AUD71141</t>
  </si>
  <si>
    <t xml:space="preserve">TI-622098</t>
  </si>
  <si>
    <t xml:space="preserve">AUD71142</t>
  </si>
  <si>
    <t xml:space="preserve">CH-404383</t>
  </si>
  <si>
    <t xml:space="preserve">AUD71143</t>
  </si>
  <si>
    <t xml:space="preserve">TI-806903</t>
  </si>
  <si>
    <t xml:space="preserve">AUD71144</t>
  </si>
  <si>
    <t xml:space="preserve">CA-982001</t>
  </si>
  <si>
    <t xml:space="preserve">AUD71145</t>
  </si>
  <si>
    <t xml:space="preserve">TI-482794</t>
  </si>
  <si>
    <t xml:space="preserve">AUD71146</t>
  </si>
  <si>
    <t xml:space="preserve">CA-896882</t>
  </si>
  <si>
    <t xml:space="preserve">AUD71147</t>
  </si>
  <si>
    <t xml:space="preserve">TI-452550</t>
  </si>
  <si>
    <t xml:space="preserve">AUD71148</t>
  </si>
  <si>
    <t xml:space="preserve">TI-315697</t>
  </si>
  <si>
    <t xml:space="preserve">AUD71149</t>
  </si>
  <si>
    <t xml:space="preserve">CH-383821</t>
  </si>
  <si>
    <t xml:space="preserve">AUD71150</t>
  </si>
  <si>
    <t xml:space="preserve">CH-632556</t>
  </si>
  <si>
    <t xml:space="preserve">AUD71151</t>
  </si>
  <si>
    <t xml:space="preserve">TI-707776</t>
  </si>
  <si>
    <t xml:space="preserve">AUD71152</t>
  </si>
  <si>
    <t xml:space="preserve">CA-600690</t>
  </si>
  <si>
    <t xml:space="preserve">AUD71153</t>
  </si>
  <si>
    <t xml:space="preserve">TI-845255</t>
  </si>
  <si>
    <t xml:space="preserve">AUD71154</t>
  </si>
  <si>
    <t xml:space="preserve">CA-424282</t>
  </si>
  <si>
    <t xml:space="preserve">AUD71155</t>
  </si>
  <si>
    <t xml:space="preserve">TI-701684</t>
  </si>
  <si>
    <t xml:space="preserve">AUD71156</t>
  </si>
  <si>
    <t xml:space="preserve">CH-300032</t>
  </si>
  <si>
    <t xml:space="preserve">AUD71157</t>
  </si>
  <si>
    <t xml:space="preserve">CA-413200</t>
  </si>
  <si>
    <t xml:space="preserve">AUD71158</t>
  </si>
  <si>
    <t xml:space="preserve">CH-178203</t>
  </si>
  <si>
    <t xml:space="preserve">AUD71159</t>
  </si>
  <si>
    <t xml:space="preserve">TI-306720</t>
  </si>
  <si>
    <t xml:space="preserve">AUD71160</t>
  </si>
  <si>
    <t xml:space="preserve">CA-927961</t>
  </si>
  <si>
    <t xml:space="preserve">AUD71161</t>
  </si>
  <si>
    <t xml:space="preserve">CA-146506</t>
  </si>
  <si>
    <t xml:space="preserve">AUD71162</t>
  </si>
  <si>
    <t xml:space="preserve">CH-682599</t>
  </si>
  <si>
    <t xml:space="preserve">AUD71163</t>
  </si>
  <si>
    <t xml:space="preserve">TI-369336</t>
  </si>
  <si>
    <t xml:space="preserve">AUD71164</t>
  </si>
  <si>
    <t xml:space="preserve">CA-453237</t>
  </si>
  <si>
    <t xml:space="preserve">AUD71165</t>
  </si>
  <si>
    <t xml:space="preserve">CA-437599</t>
  </si>
  <si>
    <t xml:space="preserve">AUD71166</t>
  </si>
  <si>
    <t xml:space="preserve">CA-457702</t>
  </si>
  <si>
    <t xml:space="preserve">AUD71167</t>
  </si>
  <si>
    <t xml:space="preserve">TI-219361</t>
  </si>
  <si>
    <t xml:space="preserve">AUD71168</t>
  </si>
  <si>
    <t xml:space="preserve">CA-762886</t>
  </si>
  <si>
    <t xml:space="preserve">AUD71169</t>
  </si>
  <si>
    <t xml:space="preserve">CH-145938</t>
  </si>
  <si>
    <t xml:space="preserve">AUD71170</t>
  </si>
  <si>
    <t xml:space="preserve">CA-675232</t>
  </si>
  <si>
    <t xml:space="preserve">AUD71171</t>
  </si>
  <si>
    <t xml:space="preserve">CA-203300</t>
  </si>
  <si>
    <t xml:space="preserve">AUD71172</t>
  </si>
  <si>
    <t xml:space="preserve">TI-630048</t>
  </si>
  <si>
    <t xml:space="preserve">AUD71173</t>
  </si>
  <si>
    <t xml:space="preserve">TI-443531</t>
  </si>
  <si>
    <t xml:space="preserve">AUD71174</t>
  </si>
  <si>
    <t xml:space="preserve">TI-313725</t>
  </si>
  <si>
    <t xml:space="preserve">AUD71175</t>
  </si>
  <si>
    <t xml:space="preserve">TI-963748</t>
  </si>
  <si>
    <t xml:space="preserve">AUD71176</t>
  </si>
  <si>
    <t xml:space="preserve">CA-652692</t>
  </si>
  <si>
    <t xml:space="preserve">AUD71177</t>
  </si>
  <si>
    <t xml:space="preserve">TI-961931</t>
  </si>
  <si>
    <t xml:space="preserve">AUD71178</t>
  </si>
  <si>
    <t xml:space="preserve">CA-474887</t>
  </si>
  <si>
    <t xml:space="preserve">AUD71179</t>
  </si>
  <si>
    <t xml:space="preserve">CA-734488</t>
  </si>
  <si>
    <t xml:space="preserve">AUD71180</t>
  </si>
  <si>
    <t xml:space="preserve">TI-886956</t>
  </si>
  <si>
    <t xml:space="preserve">AUD71181</t>
  </si>
  <si>
    <t xml:space="preserve">TI-299444</t>
  </si>
  <si>
    <t xml:space="preserve">AUD71182</t>
  </si>
  <si>
    <t xml:space="preserve">TI-825693</t>
  </si>
  <si>
    <t xml:space="preserve">AUD71183</t>
  </si>
  <si>
    <t xml:space="preserve">TI-389620</t>
  </si>
  <si>
    <t xml:space="preserve">AUD71184</t>
  </si>
  <si>
    <t xml:space="preserve">CA-695012</t>
  </si>
  <si>
    <t xml:space="preserve">AUD71185</t>
  </si>
  <si>
    <t xml:space="preserve">TI-286031</t>
  </si>
  <si>
    <t xml:space="preserve">AUD71186</t>
  </si>
  <si>
    <t xml:space="preserve">TI-924472</t>
  </si>
  <si>
    <t xml:space="preserve">AUD71187</t>
  </si>
  <si>
    <t xml:space="preserve">TI-910438</t>
  </si>
  <si>
    <t xml:space="preserve">AUD71188</t>
  </si>
  <si>
    <t xml:space="preserve">TI-440407</t>
  </si>
  <si>
    <t xml:space="preserve">AUD71189</t>
  </si>
  <si>
    <t xml:space="preserve">CA-309977</t>
  </si>
  <si>
    <t xml:space="preserve">AUD71190</t>
  </si>
  <si>
    <t xml:space="preserve">TI-699091</t>
  </si>
  <si>
    <t xml:space="preserve">AUD71191</t>
  </si>
  <si>
    <t xml:space="preserve">CA-819893</t>
  </si>
  <si>
    <t xml:space="preserve">AUD71192</t>
  </si>
  <si>
    <t xml:space="preserve">CA-671555</t>
  </si>
  <si>
    <t xml:space="preserve">AUD71193</t>
  </si>
  <si>
    <t xml:space="preserve">CA-978047</t>
  </si>
  <si>
    <t xml:space="preserve">AUD71194</t>
  </si>
  <si>
    <t xml:space="preserve">CH-458305</t>
  </si>
  <si>
    <t xml:space="preserve">AUD71195</t>
  </si>
  <si>
    <t xml:space="preserve">CA-620203</t>
  </si>
  <si>
    <t xml:space="preserve">AUD71196</t>
  </si>
  <si>
    <t xml:space="preserve">CH-799155</t>
  </si>
  <si>
    <t xml:space="preserve">AUD71197</t>
  </si>
  <si>
    <t xml:space="preserve">CA-368645</t>
  </si>
  <si>
    <t xml:space="preserve">AUD71198</t>
  </si>
  <si>
    <t xml:space="preserve">TI-431548</t>
  </si>
  <si>
    <t xml:space="preserve">AUD71199</t>
  </si>
  <si>
    <t xml:space="preserve">CH-908004</t>
  </si>
  <si>
    <t xml:space="preserve">AUD71200</t>
  </si>
  <si>
    <t xml:space="preserve">CH-811486</t>
  </si>
  <si>
    <t xml:space="preserve">AUD71201</t>
  </si>
  <si>
    <t xml:space="preserve">CA-541370</t>
  </si>
  <si>
    <t xml:space="preserve">AUD71202</t>
  </si>
  <si>
    <t xml:space="preserve">CA-231403</t>
  </si>
  <si>
    <t xml:space="preserve">AUD71203</t>
  </si>
  <si>
    <t xml:space="preserve">CA-470202</t>
  </si>
  <si>
    <t xml:space="preserve">AUD71204</t>
  </si>
  <si>
    <t xml:space="preserve">CH-339875</t>
  </si>
  <si>
    <t xml:space="preserve">No follow-up after promising a callback; Gave wrong fee / timing information; Changed account details before verifying identity</t>
  </si>
  <si>
    <t xml:space="preserve">AUD71205</t>
  </si>
  <si>
    <t xml:space="preserve">TI-403478</t>
  </si>
  <si>
    <t xml:space="preserve">AUD71206</t>
  </si>
  <si>
    <t xml:space="preserve">TI-980428</t>
  </si>
  <si>
    <t xml:space="preserve">AUD71207</t>
  </si>
  <si>
    <t xml:space="preserve">TI-283051</t>
  </si>
  <si>
    <t xml:space="preserve">AUD71208</t>
  </si>
  <si>
    <t xml:space="preserve">CH-217602</t>
  </si>
  <si>
    <t xml:space="preserve">AUD71209</t>
  </si>
  <si>
    <t xml:space="preserve">CA-416653</t>
  </si>
  <si>
    <t xml:space="preserve">AUD71210</t>
  </si>
  <si>
    <t xml:space="preserve">TI-483031</t>
  </si>
  <si>
    <t xml:space="preserve">AUD71211</t>
  </si>
  <si>
    <t xml:space="preserve">TI-255388</t>
  </si>
  <si>
    <t xml:space="preserve">AUD71212</t>
  </si>
  <si>
    <t xml:space="preserve">CA-428255</t>
  </si>
  <si>
    <t xml:space="preserve">AUD71213</t>
  </si>
  <si>
    <t xml:space="preserve">CH-504142</t>
  </si>
  <si>
    <t xml:space="preserve">AUD71214</t>
  </si>
  <si>
    <t xml:space="preserve">CA-565472</t>
  </si>
  <si>
    <t xml:space="preserve">AUD71215</t>
  </si>
  <si>
    <t xml:space="preserve">TI-449727</t>
  </si>
  <si>
    <t xml:space="preserve">AUD71216</t>
  </si>
  <si>
    <t xml:space="preserve">CA-727815</t>
  </si>
  <si>
    <t xml:space="preserve">AUD71217</t>
  </si>
  <si>
    <t xml:space="preserve">CA-814473</t>
  </si>
  <si>
    <t xml:space="preserve">AUD71218</t>
  </si>
  <si>
    <t xml:space="preserve">TI-635495</t>
  </si>
  <si>
    <t xml:space="preserve">AUD71219</t>
  </si>
  <si>
    <t xml:space="preserve">CA-978595</t>
  </si>
  <si>
    <t xml:space="preserve">AUD71220</t>
  </si>
  <si>
    <t xml:space="preserve">TI-651335</t>
  </si>
  <si>
    <t xml:space="preserve">AUD71221</t>
  </si>
  <si>
    <t xml:space="preserve">CA-743449</t>
  </si>
  <si>
    <t xml:space="preserve">AUD71222</t>
  </si>
  <si>
    <t xml:space="preserve">CA-411896</t>
  </si>
  <si>
    <t xml:space="preserve">AUD71223</t>
  </si>
  <si>
    <t xml:space="preserve">TI-892610</t>
  </si>
  <si>
    <t xml:space="preserve">AUD71224</t>
  </si>
  <si>
    <t xml:space="preserve">CA-471468</t>
  </si>
  <si>
    <t xml:space="preserve">AUD71225</t>
  </si>
  <si>
    <t xml:space="preserve">CA-530329</t>
  </si>
  <si>
    <t xml:space="preserve">AUD71226</t>
  </si>
  <si>
    <t xml:space="preserve">CA-146616</t>
  </si>
  <si>
    <t xml:space="preserve">AUD71227</t>
  </si>
  <si>
    <t xml:space="preserve">CH-960892</t>
  </si>
  <si>
    <t xml:space="preserve">AUD71228</t>
  </si>
  <si>
    <t xml:space="preserve">TI-658354</t>
  </si>
  <si>
    <t xml:space="preserve">AUD71229</t>
  </si>
  <si>
    <t xml:space="preserve">CH-803723</t>
  </si>
  <si>
    <t xml:space="preserve">AUD71230</t>
  </si>
  <si>
    <t xml:space="preserve">TI-268740</t>
  </si>
  <si>
    <t xml:space="preserve">AUD71231</t>
  </si>
  <si>
    <t xml:space="preserve">TI-212607</t>
  </si>
  <si>
    <t xml:space="preserve">AUD71232</t>
  </si>
  <si>
    <t xml:space="preserve">CA-179016</t>
  </si>
  <si>
    <t xml:space="preserve">AUD71233</t>
  </si>
  <si>
    <t xml:space="preserve">TI-800792</t>
  </si>
  <si>
    <t xml:space="preserve">AUD71234</t>
  </si>
  <si>
    <t xml:space="preserve">CA-713171</t>
  </si>
  <si>
    <t xml:space="preserve">AUD71235</t>
  </si>
  <si>
    <t xml:space="preserve">CA-129226</t>
  </si>
  <si>
    <t xml:space="preserve">AUD71236</t>
  </si>
  <si>
    <t xml:space="preserve">CA-562728</t>
  </si>
  <si>
    <t xml:space="preserve">AUD71237</t>
  </si>
  <si>
    <t xml:space="preserve">CA-381674</t>
  </si>
  <si>
    <t xml:space="preserve">AUD71238</t>
  </si>
  <si>
    <t xml:space="preserve">TI-834984</t>
  </si>
  <si>
    <t xml:space="preserve">AUD71239</t>
  </si>
  <si>
    <t xml:space="preserve">CA-940806</t>
  </si>
  <si>
    <t xml:space="preserve">AUD71240</t>
  </si>
  <si>
    <t xml:space="preserve">CA-504349</t>
  </si>
  <si>
    <t xml:space="preserve">AUD71241</t>
  </si>
  <si>
    <t xml:space="preserve">TI-318769</t>
  </si>
  <si>
    <t xml:space="preserve">AUD71242</t>
  </si>
  <si>
    <t xml:space="preserve">CA-501721</t>
  </si>
  <si>
    <t xml:space="preserve">AUD71243</t>
  </si>
  <si>
    <t xml:space="preserve">CA-330359</t>
  </si>
  <si>
    <t xml:space="preserve">AUD71244</t>
  </si>
  <si>
    <t xml:space="preserve">TI-412480</t>
  </si>
  <si>
    <t xml:space="preserve">AUD71245</t>
  </si>
  <si>
    <t xml:space="preserve">CA-475475</t>
  </si>
  <si>
    <t xml:space="preserve">AUD71246</t>
  </si>
  <si>
    <t xml:space="preserve">TI-748831</t>
  </si>
  <si>
    <t xml:space="preserve">AUD71247</t>
  </si>
  <si>
    <t xml:space="preserve">TI-804225</t>
  </si>
  <si>
    <t xml:space="preserve">AUD71248</t>
  </si>
  <si>
    <t xml:space="preserve">CA-838597</t>
  </si>
  <si>
    <t xml:space="preserve">AUD71249</t>
  </si>
  <si>
    <t xml:space="preserve">TI-277104</t>
  </si>
  <si>
    <t xml:space="preserve">AUD71250</t>
  </si>
  <si>
    <t xml:space="preserve">TI-176391</t>
  </si>
  <si>
    <t xml:space="preserve">AUD71251</t>
  </si>
  <si>
    <t xml:space="preserve">TI-176774</t>
  </si>
  <si>
    <t xml:space="preserve">AUD71252</t>
  </si>
  <si>
    <t xml:space="preserve">CH-392651</t>
  </si>
  <si>
    <t xml:space="preserve">AUD71253</t>
  </si>
  <si>
    <t xml:space="preserve">TI-922404</t>
  </si>
  <si>
    <t xml:space="preserve">AUD71254</t>
  </si>
  <si>
    <t xml:space="preserve">TI-384615</t>
  </si>
  <si>
    <t xml:space="preserve">AUD71255</t>
  </si>
  <si>
    <t xml:space="preserve">CH-245707</t>
  </si>
  <si>
    <t xml:space="preserve">AUD71256</t>
  </si>
  <si>
    <t xml:space="preserve">CA-366406</t>
  </si>
  <si>
    <t xml:space="preserve">AUD71257</t>
  </si>
  <si>
    <t xml:space="preserve">TI-540069</t>
  </si>
  <si>
    <t xml:space="preserve">AUD71258</t>
  </si>
  <si>
    <t xml:space="preserve">TI-770748</t>
  </si>
  <si>
    <t xml:space="preserve">AUD71259</t>
  </si>
  <si>
    <t xml:space="preserve">CA-978969</t>
  </si>
  <si>
    <t xml:space="preserve">AUD71260</t>
  </si>
  <si>
    <t xml:space="preserve">CA-848103</t>
  </si>
  <si>
    <t xml:space="preserve">AUD71261</t>
  </si>
  <si>
    <t xml:space="preserve">TI-889155</t>
  </si>
  <si>
    <t xml:space="preserve">AUD71262</t>
  </si>
  <si>
    <t xml:space="preserve">CA-187423</t>
  </si>
  <si>
    <t xml:space="preserve">AUD71263</t>
  </si>
  <si>
    <t xml:space="preserve">CA-850324</t>
  </si>
  <si>
    <t xml:space="preserve">AUD71264</t>
  </si>
  <si>
    <t xml:space="preserve">TI-172587</t>
  </si>
  <si>
    <t xml:space="preserve">AUD71265</t>
  </si>
  <si>
    <t xml:space="preserve">TI-569807</t>
  </si>
  <si>
    <t xml:space="preserve">AUD71266</t>
  </si>
  <si>
    <t xml:space="preserve">TI-148456</t>
  </si>
  <si>
    <t xml:space="preserve">AUD71267</t>
  </si>
  <si>
    <t xml:space="preserve">CH-226030</t>
  </si>
  <si>
    <t xml:space="preserve">AUD71268</t>
  </si>
  <si>
    <t xml:space="preserve">TI-395790</t>
  </si>
  <si>
    <t xml:space="preserve">AUD71269</t>
  </si>
  <si>
    <t xml:space="preserve">TI-416468</t>
  </si>
  <si>
    <t xml:space="preserve">AUD71270</t>
  </si>
  <si>
    <t xml:space="preserve">TI-496346</t>
  </si>
  <si>
    <t xml:space="preserve">AUD71271</t>
  </si>
  <si>
    <t xml:space="preserve">CA-642327</t>
  </si>
  <si>
    <t xml:space="preserve">AUD71272</t>
  </si>
  <si>
    <t xml:space="preserve">TI-593067</t>
  </si>
  <si>
    <t xml:space="preserve">AUD71273</t>
  </si>
  <si>
    <t xml:space="preserve">CA-999595</t>
  </si>
  <si>
    <t xml:space="preserve">AUD71274</t>
  </si>
  <si>
    <t xml:space="preserve">TI-167592</t>
  </si>
  <si>
    <t xml:space="preserve">AUD71275</t>
  </si>
  <si>
    <t xml:space="preserve">CA-166765</t>
  </si>
  <si>
    <t xml:space="preserve">AUD71276</t>
  </si>
  <si>
    <t xml:space="preserve">CA-481816</t>
  </si>
  <si>
    <t xml:space="preserve">AUD71277</t>
  </si>
  <si>
    <t xml:space="preserve">TI-267015</t>
  </si>
  <si>
    <t xml:space="preserve">AUD71278</t>
  </si>
  <si>
    <t xml:space="preserve">CA-438323</t>
  </si>
  <si>
    <t xml:space="preserve">AUD71279</t>
  </si>
  <si>
    <t xml:space="preserve">CA-892508</t>
  </si>
  <si>
    <t xml:space="preserve">AUD71280</t>
  </si>
  <si>
    <t xml:space="preserve">TI-419761</t>
  </si>
  <si>
    <t xml:space="preserve">AUD71281</t>
  </si>
  <si>
    <t xml:space="preserve">CH-204469</t>
  </si>
  <si>
    <t xml:space="preserve">AUD71282</t>
  </si>
  <si>
    <t xml:space="preserve">TI-105766</t>
  </si>
  <si>
    <t xml:space="preserve">AUD71283</t>
  </si>
  <si>
    <t xml:space="preserve">CA-699128</t>
  </si>
  <si>
    <t xml:space="preserve">AUD71284</t>
  </si>
  <si>
    <t xml:space="preserve">CH-607651</t>
  </si>
  <si>
    <t xml:space="preserve">AUD71285</t>
  </si>
  <si>
    <t xml:space="preserve">CA-618841</t>
  </si>
  <si>
    <t xml:space="preserve">AUD71286</t>
  </si>
  <si>
    <t xml:space="preserve">TI-840136</t>
  </si>
  <si>
    <t xml:space="preserve">AUD71287</t>
  </si>
  <si>
    <t xml:space="preserve">TI-757277</t>
  </si>
  <si>
    <t xml:space="preserve">AUD71288</t>
  </si>
  <si>
    <t xml:space="preserve">CA-266759</t>
  </si>
  <si>
    <t xml:space="preserve">AUD71289</t>
  </si>
  <si>
    <t xml:space="preserve">CA-313664</t>
  </si>
  <si>
    <t xml:space="preserve">AUD71290</t>
  </si>
  <si>
    <t xml:space="preserve">CA-716794</t>
  </si>
  <si>
    <t xml:space="preserve">AUD71291</t>
  </si>
  <si>
    <t xml:space="preserve">CA-821563</t>
  </si>
  <si>
    <t xml:space="preserve">AUD71292</t>
  </si>
  <si>
    <t xml:space="preserve">TI-967626</t>
  </si>
  <si>
    <t xml:space="preserve">AUD71293</t>
  </si>
  <si>
    <t xml:space="preserve">CA-938055</t>
  </si>
  <si>
    <t xml:space="preserve">AUD71294</t>
  </si>
  <si>
    <t xml:space="preserve">CH-991339</t>
  </si>
  <si>
    <t xml:space="preserve">AUD71295</t>
  </si>
  <si>
    <t xml:space="preserve">CH-292277</t>
  </si>
  <si>
    <t xml:space="preserve">AUD71296</t>
  </si>
  <si>
    <t xml:space="preserve">TI-353414</t>
  </si>
  <si>
    <t xml:space="preserve">AUD71297</t>
  </si>
  <si>
    <t xml:space="preserve">TI-170238</t>
  </si>
  <si>
    <t xml:space="preserve">AUD71298</t>
  </si>
  <si>
    <t xml:space="preserve">TI-443919</t>
  </si>
  <si>
    <t xml:space="preserve">AUD71299</t>
  </si>
  <si>
    <t xml:space="preserve">TI-411592</t>
  </si>
  <si>
    <t xml:space="preserve">AUD71300</t>
  </si>
  <si>
    <t xml:space="preserve">CA-294775</t>
  </si>
  <si>
    <t xml:space="preserve">AUD71301</t>
  </si>
  <si>
    <t xml:space="preserve">TI-408704</t>
  </si>
  <si>
    <t xml:space="preserve">AUD71302</t>
  </si>
  <si>
    <t xml:space="preserve">CH-222609</t>
  </si>
  <si>
    <t xml:space="preserve">AUD71303</t>
  </si>
  <si>
    <t xml:space="preserve">TI-456771</t>
  </si>
  <si>
    <t xml:space="preserve">AUD71304</t>
  </si>
  <si>
    <t xml:space="preserve">CA-725215</t>
  </si>
  <si>
    <t xml:space="preserve">AUD71305</t>
  </si>
  <si>
    <t xml:space="preserve">CA-666166</t>
  </si>
  <si>
    <t xml:space="preserve">AUD71306</t>
  </si>
  <si>
    <t xml:space="preserve">CH-174329</t>
  </si>
  <si>
    <t xml:space="preserve">AUD71307</t>
  </si>
  <si>
    <t xml:space="preserve">TI-899599</t>
  </si>
  <si>
    <t xml:space="preserve">AUD71308</t>
  </si>
  <si>
    <t xml:space="preserve">TI-758510</t>
  </si>
  <si>
    <t xml:space="preserve">AUD71309</t>
  </si>
  <si>
    <t xml:space="preserve">TI-412258</t>
  </si>
  <si>
    <t xml:space="preserve">AUD71310</t>
  </si>
  <si>
    <t xml:space="preserve">CH-408876</t>
  </si>
  <si>
    <t xml:space="preserve">AUD71311</t>
  </si>
  <si>
    <t xml:space="preserve">TI-290033</t>
  </si>
  <si>
    <t xml:space="preserve">AUD71312</t>
  </si>
  <si>
    <t xml:space="preserve">TI-605768</t>
  </si>
  <si>
    <t xml:space="preserve">AUD71313</t>
  </si>
  <si>
    <t xml:space="preserve">TI-225042</t>
  </si>
  <si>
    <t xml:space="preserve">AUD71314</t>
  </si>
  <si>
    <t xml:space="preserve">TI-557404</t>
  </si>
  <si>
    <t xml:space="preserve">AUD71315</t>
  </si>
  <si>
    <t xml:space="preserve">TI-427518</t>
  </si>
  <si>
    <t xml:space="preserve">AUD71316</t>
  </si>
  <si>
    <t xml:space="preserve">CH-675302</t>
  </si>
  <si>
    <t xml:space="preserve">AUD71317</t>
  </si>
  <si>
    <t xml:space="preserve">TI-663721</t>
  </si>
  <si>
    <t xml:space="preserve">AUD71318</t>
  </si>
  <si>
    <t xml:space="preserve">TI-306699</t>
  </si>
  <si>
    <t xml:space="preserve">AUD71319</t>
  </si>
  <si>
    <t xml:space="preserve">CH-346301</t>
  </si>
  <si>
    <t xml:space="preserve">AUD71320</t>
  </si>
  <si>
    <t xml:space="preserve">TI-659827</t>
  </si>
  <si>
    <t xml:space="preserve">AUD71321</t>
  </si>
  <si>
    <t xml:space="preserve">TI-980905</t>
  </si>
  <si>
    <t xml:space="preserve">AUD71322</t>
  </si>
  <si>
    <t xml:space="preserve">CA-899448</t>
  </si>
  <si>
    <t xml:space="preserve">AUD71323</t>
  </si>
  <si>
    <t xml:space="preserve">CA-261997</t>
  </si>
  <si>
    <t xml:space="preserve">AUD71324</t>
  </si>
  <si>
    <t xml:space="preserve">TI-380696</t>
  </si>
  <si>
    <t xml:space="preserve">AUD71325</t>
  </si>
  <si>
    <t xml:space="preserve">CH-196620</t>
  </si>
  <si>
    <t xml:space="preserve">AUD71326</t>
  </si>
  <si>
    <t xml:space="preserve">TI-232035</t>
  </si>
  <si>
    <t xml:space="preserve">AUD71327</t>
  </si>
  <si>
    <t xml:space="preserve">CH-138912</t>
  </si>
  <si>
    <t xml:space="preserve">AUD71328</t>
  </si>
  <si>
    <t xml:space="preserve">CH-832086</t>
  </si>
  <si>
    <t xml:space="preserve">AUD71329</t>
  </si>
  <si>
    <t xml:space="preserve">TI-802001</t>
  </si>
  <si>
    <t xml:space="preserve">AUD71330</t>
  </si>
  <si>
    <t xml:space="preserve">CA-130765</t>
  </si>
  <si>
    <t xml:space="preserve">AUD71331</t>
  </si>
  <si>
    <t xml:space="preserve">CA-397960</t>
  </si>
  <si>
    <t xml:space="preserve">AUD71332</t>
  </si>
  <si>
    <t xml:space="preserve">AUD71333</t>
  </si>
  <si>
    <t xml:space="preserve">TI-399532</t>
  </si>
  <si>
    <t xml:space="preserve">AUD71334</t>
  </si>
  <si>
    <t xml:space="preserve">CH-413752</t>
  </si>
  <si>
    <t xml:space="preserve">AUD71335</t>
  </si>
  <si>
    <t xml:space="preserve">CA-534430</t>
  </si>
  <si>
    <t xml:space="preserve">AUD71336</t>
  </si>
  <si>
    <t xml:space="preserve">TI-434571</t>
  </si>
  <si>
    <t xml:space="preserve">AUD71337</t>
  </si>
  <si>
    <t xml:space="preserve">TI-474398</t>
  </si>
  <si>
    <t xml:space="preserve">AUD71338</t>
  </si>
  <si>
    <t xml:space="preserve">TI-846124</t>
  </si>
  <si>
    <t xml:space="preserve">AUD71339</t>
  </si>
  <si>
    <t xml:space="preserve">CA-190525</t>
  </si>
  <si>
    <t xml:space="preserve">AUD71340</t>
  </si>
  <si>
    <t xml:space="preserve">CA-254228</t>
  </si>
  <si>
    <t xml:space="preserve">AUD71341</t>
  </si>
  <si>
    <t xml:space="preserve">CH-159571</t>
  </si>
  <si>
    <t xml:space="preserve">AUD71342</t>
  </si>
  <si>
    <t xml:space="preserve">CA-608891</t>
  </si>
  <si>
    <t xml:space="preserve">AUD71343</t>
  </si>
  <si>
    <t xml:space="preserve">CA-624415</t>
  </si>
  <si>
    <t xml:space="preserve">AUD71344</t>
  </si>
  <si>
    <t xml:space="preserve">TI-114859</t>
  </si>
  <si>
    <t xml:space="preserve">AUD71345</t>
  </si>
  <si>
    <t xml:space="preserve">CA-322559</t>
  </si>
  <si>
    <t xml:space="preserve">AUD71346</t>
  </si>
  <si>
    <t xml:space="preserve">CA-851913</t>
  </si>
  <si>
    <t xml:space="preserve">AUD71347</t>
  </si>
  <si>
    <t xml:space="preserve">CH-384034</t>
  </si>
  <si>
    <t xml:space="preserve">AUD71348</t>
  </si>
  <si>
    <t xml:space="preserve">TI-772797</t>
  </si>
  <si>
    <t xml:space="preserve">AUD71349</t>
  </si>
  <si>
    <t xml:space="preserve">CA-572650</t>
  </si>
  <si>
    <t xml:space="preserve">AUD71350</t>
  </si>
  <si>
    <t xml:space="preserve">TI-100839</t>
  </si>
  <si>
    <t xml:space="preserve">AUD71351</t>
  </si>
  <si>
    <t xml:space="preserve">CA-625706</t>
  </si>
  <si>
    <t xml:space="preserve">AUD71352</t>
  </si>
  <si>
    <t xml:space="preserve">CA-903899</t>
  </si>
  <si>
    <t xml:space="preserve">AUD71353</t>
  </si>
  <si>
    <t xml:space="preserve">TI-527465</t>
  </si>
  <si>
    <t xml:space="preserve">AUD71354</t>
  </si>
  <si>
    <t xml:space="preserve">CH-157641</t>
  </si>
  <si>
    <t xml:space="preserve">AUD71355</t>
  </si>
  <si>
    <t xml:space="preserve">CA-994090</t>
  </si>
  <si>
    <t xml:space="preserve">AUD71356</t>
  </si>
  <si>
    <t xml:space="preserve">TI-240592</t>
  </si>
  <si>
    <t xml:space="preserve">AUD71357</t>
  </si>
  <si>
    <t xml:space="preserve">TI-870392</t>
  </si>
  <si>
    <t xml:space="preserve">AUD71358</t>
  </si>
  <si>
    <t xml:space="preserve">TI-211219</t>
  </si>
  <si>
    <t xml:space="preserve">AUD71359</t>
  </si>
  <si>
    <t xml:space="preserve">TI-565759</t>
  </si>
  <si>
    <t xml:space="preserve">AUD71360</t>
  </si>
  <si>
    <t xml:space="preserve">CA-551964</t>
  </si>
  <si>
    <t xml:space="preserve">AUD71361</t>
  </si>
  <si>
    <t xml:space="preserve">CA-626607</t>
  </si>
  <si>
    <t xml:space="preserve">AUD71362</t>
  </si>
  <si>
    <t xml:space="preserve">CA-491740</t>
  </si>
  <si>
    <t xml:space="preserve">AUD71363</t>
  </si>
  <si>
    <t xml:space="preserve">CA-793278</t>
  </si>
  <si>
    <t xml:space="preserve">AUD71364</t>
  </si>
  <si>
    <t xml:space="preserve">TI-477853</t>
  </si>
  <si>
    <t xml:space="preserve">AUD71365</t>
  </si>
  <si>
    <t xml:space="preserve">TI-299810</t>
  </si>
  <si>
    <t xml:space="preserve">AUD71366</t>
  </si>
  <si>
    <t xml:space="preserve">TI-226642</t>
  </si>
  <si>
    <t xml:space="preserve">AUD71367</t>
  </si>
  <si>
    <t xml:space="preserve">CA-506016</t>
  </si>
  <si>
    <t xml:space="preserve">AUD71368</t>
  </si>
  <si>
    <t xml:space="preserve">TI-886116</t>
  </si>
  <si>
    <t xml:space="preserve">AUD71369</t>
  </si>
  <si>
    <t xml:space="preserve">CH-999173</t>
  </si>
  <si>
    <t xml:space="preserve">AUD71370</t>
  </si>
  <si>
    <t xml:space="preserve">CA-242876</t>
  </si>
  <si>
    <t xml:space="preserve">AUD71371</t>
  </si>
  <si>
    <t xml:space="preserve">TI-454680</t>
  </si>
  <si>
    <t xml:space="preserve">AUD71372</t>
  </si>
  <si>
    <t xml:space="preserve">TI-420357</t>
  </si>
  <si>
    <t xml:space="preserve">AUD71373</t>
  </si>
  <si>
    <t xml:space="preserve">CA-879565</t>
  </si>
  <si>
    <t xml:space="preserve">AUD71374</t>
  </si>
  <si>
    <t xml:space="preserve">CA-584603</t>
  </si>
  <si>
    <t xml:space="preserve">AUD71375</t>
  </si>
  <si>
    <t xml:space="preserve">TI-886710</t>
  </si>
  <si>
    <t xml:space="preserve">AUD71376</t>
  </si>
  <si>
    <t xml:space="preserve">CA-571766</t>
  </si>
  <si>
    <t xml:space="preserve">AUD71377</t>
  </si>
  <si>
    <t xml:space="preserve">TI-593649</t>
  </si>
  <si>
    <t xml:space="preserve">AUD71378</t>
  </si>
  <si>
    <t xml:space="preserve">TI-171895</t>
  </si>
  <si>
    <t xml:space="preserve">AUD71379</t>
  </si>
  <si>
    <t xml:space="preserve">CA-540073</t>
  </si>
  <si>
    <t xml:space="preserve">AUD71380</t>
  </si>
  <si>
    <t xml:space="preserve">CA-115434</t>
  </si>
  <si>
    <t xml:space="preserve">AUD71381</t>
  </si>
  <si>
    <t xml:space="preserve">TI-169984</t>
  </si>
  <si>
    <t xml:space="preserve">AUD71382</t>
  </si>
  <si>
    <t xml:space="preserve">CH-701448</t>
  </si>
  <si>
    <t xml:space="preserve">AUD71383</t>
  </si>
  <si>
    <t xml:space="preserve">CA-511695</t>
  </si>
  <si>
    <t xml:space="preserve">AUD71384</t>
  </si>
  <si>
    <t xml:space="preserve">TI-209502</t>
  </si>
  <si>
    <t xml:space="preserve">AUD71385</t>
  </si>
  <si>
    <t xml:space="preserve">CA-988327</t>
  </si>
  <si>
    <t xml:space="preserve">AUD71386</t>
  </si>
  <si>
    <t xml:space="preserve">CA-507057</t>
  </si>
  <si>
    <t xml:space="preserve">AUD71387</t>
  </si>
  <si>
    <t xml:space="preserve">CH-711719</t>
  </si>
  <si>
    <t xml:space="preserve">AUD71388</t>
  </si>
  <si>
    <t xml:space="preserve">TI-757940</t>
  </si>
  <si>
    <t xml:space="preserve">AUD71389</t>
  </si>
  <si>
    <t xml:space="preserve">TI-761360</t>
  </si>
  <si>
    <t xml:space="preserve">AUD71390</t>
  </si>
  <si>
    <t xml:space="preserve">CA-929656</t>
  </si>
  <si>
    <t xml:space="preserve">AUD71391</t>
  </si>
  <si>
    <t xml:space="preserve">TI-650469</t>
  </si>
  <si>
    <t xml:space="preserve">AUD71392</t>
  </si>
  <si>
    <t xml:space="preserve">TI-418890</t>
  </si>
  <si>
    <t xml:space="preserve">AUD71393</t>
  </si>
  <si>
    <t xml:space="preserve">CH-649837</t>
  </si>
  <si>
    <t xml:space="preserve">AUD71394</t>
  </si>
  <si>
    <t xml:space="preserve">CA-178365</t>
  </si>
  <si>
    <t xml:space="preserve">AUD71395</t>
  </si>
  <si>
    <t xml:space="preserve">TI-320635</t>
  </si>
  <si>
    <t xml:space="preserve">AUD71396</t>
  </si>
  <si>
    <t xml:space="preserve">TI-415694</t>
  </si>
  <si>
    <t xml:space="preserve">AUD71397</t>
  </si>
  <si>
    <t xml:space="preserve">CA-199111</t>
  </si>
  <si>
    <t xml:space="preserve">AUD71398</t>
  </si>
  <si>
    <t xml:space="preserve">TI-911585</t>
  </si>
  <si>
    <t xml:space="preserve">AUD71399</t>
  </si>
  <si>
    <t xml:space="preserve">CH-546476</t>
  </si>
  <si>
    <t xml:space="preserve">AUD71400</t>
  </si>
  <si>
    <t xml:space="preserve">CA-285331</t>
  </si>
  <si>
    <t xml:space="preserve">AUD71401</t>
  </si>
  <si>
    <t xml:space="preserve">TI-815390</t>
  </si>
  <si>
    <t xml:space="preserve">AUD71402</t>
  </si>
  <si>
    <t xml:space="preserve">TI-401745</t>
  </si>
  <si>
    <t xml:space="preserve">AUD71403</t>
  </si>
  <si>
    <t xml:space="preserve">CA-847263</t>
  </si>
  <si>
    <t xml:space="preserve">AUD71404</t>
  </si>
  <si>
    <t xml:space="preserve">TI-894483</t>
  </si>
  <si>
    <t xml:space="preserve">AUD71405</t>
  </si>
  <si>
    <t xml:space="preserve">CA-788239</t>
  </si>
  <si>
    <t xml:space="preserve">AUD71406</t>
  </si>
  <si>
    <t xml:space="preserve">TI-816380</t>
  </si>
  <si>
    <t xml:space="preserve">AUD71407</t>
  </si>
  <si>
    <t xml:space="preserve">CA-966178</t>
  </si>
  <si>
    <t xml:space="preserve">AUD71408</t>
  </si>
  <si>
    <t xml:space="preserve">TI-967764</t>
  </si>
  <si>
    <t xml:space="preserve">AUD71409</t>
  </si>
  <si>
    <t xml:space="preserve">CA-666576</t>
  </si>
  <si>
    <t xml:space="preserve">AUD71410</t>
  </si>
  <si>
    <t xml:space="preserve">TI-180174</t>
  </si>
  <si>
    <t xml:space="preserve">AUD71411</t>
  </si>
  <si>
    <t xml:space="preserve">TI-148889</t>
  </si>
  <si>
    <t xml:space="preserve">AUD71412</t>
  </si>
  <si>
    <t xml:space="preserve">CA-203856</t>
  </si>
  <si>
    <t xml:space="preserve">AUD71413</t>
  </si>
  <si>
    <t xml:space="preserve">CH-413768</t>
  </si>
  <si>
    <t xml:space="preserve">AUD71414</t>
  </si>
  <si>
    <t xml:space="preserve">TI-261628</t>
  </si>
  <si>
    <t xml:space="preserve">AUD71415</t>
  </si>
  <si>
    <t xml:space="preserve">CH-299279</t>
  </si>
  <si>
    <t xml:space="preserve">AUD71416</t>
  </si>
  <si>
    <t xml:space="preserve">TI-457348</t>
  </si>
  <si>
    <t xml:space="preserve">AUD71417</t>
  </si>
  <si>
    <t xml:space="preserve">TI-666254</t>
  </si>
  <si>
    <t xml:space="preserve">AUD71418</t>
  </si>
  <si>
    <t xml:space="preserve">CA-383773</t>
  </si>
  <si>
    <t xml:space="preserve">AUD71419</t>
  </si>
  <si>
    <t xml:space="preserve">TI-578902</t>
  </si>
  <si>
    <t xml:space="preserve">AUD71420</t>
  </si>
  <si>
    <t xml:space="preserve">CA-428500</t>
  </si>
  <si>
    <t xml:space="preserve">AUD71421</t>
  </si>
  <si>
    <t xml:space="preserve">CA-465006</t>
  </si>
  <si>
    <t xml:space="preserve">AUD71422</t>
  </si>
  <si>
    <t xml:space="preserve">TI-804598</t>
  </si>
  <si>
    <t xml:space="preserve">AUD71423</t>
  </si>
  <si>
    <t xml:space="preserve">CA-629905</t>
  </si>
  <si>
    <t xml:space="preserve">AUD71424</t>
  </si>
  <si>
    <t xml:space="preserve">CA-139743</t>
  </si>
  <si>
    <t xml:space="preserve">AUD71425</t>
  </si>
  <si>
    <t xml:space="preserve">CA-322038</t>
  </si>
  <si>
    <t xml:space="preserve">AUD71426</t>
  </si>
  <si>
    <t xml:space="preserve">CA-260751</t>
  </si>
  <si>
    <t xml:space="preserve">AUD71427</t>
  </si>
  <si>
    <t xml:space="preserve">CA-178542</t>
  </si>
  <si>
    <t xml:space="preserve">AUD71428</t>
  </si>
  <si>
    <t xml:space="preserve">CH-271081</t>
  </si>
  <si>
    <t xml:space="preserve">AUD71429</t>
  </si>
  <si>
    <t xml:space="preserve">TI-831516</t>
  </si>
  <si>
    <t xml:space="preserve">AUD71430</t>
  </si>
  <si>
    <t xml:space="preserve">TI-208164</t>
  </si>
  <si>
    <t xml:space="preserve">AUD71431</t>
  </si>
  <si>
    <t xml:space="preserve">CA-620174</t>
  </si>
  <si>
    <t xml:space="preserve">AUD71432</t>
  </si>
  <si>
    <t xml:space="preserve">CH-646335</t>
  </si>
  <si>
    <t xml:space="preserve">AUD71433</t>
  </si>
  <si>
    <t xml:space="preserve">TI-290084</t>
  </si>
  <si>
    <t xml:space="preserve">AUD71434</t>
  </si>
  <si>
    <t xml:space="preserve">TI-866144</t>
  </si>
  <si>
    <t xml:space="preserve">AUD71435</t>
  </si>
  <si>
    <t xml:space="preserve">TI-396798</t>
  </si>
  <si>
    <t xml:space="preserve">AUD71436</t>
  </si>
  <si>
    <t xml:space="preserve">TI-497692</t>
  </si>
  <si>
    <t xml:space="preserve">AUD71437</t>
  </si>
  <si>
    <t xml:space="preserve">TI-560157</t>
  </si>
  <si>
    <t xml:space="preserve">AUD71438</t>
  </si>
  <si>
    <t xml:space="preserve">TI-514676</t>
  </si>
  <si>
    <t xml:space="preserve">AUD71439</t>
  </si>
  <si>
    <t xml:space="preserve">CA-562822</t>
  </si>
  <si>
    <t xml:space="preserve">AUD71440</t>
  </si>
  <si>
    <t xml:space="preserve">CA-920447</t>
  </si>
  <si>
    <t xml:space="preserve">AUD71441</t>
  </si>
  <si>
    <t xml:space="preserve">TI-725902</t>
  </si>
  <si>
    <t xml:space="preserve">AUD71442</t>
  </si>
  <si>
    <t xml:space="preserve">TI-346625</t>
  </si>
  <si>
    <t xml:space="preserve">AUD71443</t>
  </si>
  <si>
    <t xml:space="preserve">CA-457852</t>
  </si>
  <si>
    <t xml:space="preserve">AUD71444</t>
  </si>
  <si>
    <t xml:space="preserve">TI-796376</t>
  </si>
  <si>
    <t xml:space="preserve">AUD71445</t>
  </si>
  <si>
    <t xml:space="preserve">CA-191356</t>
  </si>
  <si>
    <t xml:space="preserve">AUD71446</t>
  </si>
  <si>
    <t xml:space="preserve">CH-711286</t>
  </si>
  <si>
    <t xml:space="preserve">AUD71447</t>
  </si>
  <si>
    <t xml:space="preserve">TI-294564</t>
  </si>
  <si>
    <t xml:space="preserve">AUD71448</t>
  </si>
  <si>
    <t xml:space="preserve">TI-624064</t>
  </si>
  <si>
    <t xml:space="preserve">AUD71449</t>
  </si>
  <si>
    <t xml:space="preserve">CA-281492</t>
  </si>
  <si>
    <t xml:space="preserve">AUD71450</t>
  </si>
  <si>
    <t xml:space="preserve">CA-640500</t>
  </si>
  <si>
    <t xml:space="preserve">AUD71451</t>
  </si>
  <si>
    <t xml:space="preserve">CA-775587</t>
  </si>
  <si>
    <t xml:space="preserve">AUD71452</t>
  </si>
  <si>
    <t xml:space="preserve">CA-815606</t>
  </si>
  <si>
    <t xml:space="preserve">AUD71453</t>
  </si>
  <si>
    <t xml:space="preserve">CH-614454</t>
  </si>
  <si>
    <t xml:space="preserve">AUD71454</t>
  </si>
  <si>
    <t xml:space="preserve">TI-246739</t>
  </si>
  <si>
    <t xml:space="preserve">AUD71455</t>
  </si>
  <si>
    <t xml:space="preserve">TI-842228</t>
  </si>
  <si>
    <t xml:space="preserve">AUD71456</t>
  </si>
  <si>
    <t xml:space="preserve">TI-119562</t>
  </si>
  <si>
    <t xml:space="preserve">AUD71457</t>
  </si>
  <si>
    <t xml:space="preserve">CA-143935</t>
  </si>
  <si>
    <t xml:space="preserve">AUD71458</t>
  </si>
  <si>
    <t xml:space="preserve">TI-831845</t>
  </si>
  <si>
    <t xml:space="preserve">AUD71459</t>
  </si>
  <si>
    <t xml:space="preserve">CA-118341</t>
  </si>
  <si>
    <t xml:space="preserve">AUD71460</t>
  </si>
  <si>
    <t xml:space="preserve">CA-949110</t>
  </si>
  <si>
    <t xml:space="preserve">AUD71461</t>
  </si>
  <si>
    <t xml:space="preserve">CH-432748</t>
  </si>
  <si>
    <t xml:space="preserve">AUD71462</t>
  </si>
  <si>
    <t xml:space="preserve">TI-229027</t>
  </si>
  <si>
    <t xml:space="preserve">AUD71463</t>
  </si>
  <si>
    <t xml:space="preserve">CA-649698</t>
  </si>
  <si>
    <t xml:space="preserve">AUD71464</t>
  </si>
  <si>
    <t xml:space="preserve">CA-521996</t>
  </si>
  <si>
    <t xml:space="preserve">AUD71465</t>
  </si>
  <si>
    <t xml:space="preserve">TI-512932</t>
  </si>
  <si>
    <t xml:space="preserve">AUD71466</t>
  </si>
  <si>
    <t xml:space="preserve">TI-162681</t>
  </si>
  <si>
    <t xml:space="preserve">AUD71467</t>
  </si>
  <si>
    <t xml:space="preserve">TI-826675</t>
  </si>
  <si>
    <t xml:space="preserve">AUD71468</t>
  </si>
  <si>
    <t xml:space="preserve">TI-995559</t>
  </si>
  <si>
    <t xml:space="preserve">AUD71469</t>
  </si>
  <si>
    <t xml:space="preserve">TI-375016</t>
  </si>
  <si>
    <t xml:space="preserve">AUD71470</t>
  </si>
  <si>
    <t xml:space="preserve">TI-561568</t>
  </si>
  <si>
    <t xml:space="preserve">AUD71471</t>
  </si>
  <si>
    <t xml:space="preserve">CH-755572</t>
  </si>
  <si>
    <t xml:space="preserve">AUD71472</t>
  </si>
  <si>
    <t xml:space="preserve">CH-133862</t>
  </si>
  <si>
    <t xml:space="preserve">AUD71473</t>
  </si>
  <si>
    <t xml:space="preserve">TI-917360</t>
  </si>
  <si>
    <t xml:space="preserve">AUD71474</t>
  </si>
  <si>
    <t xml:space="preserve">CH-436647</t>
  </si>
  <si>
    <t xml:space="preserve">AUD71475</t>
  </si>
  <si>
    <t xml:space="preserve">CA-915888</t>
  </si>
  <si>
    <t xml:space="preserve">AUD71476</t>
  </si>
  <si>
    <t xml:space="preserve">TI-947678</t>
  </si>
  <si>
    <t xml:space="preserve">AUD71477</t>
  </si>
  <si>
    <t xml:space="preserve">CA-703322</t>
  </si>
  <si>
    <t xml:space="preserve">AUD71478</t>
  </si>
  <si>
    <t xml:space="preserve">TI-541162</t>
  </si>
  <si>
    <t xml:space="preserve">AUD71479</t>
  </si>
  <si>
    <t xml:space="preserve">TI-278373</t>
  </si>
  <si>
    <t xml:space="preserve">AUD71480</t>
  </si>
  <si>
    <t xml:space="preserve">CA-537538</t>
  </si>
  <si>
    <t xml:space="preserve">AUD71481</t>
  </si>
  <si>
    <t xml:space="preserve">CH-949999</t>
  </si>
  <si>
    <t xml:space="preserve">AUD71482</t>
  </si>
  <si>
    <t xml:space="preserve">TI-165046</t>
  </si>
  <si>
    <t xml:space="preserve">AUD71483</t>
  </si>
  <si>
    <t xml:space="preserve">TI-378835</t>
  </si>
  <si>
    <t xml:space="preserve">AUD71484</t>
  </si>
  <si>
    <t xml:space="preserve">CA-760521</t>
  </si>
  <si>
    <t xml:space="preserve">AUD71485</t>
  </si>
  <si>
    <t xml:space="preserve">CH-514276</t>
  </si>
  <si>
    <t xml:space="preserve">AUD71486</t>
  </si>
  <si>
    <t xml:space="preserve">TI-816953</t>
  </si>
  <si>
    <t xml:space="preserve">AUD71487</t>
  </si>
  <si>
    <t xml:space="preserve">TI-665633</t>
  </si>
  <si>
    <t xml:space="preserve">AUD71488</t>
  </si>
  <si>
    <t xml:space="preserve">TI-942320</t>
  </si>
  <si>
    <t xml:space="preserve">AUD71489</t>
  </si>
  <si>
    <t xml:space="preserve">CH-807578</t>
  </si>
  <si>
    <t xml:space="preserve">AUD71490</t>
  </si>
  <si>
    <t xml:space="preserve">CA-800971</t>
  </si>
  <si>
    <t xml:space="preserve">AUD71491</t>
  </si>
  <si>
    <t xml:space="preserve">TI-295108</t>
  </si>
  <si>
    <t xml:space="preserve">AUD71492</t>
  </si>
  <si>
    <t xml:space="preserve">TI-563267</t>
  </si>
  <si>
    <t xml:space="preserve">AUD71493</t>
  </si>
  <si>
    <t xml:space="preserve">TI-374168</t>
  </si>
  <si>
    <t xml:space="preserve">AUD71494</t>
  </si>
  <si>
    <t xml:space="preserve">TI-861650</t>
  </si>
  <si>
    <t xml:space="preserve">AUD71495</t>
  </si>
  <si>
    <t xml:space="preserve">CA-375032</t>
  </si>
  <si>
    <t xml:space="preserve">AUD71496</t>
  </si>
  <si>
    <t xml:space="preserve">CA-481736</t>
  </si>
  <si>
    <t xml:space="preserve">AUD71497</t>
  </si>
  <si>
    <t xml:space="preserve">TI-784498</t>
  </si>
  <si>
    <t xml:space="preserve">AUD71498</t>
  </si>
  <si>
    <t xml:space="preserve">CA-451877</t>
  </si>
  <si>
    <t xml:space="preserve">AUD71499</t>
  </si>
  <si>
    <t xml:space="preserve">TI-667763</t>
  </si>
  <si>
    <t xml:space="preserve">AUD71500</t>
  </si>
  <si>
    <t xml:space="preserve">TI-107307</t>
  </si>
  <si>
    <t xml:space="preserve">AUD71501</t>
  </si>
  <si>
    <t xml:space="preserve">CA-315938</t>
  </si>
  <si>
    <t xml:space="preserve">AUD71502</t>
  </si>
  <si>
    <t xml:space="preserve">CA-596756</t>
  </si>
  <si>
    <t xml:space="preserve">AUD71503</t>
  </si>
  <si>
    <t xml:space="preserve">CA-625266</t>
  </si>
  <si>
    <t xml:space="preserve">AUD71504</t>
  </si>
  <si>
    <t xml:space="preserve">CA-261649</t>
  </si>
  <si>
    <t xml:space="preserve">AUD71505</t>
  </si>
  <si>
    <t xml:space="preserve">TI-514245</t>
  </si>
  <si>
    <t xml:space="preserve">AUD71506</t>
  </si>
  <si>
    <t xml:space="preserve">TI-665578</t>
  </si>
  <si>
    <t xml:space="preserve">AUD71507</t>
  </si>
  <si>
    <t xml:space="preserve">TI-683512</t>
  </si>
  <si>
    <t xml:space="preserve">AUD71508</t>
  </si>
  <si>
    <t xml:space="preserve">TI-141146</t>
  </si>
  <si>
    <t xml:space="preserve">AUD71509</t>
  </si>
  <si>
    <t xml:space="preserve">TI-351952</t>
  </si>
  <si>
    <t xml:space="preserve">AUD71510</t>
  </si>
  <si>
    <t xml:space="preserve">CA-916896</t>
  </si>
  <si>
    <t xml:space="preserve">AUD71511</t>
  </si>
  <si>
    <t xml:space="preserve">CH-494585</t>
  </si>
  <si>
    <t xml:space="preserve">AUD71512</t>
  </si>
  <si>
    <t xml:space="preserve">CA-252419</t>
  </si>
  <si>
    <t xml:space="preserve">AUD71513</t>
  </si>
  <si>
    <t xml:space="preserve">CA-285201</t>
  </si>
  <si>
    <t xml:space="preserve">AUD71514</t>
  </si>
  <si>
    <t xml:space="preserve">CH-173013</t>
  </si>
  <si>
    <t xml:space="preserve">AUD71515</t>
  </si>
  <si>
    <t xml:space="preserve">TI-144917</t>
  </si>
  <si>
    <t xml:space="preserve">AUD71516</t>
  </si>
  <si>
    <t xml:space="preserve">TI-644124</t>
  </si>
  <si>
    <t xml:space="preserve">AUD71517</t>
  </si>
  <si>
    <t xml:space="preserve">CH-370754</t>
  </si>
  <si>
    <t xml:space="preserve">AUD71518</t>
  </si>
  <si>
    <t xml:space="preserve">CA-961964</t>
  </si>
  <si>
    <t xml:space="preserve">AUD71519</t>
  </si>
  <si>
    <t xml:space="preserve">CA-966746</t>
  </si>
  <si>
    <t xml:space="preserve">AUD71520</t>
  </si>
  <si>
    <t xml:space="preserve">TI-701164</t>
  </si>
  <si>
    <t xml:space="preserve">AUD71521</t>
  </si>
  <si>
    <t xml:space="preserve">TI-171671</t>
  </si>
  <si>
    <t xml:space="preserve">AUD71522</t>
  </si>
  <si>
    <t xml:space="preserve">CH-821023</t>
  </si>
  <si>
    <t xml:space="preserve">AUD71523</t>
  </si>
  <si>
    <t xml:space="preserve">TI-847997</t>
  </si>
  <si>
    <t xml:space="preserve">AUD71524</t>
  </si>
  <si>
    <t xml:space="preserve">TI-446668</t>
  </si>
  <si>
    <t xml:space="preserve">AUD71525</t>
  </si>
  <si>
    <t xml:space="preserve">TI-640674</t>
  </si>
  <si>
    <t xml:space="preserve">AUD71526</t>
  </si>
  <si>
    <t xml:space="preserve">TI-985212</t>
  </si>
  <si>
    <t xml:space="preserve">AUD71527</t>
  </si>
  <si>
    <t xml:space="preserve">CA-249404</t>
  </si>
  <si>
    <t xml:space="preserve">AUD71528</t>
  </si>
  <si>
    <t xml:space="preserve">CA-331951</t>
  </si>
  <si>
    <t xml:space="preserve">AUD71529</t>
  </si>
  <si>
    <t xml:space="preserve">CA-195444</t>
  </si>
  <si>
    <t xml:space="preserve">AUD71530</t>
  </si>
  <si>
    <t xml:space="preserve">TI-223191</t>
  </si>
  <si>
    <t xml:space="preserve">AUD71531</t>
  </si>
  <si>
    <t xml:space="preserve">CA-991657</t>
  </si>
  <si>
    <t xml:space="preserve">AUD71532</t>
  </si>
  <si>
    <t xml:space="preserve">CH-827819</t>
  </si>
  <si>
    <t xml:space="preserve">AUD71533</t>
  </si>
  <si>
    <t xml:space="preserve">CH-149550</t>
  </si>
  <si>
    <t xml:space="preserve">AUD71534</t>
  </si>
  <si>
    <t xml:space="preserve">CA-654337</t>
  </si>
  <si>
    <t xml:space="preserve">AUD71535</t>
  </si>
  <si>
    <t xml:space="preserve">TI-748980</t>
  </si>
  <si>
    <t xml:space="preserve">AUD71536</t>
  </si>
  <si>
    <t xml:space="preserve">CA-508058</t>
  </si>
  <si>
    <t xml:space="preserve">AUD71537</t>
  </si>
  <si>
    <t xml:space="preserve">CA-136253</t>
  </si>
  <si>
    <t xml:space="preserve">AUD71538</t>
  </si>
  <si>
    <t xml:space="preserve">TI-786623</t>
  </si>
  <si>
    <t xml:space="preserve">AUD71539</t>
  </si>
  <si>
    <t xml:space="preserve">CA-175457</t>
  </si>
  <si>
    <t xml:space="preserve">AUD71540</t>
  </si>
  <si>
    <t xml:space="preserve">TI-725556</t>
  </si>
  <si>
    <t xml:space="preserve">AUD71541</t>
  </si>
  <si>
    <t xml:space="preserve">CA-447707</t>
  </si>
  <si>
    <t xml:space="preserve">AUD71542</t>
  </si>
  <si>
    <t xml:space="preserve">TI-210810</t>
  </si>
  <si>
    <t xml:space="preserve">AUD71543</t>
  </si>
  <si>
    <t xml:space="preserve">TI-689276</t>
  </si>
  <si>
    <t xml:space="preserve">AUD71544</t>
  </si>
  <si>
    <t xml:space="preserve">CA-429428</t>
  </si>
  <si>
    <t xml:space="preserve">AUD71545</t>
  </si>
  <si>
    <t xml:space="preserve">CA-850327</t>
  </si>
  <si>
    <t xml:space="preserve">AUD71546</t>
  </si>
  <si>
    <t xml:space="preserve">CA-620060</t>
  </si>
  <si>
    <t xml:space="preserve">AUD71547</t>
  </si>
  <si>
    <t xml:space="preserve">CA-504696</t>
  </si>
  <si>
    <t xml:space="preserve">AUD71548</t>
  </si>
  <si>
    <t xml:space="preserve">TI-461584</t>
  </si>
  <si>
    <t xml:space="preserve">AUD71549</t>
  </si>
  <si>
    <t xml:space="preserve">TI-143098</t>
  </si>
  <si>
    <t xml:space="preserve">AUD71550</t>
  </si>
  <si>
    <t xml:space="preserve">TI-706589</t>
  </si>
  <si>
    <t xml:space="preserve">AUD71551</t>
  </si>
  <si>
    <t xml:space="preserve">CH-843971</t>
  </si>
  <si>
    <t xml:space="preserve">AUD71552</t>
  </si>
  <si>
    <t xml:space="preserve">CA-727823</t>
  </si>
  <si>
    <t xml:space="preserve">AUD71553</t>
  </si>
  <si>
    <t xml:space="preserve">CA-147598</t>
  </si>
  <si>
    <t xml:space="preserve">AUD71554</t>
  </si>
  <si>
    <t xml:space="preserve">CA-227314</t>
  </si>
  <si>
    <t xml:space="preserve">AUD71555</t>
  </si>
  <si>
    <t xml:space="preserve">TI-622002</t>
  </si>
  <si>
    <t xml:space="preserve">AUD71556</t>
  </si>
  <si>
    <t xml:space="preserve">TI-295220</t>
  </si>
  <si>
    <t xml:space="preserve">AUD71557</t>
  </si>
  <si>
    <t xml:space="preserve">TI-382411</t>
  </si>
  <si>
    <t xml:space="preserve">AUD71558</t>
  </si>
  <si>
    <t xml:space="preserve">TI-356858</t>
  </si>
  <si>
    <t xml:space="preserve">AUD71559</t>
  </si>
  <si>
    <t xml:space="preserve">TI-976052</t>
  </si>
  <si>
    <t xml:space="preserve">AUD71560</t>
  </si>
  <si>
    <t xml:space="preserve">CA-997603</t>
  </si>
  <si>
    <t xml:space="preserve">AUD71561</t>
  </si>
  <si>
    <t xml:space="preserve">TI-491227</t>
  </si>
  <si>
    <t xml:space="preserve">AUD71562</t>
  </si>
  <si>
    <t xml:space="preserve">CH-946402</t>
  </si>
  <si>
    <t xml:space="preserve">AUD71563</t>
  </si>
  <si>
    <t xml:space="preserve">TI-511554</t>
  </si>
  <si>
    <t xml:space="preserve">AUD71564</t>
  </si>
  <si>
    <t xml:space="preserve">CA-168353</t>
  </si>
  <si>
    <t xml:space="preserve">AUD71565</t>
  </si>
  <si>
    <t xml:space="preserve">TI-216052</t>
  </si>
  <si>
    <t xml:space="preserve">AUD71566</t>
  </si>
  <si>
    <t xml:space="preserve">TI-915717</t>
  </si>
  <si>
    <t xml:space="preserve">AUD71567</t>
  </si>
  <si>
    <t xml:space="preserve">TI-123177</t>
  </si>
  <si>
    <t xml:space="preserve">AUD71568</t>
  </si>
  <si>
    <t xml:space="preserve">TI-316690</t>
  </si>
  <si>
    <t xml:space="preserve">AUD71569</t>
  </si>
  <si>
    <t xml:space="preserve">TI-586442</t>
  </si>
  <si>
    <t xml:space="preserve">AUD71570</t>
  </si>
  <si>
    <t xml:space="preserve">TI-176507</t>
  </si>
  <si>
    <t xml:space="preserve">AUD71571</t>
  </si>
  <si>
    <t xml:space="preserve">CH-244482</t>
  </si>
  <si>
    <t xml:space="preserve">AUD71572</t>
  </si>
  <si>
    <t xml:space="preserve">TI-567750</t>
  </si>
  <si>
    <t xml:space="preserve">criterion_id</t>
  </si>
  <si>
    <t xml:space="preserve">criterion</t>
  </si>
  <si>
    <t xml:space="preserve">weight</t>
  </si>
  <si>
    <t xml:space="preserve">what_it_measures</t>
  </si>
  <si>
    <t xml:space="preserve">how to score (0-5)</t>
  </si>
  <si>
    <t xml:space="preserve">c1</t>
  </si>
  <si>
    <t xml:space="preserve">Communication</t>
  </si>
  <si>
    <t xml:space="preserve">Greeting, empathy, clear language, proper closing</t>
  </si>
  <si>
    <t xml:space="preserve">5 = flawless · 3 = minor gaps · 1 = major gap · 0 = not done</t>
  </si>
  <si>
    <t xml:space="preserve">c2</t>
  </si>
  <si>
    <t xml:space="preserve">Issue handling &amp; SOP</t>
  </si>
  <si>
    <t xml:space="preserve">Understood the issue and followed the correct procedure</t>
  </si>
  <si>
    <t xml:space="preserve">c3</t>
  </si>
  <si>
    <t xml:space="preserve">Resolution &amp; follow-up</t>
  </si>
  <si>
    <t xml:space="preserve">Solved it, or set a clear next step and followed up on time</t>
  </si>
  <si>
    <t xml:space="preserve">c4</t>
  </si>
  <si>
    <t xml:space="preserve">Escalation &amp; ownership</t>
  </si>
  <si>
    <t xml:space="preserve">Escalated only when needed, with complete notes; owned the case</t>
  </si>
  <si>
    <t xml:space="preserve">c5</t>
  </si>
  <si>
    <t xml:space="preserve">Accuracy &amp; documentation</t>
  </si>
  <si>
    <t xml:space="preserve">Information given was correct; ticket/call notes complete</t>
  </si>
  <si>
    <t xml:space="preserve">c6</t>
  </si>
  <si>
    <t xml:space="preserve">Security &amp; compliance</t>
  </si>
  <si>
    <t xml:space="preserve">Verified identity before account changes; no data shared wrongly</t>
  </si>
  <si>
    <t xml:space="preserve">Total</t>
  </si>
  <si>
    <t xml:space="preserve">Score = sum(criterion score / 5 x weight). A critical security error (identity not verified) caps the audit at 59.</t>
  </si>
  <si>
    <t xml:space="preserve">min_score</t>
  </si>
  <si>
    <t xml:space="preserve">Critical</t>
  </si>
  <si>
    <t xml:space="preserve">Needs Improvement</t>
  </si>
  <si>
    <t xml:space="preserve">Meets Expectations</t>
  </si>
  <si>
    <t xml:space="preserve">Solid Performance</t>
  </si>
  <si>
    <t xml:space="preserve">Outstanding</t>
  </si>
  <si>
    <t xml:space="preserve">Sorted ascending on purpose: the Audits!band formula uses LOOKUP.</t>
  </si>
  <si>
    <t xml:space="preserve">team_lead</t>
  </si>
  <si>
    <t xml:space="preserve">agent_email (fill in)</t>
  </si>
  <si>
    <t xml:space="preserve">lead_email (fill in)</t>
  </si>
  <si>
    <t xml:space="preserve">audits</t>
  </si>
  <si>
    <t xml:space="preserve">avg_score</t>
  </si>
  <si>
    <t xml:space="preserve">below_70</t>
  </si>
  <si>
    <t xml:space="preserve">critical_errors</t>
  </si>
  <si>
    <t xml:space="preserve">Lead · After-Sales</t>
  </si>
  <si>
    <t xml:space="preserve">Lead · Agent Support</t>
  </si>
  <si>
    <t xml:space="preserve">Lead · Card Services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</si>
</sst>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gents" displayName="Agents" ref="A1:J41" headerRowCount="1" totalsRowCount="0" totalsRowShown="0">
  <autoFilter ref="A1:J41"/>
  <tableColumns count="10">
    <tableColumn id="1" name="agent_id"/>
    <tableColumn id="2" name="agent_name"/>
    <tableColumn id="3" name="team"/>
    <tableColumn id="4" name="team_lead"/>
    <tableColumn id="5" name="agent_email (fill in)"/>
    <tableColumn id="6" name="lead_email (fill in)"/>
    <tableColumn id="7" name="audits"/>
    <tableColumn id="8" name="avg_score"/>
    <tableColumn id="9" name="below_70"/>
    <tableColumn id="10" name="critical_errors"/>
  </tableColumns>
</table>
</file>

<file path=xl/tables/table2.xml><?xml version="1.0" encoding="utf-8"?>
<table xmlns="http://schemas.openxmlformats.org/spreadsheetml/2006/main" id="2" name="Audits" displayName="Audits" ref="A1:V1573" headerRowCount="1" totalsRowCount="0" totalsRowShown="0">
  <autoFilter ref="A1:V1573"/>
  <tableColumns count="22">
    <tableColumn id="1" name="audit_id"/>
    <tableColumn id="2" name="audit_ts"/>
    <tableColumn id="3" name="reviewer"/>
    <tableColumn id="4" name="agent_id"/>
    <tableColumn id="5" name="agent_name"/>
    <tableColumn id="6" name="team"/>
    <tableColumn id="7" name="channel"/>
    <tableColumn id="8" name="interaction_ref"/>
    <tableColumn id="9" name="c1_score"/>
    <tableColumn id="10" name="c2_score"/>
    <tableColumn id="11" name="c3_score"/>
    <tableColumn id="12" name="c4_score"/>
    <tableColumn id="13" name="c5_score"/>
    <tableColumn id="14" name="c6_score"/>
    <tableColumn id="15" name="critical_error"/>
    <tableColumn id="16" name="flagged_issues"/>
    <tableColumn id="17" name="feedback_sent_at"/>
    <tableColumn id="18" name="agent_acknowledged_at"/>
    <tableColumn id="19" name="process"/>
    <tableColumn id="20" name="score"/>
    <tableColumn id="21" name="band"/>
    <tableColumn id="22" name="hours_to_feedbac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14" min="9" style="1" width="8"/>
    <col collapsed="false" customWidth="true" hidden="false" outlineLevel="0" max="15" min="15" style="1" width="9"/>
    <col collapsed="false" customWidth="true" hidden="false" outlineLevel="0" max="16" min="16" style="1" width="40"/>
    <col collapsed="false" customWidth="true" hidden="false" outlineLevel="0" max="18" min="17" style="1" width="16"/>
    <col collapsed="false" customWidth="true" hidden="false" outlineLevel="0" max="19" min="19" style="1" width="30"/>
    <col collapsed="false" customWidth="true" hidden="false" outlineLevel="0" max="20" min="20" style="1" width="7"/>
    <col collapsed="false" customWidth="true" hidden="false" outlineLevel="0" max="21" min="21" style="1" width="18"/>
    <col collapsed="false" customWidth="true" hidden="false" outlineLevel="0" max="22" min="22" style="1" width="10"/>
  </cols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</row>
    <row r="2" customFormat="false" ht="15" hidden="false" customHeight="false" outlineLevel="0" collapsed="false">
      <c r="A2" s="3" t="s">
        <v>29</v>
      </c>
      <c r="B2" s="5" t="n">
        <v>46113.3923611111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n">
        <v>4</v>
      </c>
      <c r="J2" s="3" t="n">
        <v>4</v>
      </c>
      <c r="K2" s="3" t="n">
        <v>5</v>
      </c>
      <c r="L2" s="3" t="n">
        <v>4</v>
      </c>
      <c r="M2" s="3" t="n">
        <v>3</v>
      </c>
      <c r="N2" s="3" t="n">
        <v>2</v>
      </c>
      <c r="O2" s="6" t="b">
        <f aca="false">FALSE()</f>
        <v>0</v>
      </c>
      <c r="P2" s="3" t="s">
        <v>36</v>
      </c>
      <c r="Q2" s="5" t="n">
        <v>46116.3923611111</v>
      </c>
      <c r="R2" s="5" t="n">
        <v>46116.4083333333</v>
      </c>
      <c r="S2" s="3" t="s">
        <v>37</v>
      </c>
      <c r="T2" s="7" t="n">
        <f aca="false">ROUND(MIN(IF(OR(O2=TRUE(),O2="TRUE",O2="Yes"),59,100),(I2*Rubric!$C$2+J2*Rubric!$C$3+K2*Rubric!$C$4+L2*Rubric!$C$5+M2*Rubric!$C$6+N2*Rubric!$C$7)/5),1)</f>
        <v>76</v>
      </c>
      <c r="U2" s="8" t="str">
        <f aca="false">LOOKUP(T2,Bands!$A$2:$A$6,Bands!$B$2:$B$6)</f>
        <v>Meets Expectations</v>
      </c>
      <c r="V2" s="8" t="n">
        <f aca="false">IF(Q2="","",ROUND((Q2-B2)*24,1))</f>
        <v>72</v>
      </c>
    </row>
    <row r="3" customFormat="false" ht="15" hidden="false" customHeight="false" outlineLevel="0" collapsed="false">
      <c r="A3" s="3" t="s">
        <v>38</v>
      </c>
      <c r="B3" s="5" t="n">
        <v>46113.4604166667</v>
      </c>
      <c r="C3" s="3" t="s">
        <v>39</v>
      </c>
      <c r="D3" s="3" t="s">
        <v>40</v>
      </c>
      <c r="E3" s="3" t="s">
        <v>41</v>
      </c>
      <c r="F3" s="3" t="s">
        <v>33</v>
      </c>
      <c r="G3" s="3" t="s">
        <v>42</v>
      </c>
      <c r="H3" s="3" t="s">
        <v>43</v>
      </c>
      <c r="I3" s="3" t="n">
        <v>3</v>
      </c>
      <c r="J3" s="3" t="n">
        <v>4</v>
      </c>
      <c r="K3" s="3" t="n">
        <v>4</v>
      </c>
      <c r="L3" s="3" t="n">
        <v>1</v>
      </c>
      <c r="M3" s="3" t="n">
        <v>3</v>
      </c>
      <c r="N3" s="3" t="n">
        <v>4</v>
      </c>
      <c r="O3" s="6" t="b">
        <f aca="false">FALSE()</f>
        <v>0</v>
      </c>
      <c r="P3" s="3" t="s">
        <v>44</v>
      </c>
      <c r="Q3" s="5" t="n">
        <v>46118.4604166667</v>
      </c>
      <c r="R3" s="5" t="n">
        <v>46120.2708333333</v>
      </c>
      <c r="S3" s="3" t="s">
        <v>37</v>
      </c>
      <c r="T3" s="7" t="n">
        <f aca="false">ROUND(MIN(IF(OR(O3=TRUE(),O3="TRUE",O3="Yes"),59,100),(I3*Rubric!$C$2+J3*Rubric!$C$3+K3*Rubric!$C$4+L3*Rubric!$C$5+M3*Rubric!$C$6+N3*Rubric!$C$7)/5),1)</f>
        <v>66</v>
      </c>
      <c r="U3" s="8" t="str">
        <f aca="false">LOOKUP(T3,Bands!$A$2:$A$6,Bands!$B$2:$B$6)</f>
        <v>Needs Improvement</v>
      </c>
      <c r="V3" s="8" t="n">
        <f aca="false">IF(Q3="","",ROUND((Q3-B3)*24,1))</f>
        <v>120</v>
      </c>
    </row>
    <row r="4" customFormat="false" ht="15" hidden="false" customHeight="false" outlineLevel="0" collapsed="false">
      <c r="A4" s="3" t="s">
        <v>45</v>
      </c>
      <c r="B4" s="5" t="n">
        <v>46113.41875</v>
      </c>
      <c r="C4" s="3" t="s">
        <v>39</v>
      </c>
      <c r="D4" s="3" t="s">
        <v>46</v>
      </c>
      <c r="E4" s="3" t="s">
        <v>47</v>
      </c>
      <c r="F4" s="3" t="s">
        <v>33</v>
      </c>
      <c r="G4" s="3" t="s">
        <v>42</v>
      </c>
      <c r="H4" s="3" t="s">
        <v>48</v>
      </c>
      <c r="I4" s="3" t="n">
        <v>4</v>
      </c>
      <c r="J4" s="3" t="n">
        <v>4</v>
      </c>
      <c r="K4" s="3" t="n">
        <v>2</v>
      </c>
      <c r="L4" s="3" t="n">
        <v>4</v>
      </c>
      <c r="M4" s="3" t="n">
        <v>4</v>
      </c>
      <c r="N4" s="3" t="n">
        <v>4</v>
      </c>
      <c r="O4" s="6" t="b">
        <f aca="false">FALSE()</f>
        <v>0</v>
      </c>
      <c r="P4" s="3" t="s">
        <v>49</v>
      </c>
      <c r="Q4" s="5" t="n">
        <v>46119.41875</v>
      </c>
      <c r="R4" s="5" t="n">
        <v>46120.4173611111</v>
      </c>
      <c r="S4" s="3" t="s">
        <v>37</v>
      </c>
      <c r="T4" s="7" t="n">
        <f aca="false">ROUND(MIN(IF(OR(O4=TRUE(),O4="TRUE",O4="Yes"),59,100),(I4*Rubric!$C$2+J4*Rubric!$C$3+K4*Rubric!$C$4+L4*Rubric!$C$5+M4*Rubric!$C$6+N4*Rubric!$C$7)/5),1)</f>
        <v>72</v>
      </c>
      <c r="U4" s="8" t="str">
        <f aca="false">LOOKUP(T4,Bands!$A$2:$A$6,Bands!$B$2:$B$6)</f>
        <v>Meets Expectations</v>
      </c>
      <c r="V4" s="8" t="n">
        <f aca="false">IF(Q4="","",ROUND((Q4-B4)*24,1))</f>
        <v>144</v>
      </c>
    </row>
    <row r="5" customFormat="false" ht="15" hidden="false" customHeight="false" outlineLevel="0" collapsed="false">
      <c r="A5" s="3" t="s">
        <v>50</v>
      </c>
      <c r="B5" s="5" t="n">
        <v>46113.4625</v>
      </c>
      <c r="C5" s="3" t="s">
        <v>30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n">
        <v>3</v>
      </c>
      <c r="J5" s="3" t="n">
        <v>2</v>
      </c>
      <c r="K5" s="3" t="n">
        <v>4</v>
      </c>
      <c r="L5" s="3" t="n">
        <v>3</v>
      </c>
      <c r="M5" s="3" t="n">
        <v>4</v>
      </c>
      <c r="N5" s="3" t="n">
        <v>4</v>
      </c>
      <c r="O5" s="6" t="b">
        <f aca="false">FALSE()</f>
        <v>0</v>
      </c>
      <c r="P5" s="3" t="s">
        <v>56</v>
      </c>
      <c r="Q5" s="5" t="n">
        <v>46125.4625</v>
      </c>
      <c r="R5" s="5" t="n">
        <v>46127.4868055556</v>
      </c>
      <c r="S5" s="3" t="s">
        <v>37</v>
      </c>
      <c r="T5" s="7" t="n">
        <f aca="false">ROUND(MIN(IF(OR(O5=TRUE(),O5="TRUE",O5="Yes"),59,100),(I5*Rubric!$C$2+J5*Rubric!$C$3+K5*Rubric!$C$4+L5*Rubric!$C$5+M5*Rubric!$C$6+N5*Rubric!$C$7)/5),1)</f>
        <v>64</v>
      </c>
      <c r="U5" s="8" t="str">
        <f aca="false">LOOKUP(T5,Bands!$A$2:$A$6,Bands!$B$2:$B$6)</f>
        <v>Needs Improvement</v>
      </c>
      <c r="V5" s="8" t="n">
        <f aca="false">IF(Q5="","",ROUND((Q5-B5)*24,1))</f>
        <v>288</v>
      </c>
    </row>
    <row r="6" customFormat="false" ht="15" hidden="false" customHeight="false" outlineLevel="0" collapsed="false">
      <c r="A6" s="3" t="s">
        <v>57</v>
      </c>
      <c r="B6" s="5" t="n">
        <v>46113.6493055556</v>
      </c>
      <c r="C6" s="3" t="s">
        <v>39</v>
      </c>
      <c r="D6" s="3" t="s">
        <v>58</v>
      </c>
      <c r="E6" s="3" t="s">
        <v>59</v>
      </c>
      <c r="F6" s="3" t="s">
        <v>53</v>
      </c>
      <c r="G6" s="3" t="s">
        <v>42</v>
      </c>
      <c r="H6" s="3" t="s">
        <v>60</v>
      </c>
      <c r="I6" s="3" t="n">
        <v>3</v>
      </c>
      <c r="J6" s="3" t="n">
        <v>3</v>
      </c>
      <c r="K6" s="3" t="n">
        <v>1</v>
      </c>
      <c r="L6" s="3" t="n">
        <v>3</v>
      </c>
      <c r="M6" s="3" t="n">
        <v>3</v>
      </c>
      <c r="N6" s="3" t="n">
        <v>2</v>
      </c>
      <c r="O6" s="6" t="b">
        <f aca="false">FALSE()</f>
        <v>0</v>
      </c>
      <c r="P6" s="3" t="s">
        <v>61</v>
      </c>
      <c r="Q6" s="5" t="n">
        <v>46119.6493055556</v>
      </c>
      <c r="R6" s="5" t="n">
        <v>46119.7416666667</v>
      </c>
      <c r="S6" s="3" t="s">
        <v>37</v>
      </c>
      <c r="T6" s="7" t="n">
        <f aca="false">ROUND(MIN(IF(OR(O6=TRUE(),O6="TRUE",O6="Yes"),59,100),(I6*Rubric!$C$2+J6*Rubric!$C$3+K6*Rubric!$C$4+L6*Rubric!$C$5+M6*Rubric!$C$6+N6*Rubric!$C$7)/5),1)</f>
        <v>49</v>
      </c>
      <c r="U6" s="8" t="str">
        <f aca="false">LOOKUP(T6,Bands!$A$2:$A$6,Bands!$B$2:$B$6)</f>
        <v>Critical</v>
      </c>
      <c r="V6" s="8" t="n">
        <f aca="false">IF(Q6="","",ROUND((Q6-B6)*24,1))</f>
        <v>144</v>
      </c>
    </row>
    <row r="7" customFormat="false" ht="15" hidden="false" customHeight="false" outlineLevel="0" collapsed="false">
      <c r="A7" s="3" t="s">
        <v>62</v>
      </c>
      <c r="B7" s="5" t="n">
        <v>46113.4944444444</v>
      </c>
      <c r="C7" s="3" t="s">
        <v>30</v>
      </c>
      <c r="D7" s="3" t="s">
        <v>63</v>
      </c>
      <c r="E7" s="3" t="s">
        <v>64</v>
      </c>
      <c r="F7" s="3" t="s">
        <v>65</v>
      </c>
      <c r="G7" s="3" t="s">
        <v>42</v>
      </c>
      <c r="H7" s="3" t="s">
        <v>66</v>
      </c>
      <c r="I7" s="3" t="n">
        <v>4</v>
      </c>
      <c r="J7" s="3" t="n">
        <v>4</v>
      </c>
      <c r="K7" s="3" t="n">
        <v>2</v>
      </c>
      <c r="L7" s="3" t="n">
        <v>4</v>
      </c>
      <c r="M7" s="3" t="n">
        <v>4</v>
      </c>
      <c r="N7" s="3" t="n">
        <v>4</v>
      </c>
      <c r="O7" s="6" t="b">
        <f aca="false">FALSE()</f>
        <v>0</v>
      </c>
      <c r="P7" s="3" t="s">
        <v>49</v>
      </c>
      <c r="Q7" s="5" t="n">
        <v>46118.4944444444</v>
      </c>
      <c r="R7" s="5" t="n">
        <v>46118.7041666667</v>
      </c>
      <c r="S7" s="3" t="s">
        <v>37</v>
      </c>
      <c r="T7" s="7" t="n">
        <f aca="false">ROUND(MIN(IF(OR(O7=TRUE(),O7="TRUE",O7="Yes"),59,100),(I7*Rubric!$C$2+J7*Rubric!$C$3+K7*Rubric!$C$4+L7*Rubric!$C$5+M7*Rubric!$C$6+N7*Rubric!$C$7)/5),1)</f>
        <v>72</v>
      </c>
      <c r="U7" s="8" t="str">
        <f aca="false">LOOKUP(T7,Bands!$A$2:$A$6,Bands!$B$2:$B$6)</f>
        <v>Meets Expectations</v>
      </c>
      <c r="V7" s="8" t="n">
        <f aca="false">IF(Q7="","",ROUND((Q7-B7)*24,1))</f>
        <v>120</v>
      </c>
    </row>
    <row r="8" customFormat="false" ht="15" hidden="false" customHeight="false" outlineLevel="0" collapsed="false">
      <c r="A8" s="3" t="s">
        <v>67</v>
      </c>
      <c r="B8" s="5" t="n">
        <v>46113.4548611111</v>
      </c>
      <c r="C8" s="3" t="s">
        <v>68</v>
      </c>
      <c r="D8" s="3" t="s">
        <v>69</v>
      </c>
      <c r="E8" s="3" t="s">
        <v>70</v>
      </c>
      <c r="F8" s="3" t="s">
        <v>65</v>
      </c>
      <c r="G8" s="3" t="s">
        <v>42</v>
      </c>
      <c r="H8" s="3" t="s">
        <v>71</v>
      </c>
      <c r="I8" s="3" t="n">
        <v>4</v>
      </c>
      <c r="J8" s="3" t="n">
        <v>5</v>
      </c>
      <c r="K8" s="3" t="n">
        <v>5</v>
      </c>
      <c r="L8" s="3" t="n">
        <v>5</v>
      </c>
      <c r="M8" s="3" t="n">
        <v>4</v>
      </c>
      <c r="N8" s="3" t="n">
        <v>1</v>
      </c>
      <c r="O8" s="6" t="b">
        <f aca="false">TRUE()</f>
        <v>1</v>
      </c>
      <c r="P8" s="3" t="s">
        <v>36</v>
      </c>
      <c r="Q8" s="5" t="n">
        <v>46116.4548611111</v>
      </c>
      <c r="R8" s="5" t="n">
        <v>46117.0298611111</v>
      </c>
      <c r="S8" s="3" t="s">
        <v>37</v>
      </c>
      <c r="T8" s="7" t="n">
        <f aca="false">ROUND(MIN(IF(OR(O8=TRUE(),O8="TRUE",O8="Yes"),59,100),(I8*Rubric!$C$2+J8*Rubric!$C$3+K8*Rubric!$C$4+L8*Rubric!$C$5+M8*Rubric!$C$6+N8*Rubric!$C$7)/5),1)</f>
        <v>59</v>
      </c>
      <c r="U8" s="8" t="str">
        <f aca="false">LOOKUP(T8,Bands!$A$2:$A$6,Bands!$B$2:$B$6)</f>
        <v>Critical</v>
      </c>
      <c r="V8" s="8" t="n">
        <f aca="false">IF(Q8="","",ROUND((Q8-B8)*24,1))</f>
        <v>72</v>
      </c>
    </row>
    <row r="9" customFormat="false" ht="15" hidden="false" customHeight="false" outlineLevel="0" collapsed="false">
      <c r="A9" s="3" t="s">
        <v>72</v>
      </c>
      <c r="B9" s="5" t="n">
        <v>46113.6986111111</v>
      </c>
      <c r="C9" s="3" t="s">
        <v>68</v>
      </c>
      <c r="D9" s="3" t="s">
        <v>73</v>
      </c>
      <c r="E9" s="3" t="s">
        <v>74</v>
      </c>
      <c r="F9" s="3" t="s">
        <v>33</v>
      </c>
      <c r="G9" s="3" t="s">
        <v>34</v>
      </c>
      <c r="H9" s="3" t="s">
        <v>75</v>
      </c>
      <c r="I9" s="3" t="n">
        <v>4</v>
      </c>
      <c r="J9" s="3" t="n">
        <v>5</v>
      </c>
      <c r="K9" s="3" t="n">
        <v>5</v>
      </c>
      <c r="L9" s="3" t="n">
        <v>5</v>
      </c>
      <c r="M9" s="3" t="n">
        <v>4</v>
      </c>
      <c r="N9" s="3" t="n">
        <v>2</v>
      </c>
      <c r="O9" s="6" t="b">
        <f aca="false">FALSE()</f>
        <v>0</v>
      </c>
      <c r="P9" s="3" t="s">
        <v>36</v>
      </c>
      <c r="Q9" s="5" t="n">
        <v>46120.6986111111</v>
      </c>
      <c r="R9" s="5" t="n">
        <v>46122.1118055556</v>
      </c>
      <c r="S9" s="3" t="s">
        <v>37</v>
      </c>
      <c r="T9" s="7" t="n">
        <f aca="false">ROUND(MIN(IF(OR(O9=TRUE(),O9="TRUE",O9="Yes"),59,100),(I9*Rubric!$C$2+J9*Rubric!$C$3+K9*Rubric!$C$4+L9*Rubric!$C$5+M9*Rubric!$C$6+N9*Rubric!$C$7)/5),1)</f>
        <v>86</v>
      </c>
      <c r="U9" s="8" t="str">
        <f aca="false">LOOKUP(T9,Bands!$A$2:$A$6,Bands!$B$2:$B$6)</f>
        <v>Solid Performance</v>
      </c>
      <c r="V9" s="8" t="n">
        <f aca="false">IF(Q9="","",ROUND((Q9-B9)*24,1))</f>
        <v>168</v>
      </c>
    </row>
    <row r="10" customFormat="false" ht="15" hidden="false" customHeight="false" outlineLevel="0" collapsed="false">
      <c r="A10" s="3" t="s">
        <v>76</v>
      </c>
      <c r="B10" s="5" t="n">
        <v>46113.4548611111</v>
      </c>
      <c r="C10" s="3" t="s">
        <v>68</v>
      </c>
      <c r="D10" s="3" t="s">
        <v>77</v>
      </c>
      <c r="E10" s="3" t="s">
        <v>78</v>
      </c>
      <c r="F10" s="3" t="s">
        <v>33</v>
      </c>
      <c r="G10" s="3" t="s">
        <v>54</v>
      </c>
      <c r="H10" s="3" t="s">
        <v>79</v>
      </c>
      <c r="I10" s="3" t="n">
        <v>5</v>
      </c>
      <c r="J10" s="3" t="n">
        <v>5</v>
      </c>
      <c r="K10" s="3" t="n">
        <v>3</v>
      </c>
      <c r="L10" s="3" t="n">
        <v>5</v>
      </c>
      <c r="M10" s="3" t="n">
        <v>4</v>
      </c>
      <c r="N10" s="3" t="n">
        <v>5</v>
      </c>
      <c r="O10" s="6" t="b">
        <f aca="false">FALSE()</f>
        <v>0</v>
      </c>
      <c r="P10" s="3"/>
      <c r="Q10" s="5" t="n">
        <v>46120.4548611111</v>
      </c>
      <c r="R10" s="5" t="n">
        <v>46121.7736111111</v>
      </c>
      <c r="S10" s="3" t="s">
        <v>37</v>
      </c>
      <c r="T10" s="7" t="n">
        <f aca="false">ROUND(MIN(IF(OR(O10=TRUE(),O10="TRUE",O10="Yes"),59,100),(I10*Rubric!$C$2+J10*Rubric!$C$3+K10*Rubric!$C$4+L10*Rubric!$C$5+M10*Rubric!$C$6+N10*Rubric!$C$7)/5),1)</f>
        <v>90</v>
      </c>
      <c r="U10" s="8" t="str">
        <f aca="false">LOOKUP(T10,Bands!$A$2:$A$6,Bands!$B$2:$B$6)</f>
        <v>Outstanding</v>
      </c>
      <c r="V10" s="8" t="n">
        <f aca="false">IF(Q10="","",ROUND((Q10-B10)*24,1))</f>
        <v>168</v>
      </c>
    </row>
    <row r="11" customFormat="false" ht="15" hidden="false" customHeight="false" outlineLevel="0" collapsed="false">
      <c r="A11" s="3" t="s">
        <v>80</v>
      </c>
      <c r="B11" s="5" t="n">
        <v>46113.4583333333</v>
      </c>
      <c r="C11" s="3" t="s">
        <v>39</v>
      </c>
      <c r="D11" s="3" t="s">
        <v>81</v>
      </c>
      <c r="E11" s="3" t="s">
        <v>82</v>
      </c>
      <c r="F11" s="3" t="s">
        <v>65</v>
      </c>
      <c r="G11" s="3" t="s">
        <v>54</v>
      </c>
      <c r="H11" s="3" t="s">
        <v>83</v>
      </c>
      <c r="I11" s="3" t="n">
        <v>3</v>
      </c>
      <c r="J11" s="3" t="n">
        <v>2</v>
      </c>
      <c r="K11" s="3" t="n">
        <v>4</v>
      </c>
      <c r="L11" s="3" t="n">
        <v>4</v>
      </c>
      <c r="M11" s="3" t="n">
        <v>3</v>
      </c>
      <c r="N11" s="3" t="n">
        <v>5</v>
      </c>
      <c r="O11" s="6" t="b">
        <f aca="false">FALSE()</f>
        <v>0</v>
      </c>
      <c r="P11" s="3" t="s">
        <v>56</v>
      </c>
      <c r="Q11" s="5" t="n">
        <v>46117.4583333333</v>
      </c>
      <c r="R11" s="5" t="n">
        <v>46118.1055555556</v>
      </c>
      <c r="S11" s="3" t="s">
        <v>37</v>
      </c>
      <c r="T11" s="7" t="n">
        <f aca="false">ROUND(MIN(IF(OR(O11=TRUE(),O11="TRUE",O11="Yes"),59,100),(I11*Rubric!$C$2+J11*Rubric!$C$3+K11*Rubric!$C$4+L11*Rubric!$C$5+M11*Rubric!$C$6+N11*Rubric!$C$7)/5),1)</f>
        <v>68</v>
      </c>
      <c r="U11" s="8" t="str">
        <f aca="false">LOOKUP(T11,Bands!$A$2:$A$6,Bands!$B$2:$B$6)</f>
        <v>Needs Improvement</v>
      </c>
      <c r="V11" s="8" t="n">
        <f aca="false">IF(Q11="","",ROUND((Q11-B11)*24,1))</f>
        <v>96</v>
      </c>
    </row>
    <row r="12" customFormat="false" ht="15" hidden="false" customHeight="false" outlineLevel="0" collapsed="false">
      <c r="A12" s="3" t="s">
        <v>84</v>
      </c>
      <c r="B12" s="5" t="n">
        <v>46113.5708333333</v>
      </c>
      <c r="C12" s="3" t="s">
        <v>39</v>
      </c>
      <c r="D12" s="3" t="s">
        <v>85</v>
      </c>
      <c r="E12" s="3" t="s">
        <v>86</v>
      </c>
      <c r="F12" s="3" t="s">
        <v>33</v>
      </c>
      <c r="G12" s="3" t="s">
        <v>42</v>
      </c>
      <c r="H12" s="3" t="s">
        <v>87</v>
      </c>
      <c r="I12" s="3" t="n">
        <v>1</v>
      </c>
      <c r="J12" s="3" t="n">
        <v>4</v>
      </c>
      <c r="K12" s="3" t="n">
        <v>4</v>
      </c>
      <c r="L12" s="3" t="n">
        <v>4</v>
      </c>
      <c r="M12" s="3" t="n">
        <v>4</v>
      </c>
      <c r="N12" s="3" t="n">
        <v>4</v>
      </c>
      <c r="O12" s="6" t="b">
        <f aca="false">FALSE()</f>
        <v>0</v>
      </c>
      <c r="P12" s="3" t="s">
        <v>88</v>
      </c>
      <c r="Q12" s="5" t="n">
        <v>46119.5708333333</v>
      </c>
      <c r="R12" s="5" t="n">
        <v>46119.6777777778</v>
      </c>
      <c r="S12" s="3" t="s">
        <v>37</v>
      </c>
      <c r="T12" s="7" t="n">
        <f aca="false">ROUND(MIN(IF(OR(O12=TRUE(),O12="TRUE",O12="Yes"),59,100),(I12*Rubric!$C$2+J12*Rubric!$C$3+K12*Rubric!$C$4+L12*Rubric!$C$5+M12*Rubric!$C$6+N12*Rubric!$C$7)/5),1)</f>
        <v>71</v>
      </c>
      <c r="U12" s="8" t="str">
        <f aca="false">LOOKUP(T12,Bands!$A$2:$A$6,Bands!$B$2:$B$6)</f>
        <v>Meets Expectations</v>
      </c>
      <c r="V12" s="8" t="n">
        <f aca="false">IF(Q12="","",ROUND((Q12-B12)*24,1))</f>
        <v>144</v>
      </c>
    </row>
    <row r="13" customFormat="false" ht="15" hidden="false" customHeight="false" outlineLevel="0" collapsed="false">
      <c r="A13" s="3" t="s">
        <v>89</v>
      </c>
      <c r="B13" s="5" t="n">
        <v>46113.4319444444</v>
      </c>
      <c r="C13" s="3" t="s">
        <v>68</v>
      </c>
      <c r="D13" s="3" t="s">
        <v>90</v>
      </c>
      <c r="E13" s="3" t="s">
        <v>91</v>
      </c>
      <c r="F13" s="3" t="s">
        <v>65</v>
      </c>
      <c r="G13" s="3" t="s">
        <v>42</v>
      </c>
      <c r="H13" s="3" t="s">
        <v>92</v>
      </c>
      <c r="I13" s="3" t="n">
        <v>4</v>
      </c>
      <c r="J13" s="3" t="n">
        <v>5</v>
      </c>
      <c r="K13" s="3" t="n">
        <v>4</v>
      </c>
      <c r="L13" s="3" t="n">
        <v>2</v>
      </c>
      <c r="M13" s="3" t="n">
        <v>4</v>
      </c>
      <c r="N13" s="3" t="n">
        <v>4</v>
      </c>
      <c r="O13" s="6" t="b">
        <f aca="false">FALSE()</f>
        <v>0</v>
      </c>
      <c r="P13" s="3" t="s">
        <v>44</v>
      </c>
      <c r="Q13" s="5" t="n">
        <v>46119.4319444444</v>
      </c>
      <c r="R13" s="5" t="n">
        <v>46119.4347222222</v>
      </c>
      <c r="S13" s="3" t="s">
        <v>37</v>
      </c>
      <c r="T13" s="7" t="n">
        <f aca="false">ROUND(MIN(IF(OR(O13=TRUE(),O13="TRUE",O13="Yes"),59,100),(I13*Rubric!$C$2+J13*Rubric!$C$3+K13*Rubric!$C$4+L13*Rubric!$C$5+M13*Rubric!$C$6+N13*Rubric!$C$7)/5),1)</f>
        <v>79</v>
      </c>
      <c r="U13" s="8" t="str">
        <f aca="false">LOOKUP(T13,Bands!$A$2:$A$6,Bands!$B$2:$B$6)</f>
        <v>Meets Expectations</v>
      </c>
      <c r="V13" s="8" t="n">
        <f aca="false">IF(Q13="","",ROUND((Q13-B13)*24,1))</f>
        <v>144</v>
      </c>
    </row>
    <row r="14" customFormat="false" ht="15" hidden="false" customHeight="false" outlineLevel="0" collapsed="false">
      <c r="A14" s="3" t="s">
        <v>93</v>
      </c>
      <c r="B14" s="5" t="n">
        <v>46114.55</v>
      </c>
      <c r="C14" s="3" t="s">
        <v>68</v>
      </c>
      <c r="D14" s="3" t="s">
        <v>40</v>
      </c>
      <c r="E14" s="3" t="s">
        <v>41</v>
      </c>
      <c r="F14" s="3" t="s">
        <v>33</v>
      </c>
      <c r="G14" s="3" t="s">
        <v>42</v>
      </c>
      <c r="H14" s="3" t="s">
        <v>94</v>
      </c>
      <c r="I14" s="3" t="n">
        <v>4</v>
      </c>
      <c r="J14" s="3" t="n">
        <v>5</v>
      </c>
      <c r="K14" s="3" t="n">
        <v>4</v>
      </c>
      <c r="L14" s="3" t="n">
        <v>2</v>
      </c>
      <c r="M14" s="3" t="n">
        <v>4</v>
      </c>
      <c r="N14" s="3" t="n">
        <v>4</v>
      </c>
      <c r="O14" s="6" t="b">
        <f aca="false">FALSE()</f>
        <v>0</v>
      </c>
      <c r="P14" s="3" t="s">
        <v>44</v>
      </c>
      <c r="Q14" s="5" t="n">
        <v>46119.55</v>
      </c>
      <c r="R14" s="5" t="n">
        <v>46119.7347222222</v>
      </c>
      <c r="S14" s="3" t="s">
        <v>37</v>
      </c>
      <c r="T14" s="7" t="n">
        <f aca="false">ROUND(MIN(IF(OR(O14=TRUE(),O14="TRUE",O14="Yes"),59,100),(I14*Rubric!$C$2+J14*Rubric!$C$3+K14*Rubric!$C$4+L14*Rubric!$C$5+M14*Rubric!$C$6+N14*Rubric!$C$7)/5),1)</f>
        <v>79</v>
      </c>
      <c r="U14" s="8" t="str">
        <f aca="false">LOOKUP(T14,Bands!$A$2:$A$6,Bands!$B$2:$B$6)</f>
        <v>Meets Expectations</v>
      </c>
      <c r="V14" s="8" t="n">
        <f aca="false">IF(Q14="","",ROUND((Q14-B14)*24,1))</f>
        <v>120</v>
      </c>
    </row>
    <row r="15" customFormat="false" ht="15" hidden="false" customHeight="false" outlineLevel="0" collapsed="false">
      <c r="A15" s="3" t="s">
        <v>95</v>
      </c>
      <c r="B15" s="5" t="n">
        <v>46114.65625</v>
      </c>
      <c r="C15" s="3" t="s">
        <v>39</v>
      </c>
      <c r="D15" s="3" t="s">
        <v>96</v>
      </c>
      <c r="E15" s="3" t="s">
        <v>97</v>
      </c>
      <c r="F15" s="3" t="s">
        <v>33</v>
      </c>
      <c r="G15" s="3" t="s">
        <v>42</v>
      </c>
      <c r="H15" s="3" t="s">
        <v>98</v>
      </c>
      <c r="I15" s="3" t="n">
        <v>4</v>
      </c>
      <c r="J15" s="3" t="n">
        <v>2</v>
      </c>
      <c r="K15" s="3" t="n">
        <v>3</v>
      </c>
      <c r="L15" s="3" t="n">
        <v>5</v>
      </c>
      <c r="M15" s="3" t="n">
        <v>4</v>
      </c>
      <c r="N15" s="3" t="n">
        <v>5</v>
      </c>
      <c r="O15" s="6" t="b">
        <f aca="false">FALSE()</f>
        <v>0</v>
      </c>
      <c r="P15" s="3" t="s">
        <v>56</v>
      </c>
      <c r="Q15" s="5" t="n">
        <v>46117.65625</v>
      </c>
      <c r="R15" s="5" t="n">
        <v>46119.1368055556</v>
      </c>
      <c r="S15" s="3" t="s">
        <v>37</v>
      </c>
      <c r="T15" s="7" t="n">
        <f aca="false">ROUND(MIN(IF(OR(O15=TRUE(),O15="TRUE",O15="Yes"),59,100),(I15*Rubric!$C$2+J15*Rubric!$C$3+K15*Rubric!$C$4+L15*Rubric!$C$5+M15*Rubric!$C$6+N15*Rubric!$C$7)/5),1)</f>
        <v>72</v>
      </c>
      <c r="U15" s="8" t="str">
        <f aca="false">LOOKUP(T15,Bands!$A$2:$A$6,Bands!$B$2:$B$6)</f>
        <v>Meets Expectations</v>
      </c>
      <c r="V15" s="8" t="n">
        <f aca="false">IF(Q15="","",ROUND((Q15-B15)*24,1))</f>
        <v>72</v>
      </c>
    </row>
    <row r="16" customFormat="false" ht="15" hidden="false" customHeight="false" outlineLevel="0" collapsed="false">
      <c r="A16" s="3" t="s">
        <v>99</v>
      </c>
      <c r="B16" s="5" t="n">
        <v>46114.4631944444</v>
      </c>
      <c r="C16" s="3" t="s">
        <v>30</v>
      </c>
      <c r="D16" s="3" t="s">
        <v>100</v>
      </c>
      <c r="E16" s="3" t="s">
        <v>101</v>
      </c>
      <c r="F16" s="3" t="s">
        <v>33</v>
      </c>
      <c r="G16" s="3" t="s">
        <v>54</v>
      </c>
      <c r="H16" s="3" t="s">
        <v>102</v>
      </c>
      <c r="I16" s="3" t="n">
        <v>4</v>
      </c>
      <c r="J16" s="3" t="n">
        <v>5</v>
      </c>
      <c r="K16" s="3" t="n">
        <v>5</v>
      </c>
      <c r="L16" s="3" t="n">
        <v>4</v>
      </c>
      <c r="M16" s="3" t="n">
        <v>2</v>
      </c>
      <c r="N16" s="3" t="n">
        <v>4</v>
      </c>
      <c r="O16" s="6" t="b">
        <f aca="false">FALSE()</f>
        <v>0</v>
      </c>
      <c r="P16" s="3" t="s">
        <v>103</v>
      </c>
      <c r="Q16" s="5" t="n">
        <v>46123.4631944444</v>
      </c>
      <c r="R16" s="5" t="n">
        <v>46124.7173611111</v>
      </c>
      <c r="S16" s="3" t="s">
        <v>37</v>
      </c>
      <c r="T16" s="7" t="n">
        <f aca="false">ROUND(MIN(IF(OR(O16=TRUE(),O16="TRUE",O16="Yes"),59,100),(I16*Rubric!$C$2+J16*Rubric!$C$3+K16*Rubric!$C$4+L16*Rubric!$C$5+M16*Rubric!$C$6+N16*Rubric!$C$7)/5),1)</f>
        <v>85</v>
      </c>
      <c r="U16" s="8" t="str">
        <f aca="false">LOOKUP(T16,Bands!$A$2:$A$6,Bands!$B$2:$B$6)</f>
        <v>Solid Performance</v>
      </c>
      <c r="V16" s="8" t="n">
        <f aca="false">IF(Q16="","",ROUND((Q16-B16)*24,1))</f>
        <v>216</v>
      </c>
    </row>
    <row r="17" customFormat="false" ht="15" hidden="false" customHeight="false" outlineLevel="0" collapsed="false">
      <c r="A17" s="3" t="s">
        <v>104</v>
      </c>
      <c r="B17" s="5" t="n">
        <v>46114.6194444444</v>
      </c>
      <c r="C17" s="3" t="s">
        <v>68</v>
      </c>
      <c r="D17" s="3" t="s">
        <v>105</v>
      </c>
      <c r="E17" s="3" t="s">
        <v>106</v>
      </c>
      <c r="F17" s="3" t="s">
        <v>65</v>
      </c>
      <c r="G17" s="3" t="s">
        <v>42</v>
      </c>
      <c r="H17" s="3" t="s">
        <v>107</v>
      </c>
      <c r="I17" s="3" t="n">
        <v>4</v>
      </c>
      <c r="J17" s="3" t="n">
        <v>2</v>
      </c>
      <c r="K17" s="3" t="n">
        <v>4</v>
      </c>
      <c r="L17" s="3" t="n">
        <v>4</v>
      </c>
      <c r="M17" s="3" t="n">
        <v>3</v>
      </c>
      <c r="N17" s="3" t="n">
        <v>3</v>
      </c>
      <c r="O17" s="6" t="b">
        <f aca="false">FALSE()</f>
        <v>0</v>
      </c>
      <c r="P17" s="3" t="s">
        <v>56</v>
      </c>
      <c r="Q17" s="5" t="n">
        <v>46120.6194444444</v>
      </c>
      <c r="R17" s="5" t="n">
        <v>46120.8104166667</v>
      </c>
      <c r="S17" s="3" t="s">
        <v>37</v>
      </c>
      <c r="T17" s="7" t="n">
        <f aca="false">ROUND(MIN(IF(OR(O17=TRUE(),O17="TRUE",O17="Yes"),59,100),(I17*Rubric!$C$2+J17*Rubric!$C$3+K17*Rubric!$C$4+L17*Rubric!$C$5+M17*Rubric!$C$6+N17*Rubric!$C$7)/5),1)</f>
        <v>65</v>
      </c>
      <c r="U17" s="8" t="str">
        <f aca="false">LOOKUP(T17,Bands!$A$2:$A$6,Bands!$B$2:$B$6)</f>
        <v>Needs Improvement</v>
      </c>
      <c r="V17" s="8" t="n">
        <f aca="false">IF(Q17="","",ROUND((Q17-B17)*24,1))</f>
        <v>144</v>
      </c>
    </row>
    <row r="18" customFormat="false" ht="15" hidden="false" customHeight="false" outlineLevel="0" collapsed="false">
      <c r="A18" s="3" t="s">
        <v>108</v>
      </c>
      <c r="B18" s="5" t="n">
        <v>46114.6388888889</v>
      </c>
      <c r="C18" s="3" t="s">
        <v>30</v>
      </c>
      <c r="D18" s="3" t="s">
        <v>31</v>
      </c>
      <c r="E18" s="3" t="s">
        <v>32</v>
      </c>
      <c r="F18" s="3" t="s">
        <v>33</v>
      </c>
      <c r="G18" s="3" t="s">
        <v>54</v>
      </c>
      <c r="H18" s="3" t="s">
        <v>109</v>
      </c>
      <c r="I18" s="3" t="n">
        <v>3</v>
      </c>
      <c r="J18" s="3" t="n">
        <v>5</v>
      </c>
      <c r="K18" s="3" t="n">
        <v>4</v>
      </c>
      <c r="L18" s="3" t="n">
        <v>5</v>
      </c>
      <c r="M18" s="3" t="n">
        <v>4</v>
      </c>
      <c r="N18" s="3" t="n">
        <v>2</v>
      </c>
      <c r="O18" s="6" t="b">
        <f aca="false">FALSE()</f>
        <v>0</v>
      </c>
      <c r="P18" s="3" t="s">
        <v>36</v>
      </c>
      <c r="Q18" s="5" t="n">
        <v>46123.6388888889</v>
      </c>
      <c r="R18" s="5" t="n">
        <v>46124.4111111111</v>
      </c>
      <c r="S18" s="3" t="s">
        <v>37</v>
      </c>
      <c r="T18" s="7" t="n">
        <f aca="false">ROUND(MIN(IF(OR(O18=TRUE(),O18="TRUE",O18="Yes"),59,100),(I18*Rubric!$C$2+J18*Rubric!$C$3+K18*Rubric!$C$4+L18*Rubric!$C$5+M18*Rubric!$C$6+N18*Rubric!$C$7)/5),1)</f>
        <v>79</v>
      </c>
      <c r="U18" s="8" t="str">
        <f aca="false">LOOKUP(T18,Bands!$A$2:$A$6,Bands!$B$2:$B$6)</f>
        <v>Meets Expectations</v>
      </c>
      <c r="V18" s="8" t="n">
        <f aca="false">IF(Q18="","",ROUND((Q18-B18)*24,1))</f>
        <v>216</v>
      </c>
    </row>
    <row r="19" customFormat="false" ht="15" hidden="false" customHeight="false" outlineLevel="0" collapsed="false">
      <c r="A19" s="3" t="s">
        <v>110</v>
      </c>
      <c r="B19" s="5" t="n">
        <v>46114.5770833333</v>
      </c>
      <c r="C19" s="3" t="s">
        <v>30</v>
      </c>
      <c r="D19" s="3" t="s">
        <v>111</v>
      </c>
      <c r="E19" s="3" t="s">
        <v>112</v>
      </c>
      <c r="F19" s="3" t="s">
        <v>33</v>
      </c>
      <c r="G19" s="3" t="s">
        <v>42</v>
      </c>
      <c r="H19" s="3" t="s">
        <v>113</v>
      </c>
      <c r="I19" s="3" t="n">
        <v>2</v>
      </c>
      <c r="J19" s="3" t="n">
        <v>3</v>
      </c>
      <c r="K19" s="3" t="n">
        <v>4</v>
      </c>
      <c r="L19" s="3" t="n">
        <v>4</v>
      </c>
      <c r="M19" s="3" t="n">
        <v>4</v>
      </c>
      <c r="N19" s="3" t="n">
        <v>5</v>
      </c>
      <c r="O19" s="6" t="b">
        <f aca="false">FALSE()</f>
        <v>0</v>
      </c>
      <c r="P19" s="3" t="s">
        <v>88</v>
      </c>
      <c r="Q19" s="5" t="n">
        <v>46118.5770833333</v>
      </c>
      <c r="R19" s="5" t="n">
        <v>46119.50625</v>
      </c>
      <c r="S19" s="3" t="s">
        <v>37</v>
      </c>
      <c r="T19" s="7" t="n">
        <f aca="false">ROUND(MIN(IF(OR(O19=TRUE(),O19="TRUE",O19="Yes"),59,100),(I19*Rubric!$C$2+J19*Rubric!$C$3+K19*Rubric!$C$4+L19*Rubric!$C$5+M19*Rubric!$C$6+N19*Rubric!$C$7)/5),1)</f>
        <v>72</v>
      </c>
      <c r="U19" s="8" t="str">
        <f aca="false">LOOKUP(T19,Bands!$A$2:$A$6,Bands!$B$2:$B$6)</f>
        <v>Meets Expectations</v>
      </c>
      <c r="V19" s="8" t="n">
        <f aca="false">IF(Q19="","",ROUND((Q19-B19)*24,1))</f>
        <v>96</v>
      </c>
    </row>
    <row r="20" customFormat="false" ht="15" hidden="false" customHeight="false" outlineLevel="0" collapsed="false">
      <c r="A20" s="3" t="s">
        <v>114</v>
      </c>
      <c r="B20" s="5" t="n">
        <v>46114.7006944444</v>
      </c>
      <c r="C20" s="3" t="s">
        <v>39</v>
      </c>
      <c r="D20" s="3" t="s">
        <v>115</v>
      </c>
      <c r="E20" s="3" t="s">
        <v>116</v>
      </c>
      <c r="F20" s="3" t="s">
        <v>33</v>
      </c>
      <c r="G20" s="3" t="s">
        <v>42</v>
      </c>
      <c r="H20" s="3" t="s">
        <v>117</v>
      </c>
      <c r="I20" s="3" t="n">
        <v>4</v>
      </c>
      <c r="J20" s="3" t="n">
        <v>3</v>
      </c>
      <c r="K20" s="3" t="n">
        <v>5</v>
      </c>
      <c r="L20" s="3" t="n">
        <v>4</v>
      </c>
      <c r="M20" s="3" t="n">
        <v>1</v>
      </c>
      <c r="N20" s="3" t="n">
        <v>4</v>
      </c>
      <c r="O20" s="6" t="b">
        <f aca="false">FALSE()</f>
        <v>0</v>
      </c>
      <c r="P20" s="3" t="s">
        <v>103</v>
      </c>
      <c r="Q20" s="5" t="n">
        <v>46118.7006944444</v>
      </c>
      <c r="R20" s="5" t="n">
        <v>46119.0486111111</v>
      </c>
      <c r="S20" s="3" t="s">
        <v>37</v>
      </c>
      <c r="T20" s="7" t="n">
        <f aca="false">ROUND(MIN(IF(OR(O20=TRUE(),O20="TRUE",O20="Yes"),59,100),(I20*Rubric!$C$2+J20*Rubric!$C$3+K20*Rubric!$C$4+L20*Rubric!$C$5+M20*Rubric!$C$6+N20*Rubric!$C$7)/5),1)</f>
        <v>73</v>
      </c>
      <c r="U20" s="8" t="str">
        <f aca="false">LOOKUP(T20,Bands!$A$2:$A$6,Bands!$B$2:$B$6)</f>
        <v>Meets Expectations</v>
      </c>
      <c r="V20" s="8" t="n">
        <f aca="false">IF(Q20="","",ROUND((Q20-B20)*24,1))</f>
        <v>96</v>
      </c>
    </row>
    <row r="21" customFormat="false" ht="15" hidden="false" customHeight="false" outlineLevel="0" collapsed="false">
      <c r="A21" s="3" t="s">
        <v>118</v>
      </c>
      <c r="B21" s="5" t="n">
        <v>46114.4715277778</v>
      </c>
      <c r="C21" s="3" t="s">
        <v>30</v>
      </c>
      <c r="D21" s="3" t="s">
        <v>119</v>
      </c>
      <c r="E21" s="3" t="s">
        <v>120</v>
      </c>
      <c r="F21" s="3" t="s">
        <v>33</v>
      </c>
      <c r="G21" s="3" t="s">
        <v>42</v>
      </c>
      <c r="H21" s="3" t="s">
        <v>121</v>
      </c>
      <c r="I21" s="3" t="n">
        <v>4</v>
      </c>
      <c r="J21" s="3" t="n">
        <v>4</v>
      </c>
      <c r="K21" s="3" t="n">
        <v>4</v>
      </c>
      <c r="L21" s="3" t="n">
        <v>4</v>
      </c>
      <c r="M21" s="3" t="n">
        <v>4</v>
      </c>
      <c r="N21" s="3" t="n">
        <v>1</v>
      </c>
      <c r="O21" s="6" t="b">
        <f aca="false">TRUE()</f>
        <v>1</v>
      </c>
      <c r="P21" s="3" t="s">
        <v>36</v>
      </c>
      <c r="Q21" s="5" t="n">
        <v>46118.4715277778</v>
      </c>
      <c r="R21" s="5" t="n">
        <v>46119.7319444444</v>
      </c>
      <c r="S21" s="3" t="s">
        <v>37</v>
      </c>
      <c r="T21" s="7" t="n">
        <f aca="false">ROUND(MIN(IF(OR(O21=TRUE(),O21="TRUE",O21="Yes"),59,100),(I21*Rubric!$C$2+J21*Rubric!$C$3+K21*Rubric!$C$4+L21*Rubric!$C$5+M21*Rubric!$C$6+N21*Rubric!$C$7)/5),1)</f>
        <v>59</v>
      </c>
      <c r="U21" s="8" t="str">
        <f aca="false">LOOKUP(T21,Bands!$A$2:$A$6,Bands!$B$2:$B$6)</f>
        <v>Critical</v>
      </c>
      <c r="V21" s="8" t="n">
        <f aca="false">IF(Q21="","",ROUND((Q21-B21)*24,1))</f>
        <v>96</v>
      </c>
    </row>
    <row r="22" customFormat="false" ht="15" hidden="false" customHeight="false" outlineLevel="0" collapsed="false">
      <c r="A22" s="3" t="s">
        <v>122</v>
      </c>
      <c r="B22" s="5" t="n">
        <v>46114.5326388889</v>
      </c>
      <c r="C22" s="3" t="s">
        <v>39</v>
      </c>
      <c r="D22" s="3" t="s">
        <v>63</v>
      </c>
      <c r="E22" s="3" t="s">
        <v>64</v>
      </c>
      <c r="F22" s="3" t="s">
        <v>65</v>
      </c>
      <c r="G22" s="3" t="s">
        <v>42</v>
      </c>
      <c r="H22" s="3" t="s">
        <v>123</v>
      </c>
      <c r="I22" s="3" t="n">
        <v>3</v>
      </c>
      <c r="J22" s="3" t="n">
        <v>5</v>
      </c>
      <c r="K22" s="3" t="n">
        <v>2</v>
      </c>
      <c r="L22" s="3" t="n">
        <v>5</v>
      </c>
      <c r="M22" s="3" t="n">
        <v>3</v>
      </c>
      <c r="N22" s="3" t="n">
        <v>5</v>
      </c>
      <c r="O22" s="6" t="b">
        <f aca="false">FALSE()</f>
        <v>0</v>
      </c>
      <c r="P22" s="3" t="s">
        <v>49</v>
      </c>
      <c r="Q22" s="5" t="n">
        <v>46120.5326388889</v>
      </c>
      <c r="R22" s="5" t="n">
        <v>46121.6743055556</v>
      </c>
      <c r="S22" s="3" t="s">
        <v>37</v>
      </c>
      <c r="T22" s="7" t="n">
        <f aca="false">ROUND(MIN(IF(OR(O22=TRUE(),O22="TRUE",O22="Yes"),59,100),(I22*Rubric!$C$2+J22*Rubric!$C$3+K22*Rubric!$C$4+L22*Rubric!$C$5+M22*Rubric!$C$6+N22*Rubric!$C$7)/5),1)</f>
        <v>78</v>
      </c>
      <c r="U22" s="8" t="str">
        <f aca="false">LOOKUP(T22,Bands!$A$2:$A$6,Bands!$B$2:$B$6)</f>
        <v>Meets Expectations</v>
      </c>
      <c r="V22" s="8" t="n">
        <f aca="false">IF(Q22="","",ROUND((Q22-B22)*24,1))</f>
        <v>144</v>
      </c>
    </row>
    <row r="23" customFormat="false" ht="15" hidden="false" customHeight="false" outlineLevel="0" collapsed="false">
      <c r="A23" s="3" t="s">
        <v>124</v>
      </c>
      <c r="B23" s="5" t="n">
        <v>46114.4076388889</v>
      </c>
      <c r="C23" s="3" t="s">
        <v>39</v>
      </c>
      <c r="D23" s="3" t="s">
        <v>125</v>
      </c>
      <c r="E23" s="3" t="s">
        <v>126</v>
      </c>
      <c r="F23" s="3" t="s">
        <v>53</v>
      </c>
      <c r="G23" s="3" t="s">
        <v>54</v>
      </c>
      <c r="H23" s="3" t="s">
        <v>127</v>
      </c>
      <c r="I23" s="3" t="n">
        <v>5</v>
      </c>
      <c r="J23" s="3" t="n">
        <v>4</v>
      </c>
      <c r="K23" s="3" t="n">
        <v>5</v>
      </c>
      <c r="L23" s="3" t="n">
        <v>2</v>
      </c>
      <c r="M23" s="3" t="n">
        <v>4</v>
      </c>
      <c r="N23" s="3" t="n">
        <v>1</v>
      </c>
      <c r="O23" s="6" t="b">
        <f aca="false">TRUE()</f>
        <v>1</v>
      </c>
      <c r="P23" s="3" t="s">
        <v>128</v>
      </c>
      <c r="Q23" s="5" t="n">
        <v>46120.4076388889</v>
      </c>
      <c r="R23" s="5" t="n">
        <v>46120.5069444445</v>
      </c>
      <c r="S23" s="3" t="s">
        <v>37</v>
      </c>
      <c r="T23" s="7" t="n">
        <f aca="false">ROUND(MIN(IF(OR(O23=TRUE(),O23="TRUE",O23="Yes"),59,100),(I23*Rubric!$C$2+J23*Rubric!$C$3+K23*Rubric!$C$4+L23*Rubric!$C$5+M23*Rubric!$C$6+N23*Rubric!$C$7)/5),1)</f>
        <v>59</v>
      </c>
      <c r="U23" s="8" t="str">
        <f aca="false">LOOKUP(T23,Bands!$A$2:$A$6,Bands!$B$2:$B$6)</f>
        <v>Critical</v>
      </c>
      <c r="V23" s="8" t="n">
        <f aca="false">IF(Q23="","",ROUND((Q23-B23)*24,1))</f>
        <v>144</v>
      </c>
    </row>
    <row r="24" customFormat="false" ht="15" hidden="false" customHeight="false" outlineLevel="0" collapsed="false">
      <c r="A24" s="3" t="s">
        <v>129</v>
      </c>
      <c r="B24" s="5" t="n">
        <v>46114.4944444444</v>
      </c>
      <c r="C24" s="3" t="s">
        <v>30</v>
      </c>
      <c r="D24" s="3" t="s">
        <v>58</v>
      </c>
      <c r="E24" s="3" t="s">
        <v>59</v>
      </c>
      <c r="F24" s="3" t="s">
        <v>53</v>
      </c>
      <c r="G24" s="3" t="s">
        <v>42</v>
      </c>
      <c r="H24" s="3" t="s">
        <v>130</v>
      </c>
      <c r="I24" s="3" t="n">
        <v>4</v>
      </c>
      <c r="J24" s="3" t="n">
        <v>4</v>
      </c>
      <c r="K24" s="3" t="n">
        <v>2</v>
      </c>
      <c r="L24" s="3" t="n">
        <v>4</v>
      </c>
      <c r="M24" s="3" t="n">
        <v>2</v>
      </c>
      <c r="N24" s="3" t="n">
        <v>3</v>
      </c>
      <c r="O24" s="6" t="b">
        <f aca="false">FALSE()</f>
        <v>0</v>
      </c>
      <c r="P24" s="3" t="s">
        <v>131</v>
      </c>
      <c r="Q24" s="5" t="n">
        <v>46126.4944444444</v>
      </c>
      <c r="R24" s="5" t="n">
        <v>46126.7923611111</v>
      </c>
      <c r="S24" s="3" t="s">
        <v>37</v>
      </c>
      <c r="T24" s="7" t="n">
        <f aca="false">ROUND(MIN(IF(OR(O24=TRUE(),O24="TRUE",O24="Yes"),59,100),(I24*Rubric!$C$2+J24*Rubric!$C$3+K24*Rubric!$C$4+L24*Rubric!$C$5+M24*Rubric!$C$6+N24*Rubric!$C$7)/5),1)</f>
        <v>65</v>
      </c>
      <c r="U24" s="8" t="str">
        <f aca="false">LOOKUP(T24,Bands!$A$2:$A$6,Bands!$B$2:$B$6)</f>
        <v>Needs Improvement</v>
      </c>
      <c r="V24" s="8" t="n">
        <f aca="false">IF(Q24="","",ROUND((Q24-B24)*24,1))</f>
        <v>288</v>
      </c>
    </row>
    <row r="25" customFormat="false" ht="15" hidden="false" customHeight="false" outlineLevel="0" collapsed="false">
      <c r="A25" s="3" t="s">
        <v>132</v>
      </c>
      <c r="B25" s="5" t="n">
        <v>46114.6993055556</v>
      </c>
      <c r="C25" s="3" t="s">
        <v>39</v>
      </c>
      <c r="D25" s="3" t="s">
        <v>133</v>
      </c>
      <c r="E25" s="3" t="s">
        <v>134</v>
      </c>
      <c r="F25" s="3" t="s">
        <v>33</v>
      </c>
      <c r="G25" s="3" t="s">
        <v>54</v>
      </c>
      <c r="H25" s="3" t="s">
        <v>135</v>
      </c>
      <c r="I25" s="3" t="n">
        <v>5</v>
      </c>
      <c r="J25" s="3" t="n">
        <v>3</v>
      </c>
      <c r="K25" s="3" t="n">
        <v>4</v>
      </c>
      <c r="L25" s="3" t="n">
        <v>4</v>
      </c>
      <c r="M25" s="3" t="n">
        <v>5</v>
      </c>
      <c r="N25" s="3" t="n">
        <v>4</v>
      </c>
      <c r="O25" s="6" t="b">
        <f aca="false">FALSE()</f>
        <v>0</v>
      </c>
      <c r="P25" s="3"/>
      <c r="Q25" s="5" t="n">
        <v>46121.6993055556</v>
      </c>
      <c r="R25" s="5" t="n">
        <v>46123.0763888889</v>
      </c>
      <c r="S25" s="3" t="s">
        <v>37</v>
      </c>
      <c r="T25" s="7" t="n">
        <f aca="false">ROUND(MIN(IF(OR(O25=TRUE(),O25="TRUE",O25="Yes"),59,100),(I25*Rubric!$C$2+J25*Rubric!$C$3+K25*Rubric!$C$4+L25*Rubric!$C$5+M25*Rubric!$C$6+N25*Rubric!$C$7)/5),1)</f>
        <v>80</v>
      </c>
      <c r="U25" s="8" t="str">
        <f aca="false">LOOKUP(T25,Bands!$A$2:$A$6,Bands!$B$2:$B$6)</f>
        <v>Solid Performance</v>
      </c>
      <c r="V25" s="8" t="n">
        <f aca="false">IF(Q25="","",ROUND((Q25-B25)*24,1))</f>
        <v>168</v>
      </c>
    </row>
    <row r="26" customFormat="false" ht="15" hidden="false" customHeight="false" outlineLevel="0" collapsed="false">
      <c r="A26" s="3" t="s">
        <v>136</v>
      </c>
      <c r="B26" s="5" t="n">
        <v>46115.6284722222</v>
      </c>
      <c r="C26" s="3" t="s">
        <v>39</v>
      </c>
      <c r="D26" s="3" t="s">
        <v>137</v>
      </c>
      <c r="E26" s="3" t="s">
        <v>138</v>
      </c>
      <c r="F26" s="3" t="s">
        <v>65</v>
      </c>
      <c r="G26" s="3" t="s">
        <v>42</v>
      </c>
      <c r="H26" s="3" t="s">
        <v>139</v>
      </c>
      <c r="I26" s="3" t="n">
        <v>2</v>
      </c>
      <c r="J26" s="3" t="n">
        <v>5</v>
      </c>
      <c r="K26" s="3" t="n">
        <v>4</v>
      </c>
      <c r="L26" s="3" t="n">
        <v>5</v>
      </c>
      <c r="M26" s="3" t="n">
        <v>4</v>
      </c>
      <c r="N26" s="3" t="n">
        <v>4</v>
      </c>
      <c r="O26" s="6" t="b">
        <f aca="false">FALSE()</f>
        <v>0</v>
      </c>
      <c r="P26" s="3" t="s">
        <v>88</v>
      </c>
      <c r="Q26" s="5" t="n">
        <v>46122.6284722222</v>
      </c>
      <c r="R26" s="5" t="n">
        <v>46126.8694444444</v>
      </c>
      <c r="S26" s="3" t="s">
        <v>37</v>
      </c>
      <c r="T26" s="7" t="n">
        <f aca="false">ROUND(MIN(IF(OR(O26=TRUE(),O26="TRUE",O26="Yes"),59,100),(I26*Rubric!$C$2+J26*Rubric!$C$3+K26*Rubric!$C$4+L26*Rubric!$C$5+M26*Rubric!$C$6+N26*Rubric!$C$7)/5),1)</f>
        <v>82</v>
      </c>
      <c r="U26" s="8" t="str">
        <f aca="false">LOOKUP(T26,Bands!$A$2:$A$6,Bands!$B$2:$B$6)</f>
        <v>Solid Performance</v>
      </c>
      <c r="V26" s="8" t="n">
        <f aca="false">IF(Q26="","",ROUND((Q26-B26)*24,1))</f>
        <v>168</v>
      </c>
    </row>
    <row r="27" customFormat="false" ht="15" hidden="false" customHeight="false" outlineLevel="0" collapsed="false">
      <c r="A27" s="3" t="s">
        <v>140</v>
      </c>
      <c r="B27" s="5" t="n">
        <v>46115.5486111111</v>
      </c>
      <c r="C27" s="3" t="s">
        <v>39</v>
      </c>
      <c r="D27" s="3" t="s">
        <v>125</v>
      </c>
      <c r="E27" s="3" t="s">
        <v>126</v>
      </c>
      <c r="F27" s="3" t="s">
        <v>53</v>
      </c>
      <c r="G27" s="3" t="s">
        <v>42</v>
      </c>
      <c r="H27" s="3" t="s">
        <v>141</v>
      </c>
      <c r="I27" s="3" t="n">
        <v>4</v>
      </c>
      <c r="J27" s="3" t="n">
        <v>5</v>
      </c>
      <c r="K27" s="3" t="n">
        <v>5</v>
      </c>
      <c r="L27" s="3" t="n">
        <v>2</v>
      </c>
      <c r="M27" s="3" t="n">
        <v>4</v>
      </c>
      <c r="N27" s="3" t="n">
        <v>5</v>
      </c>
      <c r="O27" s="6" t="b">
        <f aca="false">FALSE()</f>
        <v>0</v>
      </c>
      <c r="P27" s="3" t="s">
        <v>44</v>
      </c>
      <c r="Q27" s="5" t="n">
        <v>46120.5486111111</v>
      </c>
      <c r="R27" s="5" t="n">
        <v>46122.9486111111</v>
      </c>
      <c r="S27" s="3" t="s">
        <v>37</v>
      </c>
      <c r="T27" s="7" t="n">
        <f aca="false">ROUND(MIN(IF(OR(O27=TRUE(),O27="TRUE",O27="Yes"),59,100),(I27*Rubric!$C$2+J27*Rubric!$C$3+K27*Rubric!$C$4+L27*Rubric!$C$5+M27*Rubric!$C$6+N27*Rubric!$C$7)/5),1)</f>
        <v>86</v>
      </c>
      <c r="U27" s="8" t="str">
        <f aca="false">LOOKUP(T27,Bands!$A$2:$A$6,Bands!$B$2:$B$6)</f>
        <v>Solid Performance</v>
      </c>
      <c r="V27" s="8" t="n">
        <f aca="false">IF(Q27="","",ROUND((Q27-B27)*24,1))</f>
        <v>120</v>
      </c>
    </row>
    <row r="28" customFormat="false" ht="15" hidden="false" customHeight="false" outlineLevel="0" collapsed="false">
      <c r="A28" s="3" t="s">
        <v>142</v>
      </c>
      <c r="B28" s="5" t="n">
        <v>46115.4097222222</v>
      </c>
      <c r="C28" s="3" t="s">
        <v>30</v>
      </c>
      <c r="D28" s="3" t="s">
        <v>81</v>
      </c>
      <c r="E28" s="3" t="s">
        <v>82</v>
      </c>
      <c r="F28" s="3" t="s">
        <v>65</v>
      </c>
      <c r="G28" s="3" t="s">
        <v>42</v>
      </c>
      <c r="H28" s="3" t="s">
        <v>143</v>
      </c>
      <c r="I28" s="3" t="n">
        <v>5</v>
      </c>
      <c r="J28" s="3" t="n">
        <v>2</v>
      </c>
      <c r="K28" s="3" t="n">
        <v>4</v>
      </c>
      <c r="L28" s="3" t="n">
        <v>4</v>
      </c>
      <c r="M28" s="3" t="n">
        <v>4</v>
      </c>
      <c r="N28" s="3" t="n">
        <v>5</v>
      </c>
      <c r="O28" s="6" t="b">
        <f aca="false">FALSE()</f>
        <v>0</v>
      </c>
      <c r="P28" s="3" t="s">
        <v>56</v>
      </c>
      <c r="Q28" s="5" t="n">
        <v>46118.4097222222</v>
      </c>
      <c r="R28" s="5" t="n">
        <v>46118.8541666667</v>
      </c>
      <c r="S28" s="3" t="s">
        <v>37</v>
      </c>
      <c r="T28" s="7" t="n">
        <f aca="false">ROUND(MIN(IF(OR(O28=TRUE(),O28="TRUE",O28="Yes"),59,100),(I28*Rubric!$C$2+J28*Rubric!$C$3+K28*Rubric!$C$4+L28*Rubric!$C$5+M28*Rubric!$C$6+N28*Rubric!$C$7)/5),1)</f>
        <v>76</v>
      </c>
      <c r="U28" s="8" t="str">
        <f aca="false">LOOKUP(T28,Bands!$A$2:$A$6,Bands!$B$2:$B$6)</f>
        <v>Meets Expectations</v>
      </c>
      <c r="V28" s="8" t="n">
        <f aca="false">IF(Q28="","",ROUND((Q28-B28)*24,1))</f>
        <v>72</v>
      </c>
    </row>
    <row r="29" customFormat="false" ht="15" hidden="false" customHeight="false" outlineLevel="0" collapsed="false">
      <c r="A29" s="3" t="s">
        <v>144</v>
      </c>
      <c r="B29" s="5" t="n">
        <v>46115.6534722222</v>
      </c>
      <c r="C29" s="3" t="s">
        <v>68</v>
      </c>
      <c r="D29" s="3" t="s">
        <v>145</v>
      </c>
      <c r="E29" s="3" t="s">
        <v>146</v>
      </c>
      <c r="F29" s="3" t="s">
        <v>33</v>
      </c>
      <c r="G29" s="3" t="s">
        <v>42</v>
      </c>
      <c r="H29" s="3" t="s">
        <v>147</v>
      </c>
      <c r="I29" s="3" t="n">
        <v>5</v>
      </c>
      <c r="J29" s="3" t="n">
        <v>2</v>
      </c>
      <c r="K29" s="3" t="n">
        <v>5</v>
      </c>
      <c r="L29" s="3" t="n">
        <v>4</v>
      </c>
      <c r="M29" s="3" t="n">
        <v>3</v>
      </c>
      <c r="N29" s="3" t="n">
        <v>4</v>
      </c>
      <c r="O29" s="6" t="b">
        <f aca="false">FALSE()</f>
        <v>0</v>
      </c>
      <c r="P29" s="3" t="s">
        <v>56</v>
      </c>
      <c r="Q29" s="5" t="n">
        <v>46120.6534722222</v>
      </c>
      <c r="R29" s="5" t="n">
        <v>46122.4493055556</v>
      </c>
      <c r="S29" s="3" t="s">
        <v>37</v>
      </c>
      <c r="T29" s="7" t="n">
        <f aca="false">ROUND(MIN(IF(OR(O29=TRUE(),O29="TRUE",O29="Yes"),59,100),(I29*Rubric!$C$2+J29*Rubric!$C$3+K29*Rubric!$C$4+L29*Rubric!$C$5+M29*Rubric!$C$6+N29*Rubric!$C$7)/5),1)</f>
        <v>75</v>
      </c>
      <c r="U29" s="8" t="str">
        <f aca="false">LOOKUP(T29,Bands!$A$2:$A$6,Bands!$B$2:$B$6)</f>
        <v>Meets Expectations</v>
      </c>
      <c r="V29" s="8" t="n">
        <f aca="false">IF(Q29="","",ROUND((Q29-B29)*24,1))</f>
        <v>120</v>
      </c>
    </row>
    <row r="30" customFormat="false" ht="15" hidden="false" customHeight="false" outlineLevel="0" collapsed="false">
      <c r="A30" s="3" t="s">
        <v>148</v>
      </c>
      <c r="B30" s="5" t="n">
        <v>46115.45</v>
      </c>
      <c r="C30" s="3" t="s">
        <v>30</v>
      </c>
      <c r="D30" s="3" t="s">
        <v>100</v>
      </c>
      <c r="E30" s="3" t="s">
        <v>101</v>
      </c>
      <c r="F30" s="3" t="s">
        <v>33</v>
      </c>
      <c r="G30" s="3" t="s">
        <v>42</v>
      </c>
      <c r="H30" s="3" t="s">
        <v>149</v>
      </c>
      <c r="I30" s="3" t="n">
        <v>5</v>
      </c>
      <c r="J30" s="3" t="n">
        <v>4</v>
      </c>
      <c r="K30" s="3" t="n">
        <v>4</v>
      </c>
      <c r="L30" s="3" t="n">
        <v>4</v>
      </c>
      <c r="M30" s="3" t="n">
        <v>2</v>
      </c>
      <c r="N30" s="3" t="n">
        <v>5</v>
      </c>
      <c r="O30" s="6" t="b">
        <f aca="false">FALSE()</f>
        <v>0</v>
      </c>
      <c r="P30" s="3" t="s">
        <v>103</v>
      </c>
      <c r="Q30" s="5" t="n">
        <v>46119.45</v>
      </c>
      <c r="R30" s="5" t="n">
        <v>46121.6659722222</v>
      </c>
      <c r="S30" s="3" t="s">
        <v>37</v>
      </c>
      <c r="T30" s="7" t="n">
        <f aca="false">ROUND(MIN(IF(OR(O30=TRUE(),O30="TRUE",O30="Yes"),59,100),(I30*Rubric!$C$2+J30*Rubric!$C$3+K30*Rubric!$C$4+L30*Rubric!$C$5+M30*Rubric!$C$6+N30*Rubric!$C$7)/5),1)</f>
        <v>82</v>
      </c>
      <c r="U30" s="8" t="str">
        <f aca="false">LOOKUP(T30,Bands!$A$2:$A$6,Bands!$B$2:$B$6)</f>
        <v>Solid Performance</v>
      </c>
      <c r="V30" s="8" t="n">
        <f aca="false">IF(Q30="","",ROUND((Q30-B30)*24,1))</f>
        <v>96</v>
      </c>
    </row>
    <row r="31" customFormat="false" ht="15" hidden="false" customHeight="false" outlineLevel="0" collapsed="false">
      <c r="A31" s="3" t="s">
        <v>150</v>
      </c>
      <c r="B31" s="5" t="n">
        <v>46115.5027777778</v>
      </c>
      <c r="C31" s="3" t="s">
        <v>68</v>
      </c>
      <c r="D31" s="3" t="s">
        <v>151</v>
      </c>
      <c r="E31" s="3" t="s">
        <v>152</v>
      </c>
      <c r="F31" s="3" t="s">
        <v>33</v>
      </c>
      <c r="G31" s="3" t="s">
        <v>42</v>
      </c>
      <c r="H31" s="3" t="s">
        <v>153</v>
      </c>
      <c r="I31" s="3" t="n">
        <v>5</v>
      </c>
      <c r="J31" s="3" t="n">
        <v>3</v>
      </c>
      <c r="K31" s="3" t="n">
        <v>4</v>
      </c>
      <c r="L31" s="3" t="n">
        <v>4</v>
      </c>
      <c r="M31" s="3" t="n">
        <v>5</v>
      </c>
      <c r="N31" s="3" t="n">
        <v>5</v>
      </c>
      <c r="O31" s="6" t="b">
        <f aca="false">FALSE()</f>
        <v>0</v>
      </c>
      <c r="P31" s="3"/>
      <c r="Q31" s="5" t="n">
        <v>46121.5027777778</v>
      </c>
      <c r="R31" s="5" t="n">
        <v>46122.5513888889</v>
      </c>
      <c r="S31" s="3" t="s">
        <v>37</v>
      </c>
      <c r="T31" s="7" t="n">
        <f aca="false">ROUND(MIN(IF(OR(O31=TRUE(),O31="TRUE",O31="Yes"),59,100),(I31*Rubric!$C$2+J31*Rubric!$C$3+K31*Rubric!$C$4+L31*Rubric!$C$5+M31*Rubric!$C$6+N31*Rubric!$C$7)/5),1)</f>
        <v>83</v>
      </c>
      <c r="U31" s="8" t="str">
        <f aca="false">LOOKUP(T31,Bands!$A$2:$A$6,Bands!$B$2:$B$6)</f>
        <v>Solid Performance</v>
      </c>
      <c r="V31" s="8" t="n">
        <f aca="false">IF(Q31="","",ROUND((Q31-B31)*24,1))</f>
        <v>144</v>
      </c>
    </row>
    <row r="32" customFormat="false" ht="15" hidden="false" customHeight="false" outlineLevel="0" collapsed="false">
      <c r="A32" s="3" t="s">
        <v>154</v>
      </c>
      <c r="B32" s="5" t="n">
        <v>46115.3944444444</v>
      </c>
      <c r="C32" s="3" t="s">
        <v>68</v>
      </c>
      <c r="D32" s="3" t="s">
        <v>155</v>
      </c>
      <c r="E32" s="3" t="s">
        <v>156</v>
      </c>
      <c r="F32" s="3" t="s">
        <v>65</v>
      </c>
      <c r="G32" s="3" t="s">
        <v>42</v>
      </c>
      <c r="H32" s="3" t="s">
        <v>157</v>
      </c>
      <c r="I32" s="3" t="n">
        <v>1</v>
      </c>
      <c r="J32" s="3" t="n">
        <v>4</v>
      </c>
      <c r="K32" s="3" t="n">
        <v>4</v>
      </c>
      <c r="L32" s="3" t="n">
        <v>3</v>
      </c>
      <c r="M32" s="3" t="n">
        <v>4</v>
      </c>
      <c r="N32" s="3" t="n">
        <v>4</v>
      </c>
      <c r="O32" s="6" t="b">
        <f aca="false">FALSE()</f>
        <v>0</v>
      </c>
      <c r="P32" s="3" t="s">
        <v>88</v>
      </c>
      <c r="Q32" s="5" t="n">
        <v>46119.3944444444</v>
      </c>
      <c r="R32" s="5" t="n">
        <v>46119.6444444444</v>
      </c>
      <c r="S32" s="3" t="s">
        <v>37</v>
      </c>
      <c r="T32" s="7" t="n">
        <f aca="false">ROUND(MIN(IF(OR(O32=TRUE(),O32="TRUE",O32="Yes"),59,100),(I32*Rubric!$C$2+J32*Rubric!$C$3+K32*Rubric!$C$4+L32*Rubric!$C$5+M32*Rubric!$C$6+N32*Rubric!$C$7)/5),1)</f>
        <v>68</v>
      </c>
      <c r="U32" s="8" t="str">
        <f aca="false">LOOKUP(T32,Bands!$A$2:$A$6,Bands!$B$2:$B$6)</f>
        <v>Needs Improvement</v>
      </c>
      <c r="V32" s="8" t="n">
        <f aca="false">IF(Q32="","",ROUND((Q32-B32)*24,1))</f>
        <v>96</v>
      </c>
    </row>
    <row r="33" customFormat="false" ht="15" hidden="false" customHeight="false" outlineLevel="0" collapsed="false">
      <c r="A33" s="3" t="s">
        <v>158</v>
      </c>
      <c r="B33" s="5" t="n">
        <v>46115.6215277778</v>
      </c>
      <c r="C33" s="3" t="s">
        <v>39</v>
      </c>
      <c r="D33" s="3" t="s">
        <v>105</v>
      </c>
      <c r="E33" s="3" t="s">
        <v>106</v>
      </c>
      <c r="F33" s="3" t="s">
        <v>65</v>
      </c>
      <c r="G33" s="3" t="s">
        <v>42</v>
      </c>
      <c r="H33" s="3" t="s">
        <v>159</v>
      </c>
      <c r="I33" s="3" t="n">
        <v>3</v>
      </c>
      <c r="J33" s="3" t="n">
        <v>2</v>
      </c>
      <c r="K33" s="3" t="n">
        <v>4</v>
      </c>
      <c r="L33" s="3" t="n">
        <v>5</v>
      </c>
      <c r="M33" s="3" t="n">
        <v>4</v>
      </c>
      <c r="N33" s="3" t="n">
        <v>4</v>
      </c>
      <c r="O33" s="6" t="b">
        <f aca="false">FALSE()</f>
        <v>0</v>
      </c>
      <c r="P33" s="3" t="s">
        <v>56</v>
      </c>
      <c r="Q33" s="5" t="n">
        <v>46119.6215277778</v>
      </c>
      <c r="R33" s="5" t="n">
        <v>46122.1944444445</v>
      </c>
      <c r="S33" s="3" t="s">
        <v>37</v>
      </c>
      <c r="T33" s="7" t="n">
        <f aca="false">ROUND(MIN(IF(OR(O33=TRUE(),O33="TRUE",O33="Yes"),59,100),(I33*Rubric!$C$2+J33*Rubric!$C$3+K33*Rubric!$C$4+L33*Rubric!$C$5+M33*Rubric!$C$6+N33*Rubric!$C$7)/5),1)</f>
        <v>70</v>
      </c>
      <c r="U33" s="8" t="str">
        <f aca="false">LOOKUP(T33,Bands!$A$2:$A$6,Bands!$B$2:$B$6)</f>
        <v>Meets Expectations</v>
      </c>
      <c r="V33" s="8" t="n">
        <f aca="false">IF(Q33="","",ROUND((Q33-B33)*24,1))</f>
        <v>96</v>
      </c>
    </row>
    <row r="34" customFormat="false" ht="15" hidden="false" customHeight="false" outlineLevel="0" collapsed="false">
      <c r="A34" s="3" t="s">
        <v>160</v>
      </c>
      <c r="B34" s="5" t="n">
        <v>46115.5708333333</v>
      </c>
      <c r="C34" s="3" t="s">
        <v>68</v>
      </c>
      <c r="D34" s="3" t="s">
        <v>161</v>
      </c>
      <c r="E34" s="3" t="s">
        <v>162</v>
      </c>
      <c r="F34" s="3" t="s">
        <v>33</v>
      </c>
      <c r="G34" s="3" t="s">
        <v>42</v>
      </c>
      <c r="H34" s="3" t="s">
        <v>163</v>
      </c>
      <c r="I34" s="3" t="n">
        <v>5</v>
      </c>
      <c r="J34" s="3" t="n">
        <v>4</v>
      </c>
      <c r="K34" s="3" t="n">
        <v>4</v>
      </c>
      <c r="L34" s="3" t="n">
        <v>4</v>
      </c>
      <c r="M34" s="3" t="n">
        <v>2</v>
      </c>
      <c r="N34" s="3" t="n">
        <v>4</v>
      </c>
      <c r="O34" s="6" t="b">
        <f aca="false">FALSE()</f>
        <v>0</v>
      </c>
      <c r="P34" s="3" t="s">
        <v>103</v>
      </c>
      <c r="Q34" s="5" t="n">
        <v>46121.5708333333</v>
      </c>
      <c r="R34" s="5" t="n">
        <v>46124.0527777778</v>
      </c>
      <c r="S34" s="3" t="s">
        <v>37</v>
      </c>
      <c r="T34" s="7" t="n">
        <f aca="false">ROUND(MIN(IF(OR(O34=TRUE(),O34="TRUE",O34="Yes"),59,100),(I34*Rubric!$C$2+J34*Rubric!$C$3+K34*Rubric!$C$4+L34*Rubric!$C$5+M34*Rubric!$C$6+N34*Rubric!$C$7)/5),1)</f>
        <v>79</v>
      </c>
      <c r="U34" s="8" t="str">
        <f aca="false">LOOKUP(T34,Bands!$A$2:$A$6,Bands!$B$2:$B$6)</f>
        <v>Meets Expectations</v>
      </c>
      <c r="V34" s="8" t="n">
        <f aca="false">IF(Q34="","",ROUND((Q34-B34)*24,1))</f>
        <v>144</v>
      </c>
    </row>
    <row r="35" customFormat="false" ht="15" hidden="false" customHeight="false" outlineLevel="0" collapsed="false">
      <c r="A35" s="3" t="s">
        <v>164</v>
      </c>
      <c r="B35" s="5" t="n">
        <v>46115.4520833333</v>
      </c>
      <c r="C35" s="3" t="s">
        <v>30</v>
      </c>
      <c r="D35" s="3" t="s">
        <v>85</v>
      </c>
      <c r="E35" s="3" t="s">
        <v>86</v>
      </c>
      <c r="F35" s="3" t="s">
        <v>33</v>
      </c>
      <c r="G35" s="3" t="s">
        <v>42</v>
      </c>
      <c r="H35" s="3" t="s">
        <v>165</v>
      </c>
      <c r="I35" s="3" t="n">
        <v>3</v>
      </c>
      <c r="J35" s="3" t="n">
        <v>5</v>
      </c>
      <c r="K35" s="3" t="n">
        <v>4</v>
      </c>
      <c r="L35" s="3" t="n">
        <v>4</v>
      </c>
      <c r="M35" s="3" t="n">
        <v>4</v>
      </c>
      <c r="N35" s="3" t="n">
        <v>4</v>
      </c>
      <c r="O35" s="6" t="b">
        <f aca="false">FALSE()</f>
        <v>0</v>
      </c>
      <c r="P35" s="3"/>
      <c r="Q35" s="5" t="n">
        <v>46121.4520833333</v>
      </c>
      <c r="R35" s="5" t="n">
        <v>46121.8840277778</v>
      </c>
      <c r="S35" s="3" t="s">
        <v>37</v>
      </c>
      <c r="T35" s="7" t="n">
        <f aca="false">ROUND(MIN(IF(OR(O35=TRUE(),O35="TRUE",O35="Yes"),59,100),(I35*Rubric!$C$2+J35*Rubric!$C$3+K35*Rubric!$C$4+L35*Rubric!$C$5+M35*Rubric!$C$6+N35*Rubric!$C$7)/5),1)</f>
        <v>82</v>
      </c>
      <c r="U35" s="8" t="str">
        <f aca="false">LOOKUP(T35,Bands!$A$2:$A$6,Bands!$B$2:$B$6)</f>
        <v>Solid Performance</v>
      </c>
      <c r="V35" s="8" t="n">
        <f aca="false">IF(Q35="","",ROUND((Q35-B35)*24,1))</f>
        <v>144</v>
      </c>
    </row>
    <row r="36" customFormat="false" ht="15" hidden="false" customHeight="false" outlineLevel="0" collapsed="false">
      <c r="A36" s="3" t="s">
        <v>166</v>
      </c>
      <c r="B36" s="5" t="n">
        <v>46115.5277777778</v>
      </c>
      <c r="C36" s="3" t="s">
        <v>30</v>
      </c>
      <c r="D36" s="3" t="s">
        <v>167</v>
      </c>
      <c r="E36" s="3" t="s">
        <v>168</v>
      </c>
      <c r="F36" s="3" t="s">
        <v>33</v>
      </c>
      <c r="G36" s="3" t="s">
        <v>42</v>
      </c>
      <c r="H36" s="3" t="s">
        <v>169</v>
      </c>
      <c r="I36" s="3" t="n">
        <v>3</v>
      </c>
      <c r="J36" s="3" t="n">
        <v>1</v>
      </c>
      <c r="K36" s="3" t="n">
        <v>4</v>
      </c>
      <c r="L36" s="3" t="n">
        <v>3</v>
      </c>
      <c r="M36" s="3" t="n">
        <v>3</v>
      </c>
      <c r="N36" s="3" t="n">
        <v>4</v>
      </c>
      <c r="O36" s="6" t="b">
        <f aca="false">FALSE()</f>
        <v>0</v>
      </c>
      <c r="P36" s="3" t="s">
        <v>56</v>
      </c>
      <c r="Q36" s="5" t="n">
        <v>46124.5277777778</v>
      </c>
      <c r="R36" s="5" t="n">
        <v>46128.3513888889</v>
      </c>
      <c r="S36" s="3" t="s">
        <v>37</v>
      </c>
      <c r="T36" s="7" t="n">
        <f aca="false">ROUND(MIN(IF(OR(O36=TRUE(),O36="TRUE",O36="Yes"),59,100),(I36*Rubric!$C$2+J36*Rubric!$C$3+K36*Rubric!$C$4+L36*Rubric!$C$5+M36*Rubric!$C$6+N36*Rubric!$C$7)/5),1)</f>
        <v>57</v>
      </c>
      <c r="U36" s="8" t="str">
        <f aca="false">LOOKUP(T36,Bands!$A$2:$A$6,Bands!$B$2:$B$6)</f>
        <v>Critical</v>
      </c>
      <c r="V36" s="8" t="n">
        <f aca="false">IF(Q36="","",ROUND((Q36-B36)*24,1))</f>
        <v>216</v>
      </c>
    </row>
    <row r="37" customFormat="false" ht="15" hidden="false" customHeight="false" outlineLevel="0" collapsed="false">
      <c r="A37" s="3" t="s">
        <v>170</v>
      </c>
      <c r="B37" s="5" t="n">
        <v>46115.4611111111</v>
      </c>
      <c r="C37" s="3" t="s">
        <v>68</v>
      </c>
      <c r="D37" s="3" t="s">
        <v>51</v>
      </c>
      <c r="E37" s="3" t="s">
        <v>52</v>
      </c>
      <c r="F37" s="3" t="s">
        <v>53</v>
      </c>
      <c r="G37" s="3" t="s">
        <v>42</v>
      </c>
      <c r="H37" s="3" t="s">
        <v>171</v>
      </c>
      <c r="I37" s="3" t="n">
        <v>4</v>
      </c>
      <c r="J37" s="3" t="n">
        <v>3</v>
      </c>
      <c r="K37" s="3" t="n">
        <v>3</v>
      </c>
      <c r="L37" s="3" t="n">
        <v>4</v>
      </c>
      <c r="M37" s="3" t="n">
        <v>5</v>
      </c>
      <c r="N37" s="3" t="n">
        <v>4</v>
      </c>
      <c r="O37" s="6" t="b">
        <f aca="false">FALSE()</f>
        <v>0</v>
      </c>
      <c r="P37" s="3"/>
      <c r="Q37" s="5" t="n">
        <v>46122.4611111111</v>
      </c>
      <c r="R37" s="5" t="n">
        <v>46122.8472222222</v>
      </c>
      <c r="S37" s="3" t="s">
        <v>37</v>
      </c>
      <c r="T37" s="7" t="n">
        <f aca="false">ROUND(MIN(IF(OR(O37=TRUE(),O37="TRUE",O37="Yes"),59,100),(I37*Rubric!$C$2+J37*Rubric!$C$3+K37*Rubric!$C$4+L37*Rubric!$C$5+M37*Rubric!$C$6+N37*Rubric!$C$7)/5),1)</f>
        <v>73</v>
      </c>
      <c r="U37" s="8" t="str">
        <f aca="false">LOOKUP(T37,Bands!$A$2:$A$6,Bands!$B$2:$B$6)</f>
        <v>Meets Expectations</v>
      </c>
      <c r="V37" s="8" t="n">
        <f aca="false">IF(Q37="","",ROUND((Q37-B37)*24,1))</f>
        <v>168</v>
      </c>
    </row>
    <row r="38" customFormat="false" ht="15" hidden="false" customHeight="false" outlineLevel="0" collapsed="false">
      <c r="A38" s="3" t="s">
        <v>172</v>
      </c>
      <c r="B38" s="5" t="n">
        <v>46118.3861111111</v>
      </c>
      <c r="C38" s="3" t="s">
        <v>39</v>
      </c>
      <c r="D38" s="3" t="s">
        <v>69</v>
      </c>
      <c r="E38" s="3" t="s">
        <v>70</v>
      </c>
      <c r="F38" s="3" t="s">
        <v>65</v>
      </c>
      <c r="G38" s="3" t="s">
        <v>34</v>
      </c>
      <c r="H38" s="3" t="s">
        <v>173</v>
      </c>
      <c r="I38" s="3" t="n">
        <v>4</v>
      </c>
      <c r="J38" s="3" t="n">
        <v>4</v>
      </c>
      <c r="K38" s="3" t="n">
        <v>4</v>
      </c>
      <c r="L38" s="3" t="n">
        <v>4</v>
      </c>
      <c r="M38" s="3" t="n">
        <v>4</v>
      </c>
      <c r="N38" s="3" t="n">
        <v>0</v>
      </c>
      <c r="O38" s="6" t="b">
        <f aca="false">TRUE()</f>
        <v>1</v>
      </c>
      <c r="P38" s="3" t="s">
        <v>36</v>
      </c>
      <c r="Q38" s="5" t="n">
        <v>46123.3861111111</v>
      </c>
      <c r="R38" s="5" t="n">
        <v>46123.475</v>
      </c>
      <c r="S38" s="3" t="s">
        <v>37</v>
      </c>
      <c r="T38" s="7" t="n">
        <f aca="false">ROUND(MIN(IF(OR(O38=TRUE(),O38="TRUE",O38="Yes"),59,100),(I38*Rubric!$C$2+J38*Rubric!$C$3+K38*Rubric!$C$4+L38*Rubric!$C$5+M38*Rubric!$C$6+N38*Rubric!$C$7)/5),1)</f>
        <v>59</v>
      </c>
      <c r="U38" s="8" t="str">
        <f aca="false">LOOKUP(T38,Bands!$A$2:$A$6,Bands!$B$2:$B$6)</f>
        <v>Critical</v>
      </c>
      <c r="V38" s="8" t="n">
        <f aca="false">IF(Q38="","",ROUND((Q38-B38)*24,1))</f>
        <v>120</v>
      </c>
    </row>
    <row r="39" customFormat="false" ht="15" hidden="false" customHeight="false" outlineLevel="0" collapsed="false">
      <c r="A39" s="3" t="s">
        <v>174</v>
      </c>
      <c r="B39" s="5" t="n">
        <v>46118.6465277778</v>
      </c>
      <c r="C39" s="3" t="s">
        <v>68</v>
      </c>
      <c r="D39" s="3" t="s">
        <v>105</v>
      </c>
      <c r="E39" s="3" t="s">
        <v>106</v>
      </c>
      <c r="F39" s="3" t="s">
        <v>65</v>
      </c>
      <c r="G39" s="3" t="s">
        <v>42</v>
      </c>
      <c r="H39" s="3" t="s">
        <v>175</v>
      </c>
      <c r="I39" s="3" t="n">
        <v>4</v>
      </c>
      <c r="J39" s="3" t="n">
        <v>2</v>
      </c>
      <c r="K39" s="3" t="n">
        <v>4</v>
      </c>
      <c r="L39" s="3" t="n">
        <v>4</v>
      </c>
      <c r="M39" s="3" t="n">
        <v>5</v>
      </c>
      <c r="N39" s="3" t="n">
        <v>3</v>
      </c>
      <c r="O39" s="6" t="b">
        <f aca="false">FALSE()</f>
        <v>0</v>
      </c>
      <c r="P39" s="3" t="s">
        <v>56</v>
      </c>
      <c r="Q39" s="5" t="n">
        <v>46123.6465277778</v>
      </c>
      <c r="R39" s="5" t="n">
        <v>46123.8055555556</v>
      </c>
      <c r="S39" s="3" t="s">
        <v>37</v>
      </c>
      <c r="T39" s="7" t="n">
        <f aca="false">ROUND(MIN(IF(OR(O39=TRUE(),O39="TRUE",O39="Yes"),59,100),(I39*Rubric!$C$2+J39*Rubric!$C$3+K39*Rubric!$C$4+L39*Rubric!$C$5+M39*Rubric!$C$6+N39*Rubric!$C$7)/5),1)</f>
        <v>69</v>
      </c>
      <c r="U39" s="8" t="str">
        <f aca="false">LOOKUP(T39,Bands!$A$2:$A$6,Bands!$B$2:$B$6)</f>
        <v>Needs Improvement</v>
      </c>
      <c r="V39" s="8" t="n">
        <f aca="false">IF(Q39="","",ROUND((Q39-B39)*24,1))</f>
        <v>120</v>
      </c>
    </row>
    <row r="40" customFormat="false" ht="15" hidden="false" customHeight="false" outlineLevel="0" collapsed="false">
      <c r="A40" s="3" t="s">
        <v>176</v>
      </c>
      <c r="B40" s="5" t="n">
        <v>46118.5236111111</v>
      </c>
      <c r="C40" s="3" t="s">
        <v>39</v>
      </c>
      <c r="D40" s="3" t="s">
        <v>155</v>
      </c>
      <c r="E40" s="3" t="s">
        <v>156</v>
      </c>
      <c r="F40" s="3" t="s">
        <v>65</v>
      </c>
      <c r="G40" s="3" t="s">
        <v>42</v>
      </c>
      <c r="H40" s="3" t="s">
        <v>177</v>
      </c>
      <c r="I40" s="3" t="n">
        <v>2</v>
      </c>
      <c r="J40" s="3" t="n">
        <v>5</v>
      </c>
      <c r="K40" s="3" t="n">
        <v>5</v>
      </c>
      <c r="L40" s="3" t="n">
        <v>4</v>
      </c>
      <c r="M40" s="3" t="n">
        <v>4</v>
      </c>
      <c r="N40" s="3" t="n">
        <v>4</v>
      </c>
      <c r="O40" s="6" t="b">
        <f aca="false">FALSE()</f>
        <v>0</v>
      </c>
      <c r="P40" s="3" t="s">
        <v>88</v>
      </c>
      <c r="Q40" s="5" t="n">
        <v>46121.5236111111</v>
      </c>
      <c r="R40" s="5" t="n">
        <v>46122.7805555556</v>
      </c>
      <c r="S40" s="3" t="s">
        <v>37</v>
      </c>
      <c r="T40" s="7" t="n">
        <f aca="false">ROUND(MIN(IF(OR(O40=TRUE(),O40="TRUE",O40="Yes"),59,100),(I40*Rubric!$C$2+J40*Rubric!$C$3+K40*Rubric!$C$4+L40*Rubric!$C$5+M40*Rubric!$C$6+N40*Rubric!$C$7)/5),1)</f>
        <v>83</v>
      </c>
      <c r="U40" s="8" t="str">
        <f aca="false">LOOKUP(T40,Bands!$A$2:$A$6,Bands!$B$2:$B$6)</f>
        <v>Solid Performance</v>
      </c>
      <c r="V40" s="8" t="n">
        <f aca="false">IF(Q40="","",ROUND((Q40-B40)*24,1))</f>
        <v>72</v>
      </c>
    </row>
    <row r="41" customFormat="false" ht="15" hidden="false" customHeight="false" outlineLevel="0" collapsed="false">
      <c r="A41" s="3" t="s">
        <v>178</v>
      </c>
      <c r="B41" s="5" t="n">
        <v>46118.4270833333</v>
      </c>
      <c r="C41" s="3" t="s">
        <v>30</v>
      </c>
      <c r="D41" s="3" t="s">
        <v>58</v>
      </c>
      <c r="E41" s="3" t="s">
        <v>59</v>
      </c>
      <c r="F41" s="3" t="s">
        <v>53</v>
      </c>
      <c r="G41" s="3" t="s">
        <v>54</v>
      </c>
      <c r="H41" s="3" t="s">
        <v>179</v>
      </c>
      <c r="I41" s="3" t="n">
        <v>2</v>
      </c>
      <c r="J41" s="3" t="n">
        <v>3</v>
      </c>
      <c r="K41" s="3" t="n">
        <v>2</v>
      </c>
      <c r="L41" s="3" t="n">
        <v>4</v>
      </c>
      <c r="M41" s="3" t="n">
        <v>3</v>
      </c>
      <c r="N41" s="3" t="n">
        <v>3</v>
      </c>
      <c r="O41" s="6" t="b">
        <f aca="false">FALSE()</f>
        <v>0</v>
      </c>
      <c r="P41" s="3" t="s">
        <v>180</v>
      </c>
      <c r="Q41" s="5" t="n">
        <v>46122.4270833333</v>
      </c>
      <c r="R41" s="5" t="n">
        <v>46122.7597222222</v>
      </c>
      <c r="S41" s="3" t="s">
        <v>37</v>
      </c>
      <c r="T41" s="7" t="n">
        <f aca="false">ROUND(MIN(IF(OR(O41=TRUE(),O41="TRUE",O41="Yes"),59,100),(I41*Rubric!$C$2+J41*Rubric!$C$3+K41*Rubric!$C$4+L41*Rubric!$C$5+M41*Rubric!$C$6+N41*Rubric!$C$7)/5),1)</f>
        <v>56</v>
      </c>
      <c r="U41" s="8" t="str">
        <f aca="false">LOOKUP(T41,Bands!$A$2:$A$6,Bands!$B$2:$B$6)</f>
        <v>Critical</v>
      </c>
      <c r="V41" s="8" t="n">
        <f aca="false">IF(Q41="","",ROUND((Q41-B41)*24,1))</f>
        <v>96</v>
      </c>
    </row>
    <row r="42" customFormat="false" ht="15" hidden="false" customHeight="false" outlineLevel="0" collapsed="false">
      <c r="A42" s="3" t="s">
        <v>181</v>
      </c>
      <c r="B42" s="5" t="n">
        <v>46118.6972222222</v>
      </c>
      <c r="C42" s="3" t="s">
        <v>39</v>
      </c>
      <c r="D42" s="3" t="s">
        <v>73</v>
      </c>
      <c r="E42" s="3" t="s">
        <v>74</v>
      </c>
      <c r="F42" s="3" t="s">
        <v>33</v>
      </c>
      <c r="G42" s="3" t="s">
        <v>42</v>
      </c>
      <c r="H42" s="3" t="s">
        <v>182</v>
      </c>
      <c r="I42" s="3" t="n">
        <v>5</v>
      </c>
      <c r="J42" s="3" t="n">
        <v>4</v>
      </c>
      <c r="K42" s="3" t="n">
        <v>4</v>
      </c>
      <c r="L42" s="3" t="n">
        <v>5</v>
      </c>
      <c r="M42" s="3" t="n">
        <v>4</v>
      </c>
      <c r="N42" s="3" t="n">
        <v>2</v>
      </c>
      <c r="O42" s="6" t="b">
        <f aca="false">FALSE()</f>
        <v>0</v>
      </c>
      <c r="P42" s="3" t="s">
        <v>36</v>
      </c>
      <c r="Q42" s="5" t="n">
        <v>46122.6972222222</v>
      </c>
      <c r="R42" s="5" t="n">
        <v>46124.5277777778</v>
      </c>
      <c r="S42" s="3" t="s">
        <v>37</v>
      </c>
      <c r="T42" s="7" t="n">
        <f aca="false">ROUND(MIN(IF(OR(O42=TRUE(),O42="TRUE",O42="Yes"),59,100),(I42*Rubric!$C$2+J42*Rubric!$C$3+K42*Rubric!$C$4+L42*Rubric!$C$5+M42*Rubric!$C$6+N42*Rubric!$C$7)/5),1)</f>
        <v>80</v>
      </c>
      <c r="U42" s="8" t="str">
        <f aca="false">LOOKUP(T42,Bands!$A$2:$A$6,Bands!$B$2:$B$6)</f>
        <v>Solid Performance</v>
      </c>
      <c r="V42" s="8" t="n">
        <f aca="false">IF(Q42="","",ROUND((Q42-B42)*24,1))</f>
        <v>96</v>
      </c>
    </row>
    <row r="43" customFormat="false" ht="15" hidden="false" customHeight="false" outlineLevel="0" collapsed="false">
      <c r="A43" s="3" t="s">
        <v>183</v>
      </c>
      <c r="B43" s="5" t="n">
        <v>46118.4479166667</v>
      </c>
      <c r="C43" s="3" t="s">
        <v>39</v>
      </c>
      <c r="D43" s="3" t="s">
        <v>161</v>
      </c>
      <c r="E43" s="3" t="s">
        <v>162</v>
      </c>
      <c r="F43" s="3" t="s">
        <v>33</v>
      </c>
      <c r="G43" s="3" t="s">
        <v>34</v>
      </c>
      <c r="H43" s="3" t="s">
        <v>184</v>
      </c>
      <c r="I43" s="3" t="n">
        <v>4</v>
      </c>
      <c r="J43" s="3" t="n">
        <v>5</v>
      </c>
      <c r="K43" s="3" t="n">
        <v>4</v>
      </c>
      <c r="L43" s="3" t="n">
        <v>5</v>
      </c>
      <c r="M43" s="3" t="n">
        <v>1</v>
      </c>
      <c r="N43" s="3" t="n">
        <v>5</v>
      </c>
      <c r="O43" s="6" t="b">
        <f aca="false">FALSE()</f>
        <v>0</v>
      </c>
      <c r="P43" s="3" t="s">
        <v>103</v>
      </c>
      <c r="Q43" s="5" t="n">
        <v>46124.4479166667</v>
      </c>
      <c r="R43" s="5" t="n">
        <v>46125.1409722222</v>
      </c>
      <c r="S43" s="3" t="s">
        <v>37</v>
      </c>
      <c r="T43" s="7" t="n">
        <f aca="false">ROUND(MIN(IF(OR(O43=TRUE(),O43="TRUE",O43="Yes"),59,100),(I43*Rubric!$C$2+J43*Rubric!$C$3+K43*Rubric!$C$4+L43*Rubric!$C$5+M43*Rubric!$C$6+N43*Rubric!$C$7)/5),1)</f>
        <v>85</v>
      </c>
      <c r="U43" s="8" t="str">
        <f aca="false">LOOKUP(T43,Bands!$A$2:$A$6,Bands!$B$2:$B$6)</f>
        <v>Solid Performance</v>
      </c>
      <c r="V43" s="8" t="n">
        <f aca="false">IF(Q43="","",ROUND((Q43-B43)*24,1))</f>
        <v>144</v>
      </c>
    </row>
    <row r="44" customFormat="false" ht="15" hidden="false" customHeight="false" outlineLevel="0" collapsed="false">
      <c r="A44" s="3" t="s">
        <v>185</v>
      </c>
      <c r="B44" s="5" t="n">
        <v>46118.6576388889</v>
      </c>
      <c r="C44" s="3" t="s">
        <v>39</v>
      </c>
      <c r="D44" s="3" t="s">
        <v>125</v>
      </c>
      <c r="E44" s="3" t="s">
        <v>126</v>
      </c>
      <c r="F44" s="3" t="s">
        <v>53</v>
      </c>
      <c r="G44" s="3" t="s">
        <v>54</v>
      </c>
      <c r="H44" s="3" t="s">
        <v>186</v>
      </c>
      <c r="I44" s="3" t="n">
        <v>4</v>
      </c>
      <c r="J44" s="3" t="n">
        <v>4</v>
      </c>
      <c r="K44" s="3" t="n">
        <v>5</v>
      </c>
      <c r="L44" s="3" t="n">
        <v>1</v>
      </c>
      <c r="M44" s="3" t="n">
        <v>4</v>
      </c>
      <c r="N44" s="3" t="n">
        <v>5</v>
      </c>
      <c r="O44" s="6" t="b">
        <f aca="false">FALSE()</f>
        <v>0</v>
      </c>
      <c r="P44" s="3" t="s">
        <v>44</v>
      </c>
      <c r="Q44" s="5" t="n">
        <v>46125.6576388889</v>
      </c>
      <c r="R44" s="5" t="n">
        <v>46126.6451388889</v>
      </c>
      <c r="S44" s="3" t="s">
        <v>37</v>
      </c>
      <c r="T44" s="7" t="n">
        <f aca="false">ROUND(MIN(IF(OR(O44=TRUE(),O44="TRUE",O44="Yes"),59,100),(I44*Rubric!$C$2+J44*Rubric!$C$3+K44*Rubric!$C$4+L44*Rubric!$C$5+M44*Rubric!$C$6+N44*Rubric!$C$7)/5),1)</f>
        <v>78</v>
      </c>
      <c r="U44" s="8" t="str">
        <f aca="false">LOOKUP(T44,Bands!$A$2:$A$6,Bands!$B$2:$B$6)</f>
        <v>Meets Expectations</v>
      </c>
      <c r="V44" s="8" t="n">
        <f aca="false">IF(Q44="","",ROUND((Q44-B44)*24,1))</f>
        <v>168</v>
      </c>
    </row>
    <row r="45" customFormat="false" ht="15" hidden="false" customHeight="false" outlineLevel="0" collapsed="false">
      <c r="A45" s="3" t="s">
        <v>187</v>
      </c>
      <c r="B45" s="5" t="n">
        <v>46118.5611111111</v>
      </c>
      <c r="C45" s="3" t="s">
        <v>30</v>
      </c>
      <c r="D45" s="3" t="s">
        <v>137</v>
      </c>
      <c r="E45" s="3" t="s">
        <v>138</v>
      </c>
      <c r="F45" s="3" t="s">
        <v>65</v>
      </c>
      <c r="G45" s="3" t="s">
        <v>42</v>
      </c>
      <c r="H45" s="3" t="s">
        <v>188</v>
      </c>
      <c r="I45" s="3" t="n">
        <v>2</v>
      </c>
      <c r="J45" s="3" t="n">
        <v>5</v>
      </c>
      <c r="K45" s="3" t="n">
        <v>5</v>
      </c>
      <c r="L45" s="3" t="n">
        <v>4</v>
      </c>
      <c r="M45" s="3" t="n">
        <v>5</v>
      </c>
      <c r="N45" s="3" t="n">
        <v>4</v>
      </c>
      <c r="O45" s="6" t="b">
        <f aca="false">FALSE()</f>
        <v>0</v>
      </c>
      <c r="P45" s="3" t="s">
        <v>88</v>
      </c>
      <c r="Q45" s="5" t="n">
        <v>46124.5611111111</v>
      </c>
      <c r="R45" s="5" t="n">
        <v>46125.0625</v>
      </c>
      <c r="S45" s="3" t="s">
        <v>37</v>
      </c>
      <c r="T45" s="7" t="n">
        <f aca="false">ROUND(MIN(IF(OR(O45=TRUE(),O45="TRUE",O45="Yes"),59,100),(I45*Rubric!$C$2+J45*Rubric!$C$3+K45*Rubric!$C$4+L45*Rubric!$C$5+M45*Rubric!$C$6+N45*Rubric!$C$7)/5),1)</f>
        <v>85</v>
      </c>
      <c r="U45" s="8" t="str">
        <f aca="false">LOOKUP(T45,Bands!$A$2:$A$6,Bands!$B$2:$B$6)</f>
        <v>Solid Performance</v>
      </c>
      <c r="V45" s="8" t="n">
        <f aca="false">IF(Q45="","",ROUND((Q45-B45)*24,1))</f>
        <v>144</v>
      </c>
    </row>
    <row r="46" customFormat="false" ht="15" hidden="false" customHeight="false" outlineLevel="0" collapsed="false">
      <c r="A46" s="3" t="s">
        <v>189</v>
      </c>
      <c r="B46" s="5" t="n">
        <v>46118.4708333333</v>
      </c>
      <c r="C46" s="3" t="s">
        <v>68</v>
      </c>
      <c r="D46" s="3" t="s">
        <v>90</v>
      </c>
      <c r="E46" s="3" t="s">
        <v>91</v>
      </c>
      <c r="F46" s="3" t="s">
        <v>65</v>
      </c>
      <c r="G46" s="3" t="s">
        <v>54</v>
      </c>
      <c r="H46" s="3" t="s">
        <v>190</v>
      </c>
      <c r="I46" s="3" t="n">
        <v>5</v>
      </c>
      <c r="J46" s="3" t="n">
        <v>4</v>
      </c>
      <c r="K46" s="3" t="n">
        <v>4</v>
      </c>
      <c r="L46" s="3" t="n">
        <v>3</v>
      </c>
      <c r="M46" s="3" t="n">
        <v>5</v>
      </c>
      <c r="N46" s="3" t="n">
        <v>5</v>
      </c>
      <c r="O46" s="6" t="b">
        <f aca="false">FALSE()</f>
        <v>0</v>
      </c>
      <c r="P46" s="3"/>
      <c r="Q46" s="5" t="n">
        <v>46125.4708333333</v>
      </c>
      <c r="R46" s="5" t="n">
        <v>46126.9625</v>
      </c>
      <c r="S46" s="3" t="s">
        <v>37</v>
      </c>
      <c r="T46" s="7" t="n">
        <f aca="false">ROUND(MIN(IF(OR(O46=TRUE(),O46="TRUE",O46="Yes"),59,100),(I46*Rubric!$C$2+J46*Rubric!$C$3+K46*Rubric!$C$4+L46*Rubric!$C$5+M46*Rubric!$C$6+N46*Rubric!$C$7)/5),1)</f>
        <v>85</v>
      </c>
      <c r="U46" s="8" t="str">
        <f aca="false">LOOKUP(T46,Bands!$A$2:$A$6,Bands!$B$2:$B$6)</f>
        <v>Solid Performance</v>
      </c>
      <c r="V46" s="8" t="n">
        <f aca="false">IF(Q46="","",ROUND((Q46-B46)*24,1))</f>
        <v>168</v>
      </c>
    </row>
    <row r="47" customFormat="false" ht="15" hidden="false" customHeight="false" outlineLevel="0" collapsed="false">
      <c r="A47" s="3" t="s">
        <v>191</v>
      </c>
      <c r="B47" s="5" t="n">
        <v>46118.4298611111</v>
      </c>
      <c r="C47" s="3" t="s">
        <v>39</v>
      </c>
      <c r="D47" s="3" t="s">
        <v>63</v>
      </c>
      <c r="E47" s="3" t="s">
        <v>64</v>
      </c>
      <c r="F47" s="3" t="s">
        <v>65</v>
      </c>
      <c r="G47" s="3" t="s">
        <v>42</v>
      </c>
      <c r="H47" s="3" t="s">
        <v>192</v>
      </c>
      <c r="I47" s="3" t="n">
        <v>2</v>
      </c>
      <c r="J47" s="3" t="n">
        <v>3</v>
      </c>
      <c r="K47" s="3" t="n">
        <v>1</v>
      </c>
      <c r="L47" s="3" t="n">
        <v>4</v>
      </c>
      <c r="M47" s="3" t="n">
        <v>3</v>
      </c>
      <c r="N47" s="3" t="n">
        <v>4</v>
      </c>
      <c r="O47" s="6" t="b">
        <f aca="false">FALSE()</f>
        <v>0</v>
      </c>
      <c r="P47" s="3" t="s">
        <v>180</v>
      </c>
      <c r="Q47" s="5" t="n">
        <v>46124.4298611111</v>
      </c>
      <c r="R47" s="5" t="n">
        <v>46129.5194444444</v>
      </c>
      <c r="S47" s="3" t="s">
        <v>37</v>
      </c>
      <c r="T47" s="7" t="n">
        <f aca="false">ROUND(MIN(IF(OR(O47=TRUE(),O47="TRUE",O47="Yes"),59,100),(I47*Rubric!$C$2+J47*Rubric!$C$3+K47*Rubric!$C$4+L47*Rubric!$C$5+M47*Rubric!$C$6+N47*Rubric!$C$7)/5),1)</f>
        <v>55</v>
      </c>
      <c r="U47" s="8" t="str">
        <f aca="false">LOOKUP(T47,Bands!$A$2:$A$6,Bands!$B$2:$B$6)</f>
        <v>Critical</v>
      </c>
      <c r="V47" s="8" t="n">
        <f aca="false">IF(Q47="","",ROUND((Q47-B47)*24,1))</f>
        <v>144</v>
      </c>
    </row>
    <row r="48" customFormat="false" ht="15" hidden="false" customHeight="false" outlineLevel="0" collapsed="false">
      <c r="A48" s="3" t="s">
        <v>193</v>
      </c>
      <c r="B48" s="5" t="n">
        <v>46118.4784722222</v>
      </c>
      <c r="C48" s="3" t="s">
        <v>30</v>
      </c>
      <c r="D48" s="3" t="s">
        <v>194</v>
      </c>
      <c r="E48" s="3" t="s">
        <v>195</v>
      </c>
      <c r="F48" s="3" t="s">
        <v>53</v>
      </c>
      <c r="G48" s="3" t="s">
        <v>42</v>
      </c>
      <c r="H48" s="3" t="s">
        <v>196</v>
      </c>
      <c r="I48" s="3" t="n">
        <v>4</v>
      </c>
      <c r="J48" s="3" t="n">
        <v>5</v>
      </c>
      <c r="K48" s="3" t="n">
        <v>5</v>
      </c>
      <c r="L48" s="3" t="n">
        <v>2</v>
      </c>
      <c r="M48" s="3" t="n">
        <v>5</v>
      </c>
      <c r="N48" s="3" t="n">
        <v>5</v>
      </c>
      <c r="O48" s="6" t="b">
        <f aca="false">FALSE()</f>
        <v>0</v>
      </c>
      <c r="P48" s="3" t="s">
        <v>44</v>
      </c>
      <c r="Q48" s="5" t="n">
        <v>46125.4784722222</v>
      </c>
      <c r="R48" s="5" t="n">
        <v>46125.9583333333</v>
      </c>
      <c r="S48" s="3" t="s">
        <v>37</v>
      </c>
      <c r="T48" s="7" t="n">
        <f aca="false">ROUND(MIN(IF(OR(O48=TRUE(),O48="TRUE",O48="Yes"),59,100),(I48*Rubric!$C$2+J48*Rubric!$C$3+K48*Rubric!$C$4+L48*Rubric!$C$5+M48*Rubric!$C$6+N48*Rubric!$C$7)/5),1)</f>
        <v>88</v>
      </c>
      <c r="U48" s="8" t="str">
        <f aca="false">LOOKUP(T48,Bands!$A$2:$A$6,Bands!$B$2:$B$6)</f>
        <v>Solid Performance</v>
      </c>
      <c r="V48" s="8" t="n">
        <f aca="false">IF(Q48="","",ROUND((Q48-B48)*24,1))</f>
        <v>168</v>
      </c>
    </row>
    <row r="49" customFormat="false" ht="15" hidden="false" customHeight="false" outlineLevel="0" collapsed="false">
      <c r="A49" s="3" t="s">
        <v>197</v>
      </c>
      <c r="B49" s="5" t="n">
        <v>46118.5715277778</v>
      </c>
      <c r="C49" s="3" t="s">
        <v>68</v>
      </c>
      <c r="D49" s="3" t="s">
        <v>198</v>
      </c>
      <c r="E49" s="3" t="s">
        <v>199</v>
      </c>
      <c r="F49" s="3" t="s">
        <v>33</v>
      </c>
      <c r="G49" s="3" t="s">
        <v>42</v>
      </c>
      <c r="H49" s="3" t="s">
        <v>200</v>
      </c>
      <c r="I49" s="3" t="n">
        <v>4</v>
      </c>
      <c r="J49" s="3" t="n">
        <v>2</v>
      </c>
      <c r="K49" s="3" t="n">
        <v>4</v>
      </c>
      <c r="L49" s="3" t="n">
        <v>5</v>
      </c>
      <c r="M49" s="3" t="n">
        <v>4</v>
      </c>
      <c r="N49" s="3" t="n">
        <v>4</v>
      </c>
      <c r="O49" s="6" t="b">
        <f aca="false">FALSE()</f>
        <v>0</v>
      </c>
      <c r="P49" s="3" t="s">
        <v>56</v>
      </c>
      <c r="Q49" s="5" t="n">
        <v>46122.5715277778</v>
      </c>
      <c r="R49" s="5" t="n">
        <v>46123.4173611111</v>
      </c>
      <c r="S49" s="3" t="s">
        <v>37</v>
      </c>
      <c r="T49" s="7" t="n">
        <f aca="false">ROUND(MIN(IF(OR(O49=TRUE(),O49="TRUE",O49="Yes"),59,100),(I49*Rubric!$C$2+J49*Rubric!$C$3+K49*Rubric!$C$4+L49*Rubric!$C$5+M49*Rubric!$C$6+N49*Rubric!$C$7)/5),1)</f>
        <v>73</v>
      </c>
      <c r="U49" s="8" t="str">
        <f aca="false">LOOKUP(T49,Bands!$A$2:$A$6,Bands!$B$2:$B$6)</f>
        <v>Meets Expectations</v>
      </c>
      <c r="V49" s="8" t="n">
        <f aca="false">IF(Q49="","",ROUND((Q49-B49)*24,1))</f>
        <v>96</v>
      </c>
    </row>
    <row r="50" customFormat="false" ht="15" hidden="false" customHeight="false" outlineLevel="0" collapsed="false">
      <c r="A50" s="3" t="s">
        <v>201</v>
      </c>
      <c r="B50" s="5" t="n">
        <v>46119.6152777778</v>
      </c>
      <c r="C50" s="3" t="s">
        <v>68</v>
      </c>
      <c r="D50" s="3" t="s">
        <v>202</v>
      </c>
      <c r="E50" s="3" t="s">
        <v>203</v>
      </c>
      <c r="F50" s="3" t="s">
        <v>53</v>
      </c>
      <c r="G50" s="3" t="s">
        <v>34</v>
      </c>
      <c r="H50" s="3" t="s">
        <v>204</v>
      </c>
      <c r="I50" s="3" t="n">
        <v>4</v>
      </c>
      <c r="J50" s="3" t="n">
        <v>4</v>
      </c>
      <c r="K50" s="3" t="n">
        <v>3</v>
      </c>
      <c r="L50" s="3" t="n">
        <v>2</v>
      </c>
      <c r="M50" s="3" t="n">
        <v>3</v>
      </c>
      <c r="N50" s="3" t="n">
        <v>1</v>
      </c>
      <c r="O50" s="6" t="b">
        <f aca="false">TRUE()</f>
        <v>1</v>
      </c>
      <c r="P50" s="3" t="s">
        <v>128</v>
      </c>
      <c r="Q50" s="5" t="n">
        <v>46124.6152777778</v>
      </c>
      <c r="R50" s="5" t="n">
        <v>46125.8125</v>
      </c>
      <c r="S50" s="3" t="s">
        <v>37</v>
      </c>
      <c r="T50" s="7" t="n">
        <f aca="false">ROUND(MIN(IF(OR(O50=TRUE(),O50="TRUE",O50="Yes"),59,100),(I50*Rubric!$C$2+J50*Rubric!$C$3+K50*Rubric!$C$4+L50*Rubric!$C$5+M50*Rubric!$C$6+N50*Rubric!$C$7)/5),1)</f>
        <v>59</v>
      </c>
      <c r="U50" s="8" t="str">
        <f aca="false">LOOKUP(T50,Bands!$A$2:$A$6,Bands!$B$2:$B$6)</f>
        <v>Critical</v>
      </c>
      <c r="V50" s="8" t="n">
        <f aca="false">IF(Q50="","",ROUND((Q50-B50)*24,1))</f>
        <v>120</v>
      </c>
    </row>
    <row r="51" customFormat="false" ht="15" hidden="false" customHeight="false" outlineLevel="0" collapsed="false">
      <c r="A51" s="3" t="s">
        <v>205</v>
      </c>
      <c r="B51" s="5" t="n">
        <v>46119.49375</v>
      </c>
      <c r="C51" s="3" t="s">
        <v>30</v>
      </c>
      <c r="D51" s="3" t="s">
        <v>96</v>
      </c>
      <c r="E51" s="3" t="s">
        <v>97</v>
      </c>
      <c r="F51" s="3" t="s">
        <v>33</v>
      </c>
      <c r="G51" s="3" t="s">
        <v>54</v>
      </c>
      <c r="H51" s="3" t="s">
        <v>206</v>
      </c>
      <c r="I51" s="3" t="n">
        <v>4</v>
      </c>
      <c r="J51" s="3" t="n">
        <v>2</v>
      </c>
      <c r="K51" s="3" t="n">
        <v>5</v>
      </c>
      <c r="L51" s="3" t="n">
        <v>4</v>
      </c>
      <c r="M51" s="3" t="n">
        <v>4</v>
      </c>
      <c r="N51" s="3" t="n">
        <v>5</v>
      </c>
      <c r="O51" s="6" t="b">
        <f aca="false">FALSE()</f>
        <v>0</v>
      </c>
      <c r="P51" s="3" t="s">
        <v>56</v>
      </c>
      <c r="Q51" s="5" t="n">
        <v>46124.49375</v>
      </c>
      <c r="R51" s="5" t="n">
        <v>46126.8111111111</v>
      </c>
      <c r="S51" s="3" t="s">
        <v>37</v>
      </c>
      <c r="T51" s="7" t="n">
        <f aca="false">ROUND(MIN(IF(OR(O51=TRUE(),O51="TRUE",O51="Yes"),59,100),(I51*Rubric!$C$2+J51*Rubric!$C$3+K51*Rubric!$C$4+L51*Rubric!$C$5+M51*Rubric!$C$6+N51*Rubric!$C$7)/5),1)</f>
        <v>77</v>
      </c>
      <c r="U51" s="8" t="str">
        <f aca="false">LOOKUP(T51,Bands!$A$2:$A$6,Bands!$B$2:$B$6)</f>
        <v>Meets Expectations</v>
      </c>
      <c r="V51" s="8" t="n">
        <f aca="false">IF(Q51="","",ROUND((Q51-B51)*24,1))</f>
        <v>120</v>
      </c>
    </row>
    <row r="52" customFormat="false" ht="15" hidden="false" customHeight="false" outlineLevel="0" collapsed="false">
      <c r="A52" s="3" t="s">
        <v>207</v>
      </c>
      <c r="B52" s="5" t="n">
        <v>46119.6020833333</v>
      </c>
      <c r="C52" s="3" t="s">
        <v>30</v>
      </c>
      <c r="D52" s="3" t="s">
        <v>133</v>
      </c>
      <c r="E52" s="3" t="s">
        <v>134</v>
      </c>
      <c r="F52" s="3" t="s">
        <v>33</v>
      </c>
      <c r="G52" s="3" t="s">
        <v>54</v>
      </c>
      <c r="H52" s="3" t="s">
        <v>208</v>
      </c>
      <c r="I52" s="3" t="n">
        <v>5</v>
      </c>
      <c r="J52" s="3" t="n">
        <v>2</v>
      </c>
      <c r="K52" s="3" t="n">
        <v>5</v>
      </c>
      <c r="L52" s="3" t="n">
        <v>5</v>
      </c>
      <c r="M52" s="3" t="n">
        <v>5</v>
      </c>
      <c r="N52" s="3" t="n">
        <v>5</v>
      </c>
      <c r="O52" s="6" t="b">
        <f aca="false">FALSE()</f>
        <v>0</v>
      </c>
      <c r="P52" s="3" t="s">
        <v>56</v>
      </c>
      <c r="Q52" s="5" t="n">
        <v>46126.6020833333</v>
      </c>
      <c r="R52" s="5" t="n">
        <v>46130.1361111111</v>
      </c>
      <c r="S52" s="3" t="s">
        <v>37</v>
      </c>
      <c r="T52" s="7" t="n">
        <f aca="false">ROUND(MIN(IF(OR(O52=TRUE(),O52="TRUE",O52="Yes"),59,100),(I52*Rubric!$C$2+J52*Rubric!$C$3+K52*Rubric!$C$4+L52*Rubric!$C$5+M52*Rubric!$C$6+N52*Rubric!$C$7)/5),1)</f>
        <v>85</v>
      </c>
      <c r="U52" s="8" t="str">
        <f aca="false">LOOKUP(T52,Bands!$A$2:$A$6,Bands!$B$2:$B$6)</f>
        <v>Solid Performance</v>
      </c>
      <c r="V52" s="8" t="n">
        <f aca="false">IF(Q52="","",ROUND((Q52-B52)*24,1))</f>
        <v>168</v>
      </c>
    </row>
    <row r="53" customFormat="false" ht="15" hidden="false" customHeight="false" outlineLevel="0" collapsed="false">
      <c r="A53" s="3" t="s">
        <v>209</v>
      </c>
      <c r="B53" s="5" t="n">
        <v>46119.4368055556</v>
      </c>
      <c r="C53" s="3" t="s">
        <v>68</v>
      </c>
      <c r="D53" s="3" t="s">
        <v>198</v>
      </c>
      <c r="E53" s="3" t="s">
        <v>199</v>
      </c>
      <c r="F53" s="3" t="s">
        <v>33</v>
      </c>
      <c r="G53" s="3" t="s">
        <v>54</v>
      </c>
      <c r="H53" s="3" t="s">
        <v>210</v>
      </c>
      <c r="I53" s="3" t="n">
        <v>4</v>
      </c>
      <c r="J53" s="3" t="n">
        <v>2</v>
      </c>
      <c r="K53" s="3" t="n">
        <v>4</v>
      </c>
      <c r="L53" s="3" t="n">
        <v>3</v>
      </c>
      <c r="M53" s="3" t="n">
        <v>4</v>
      </c>
      <c r="N53" s="3" t="n">
        <v>5</v>
      </c>
      <c r="O53" s="6" t="b">
        <f aca="false">FALSE()</f>
        <v>0</v>
      </c>
      <c r="P53" s="3" t="s">
        <v>56</v>
      </c>
      <c r="Q53" s="5" t="n">
        <v>46124.4368055556</v>
      </c>
      <c r="R53" s="5" t="n">
        <v>46125.9743055556</v>
      </c>
      <c r="S53" s="3" t="s">
        <v>37</v>
      </c>
      <c r="T53" s="7" t="n">
        <f aca="false">ROUND(MIN(IF(OR(O53=TRUE(),O53="TRUE",O53="Yes"),59,100),(I53*Rubric!$C$2+J53*Rubric!$C$3+K53*Rubric!$C$4+L53*Rubric!$C$5+M53*Rubric!$C$6+N53*Rubric!$C$7)/5),1)</f>
        <v>70</v>
      </c>
      <c r="U53" s="8" t="str">
        <f aca="false">LOOKUP(T53,Bands!$A$2:$A$6,Bands!$B$2:$B$6)</f>
        <v>Meets Expectations</v>
      </c>
      <c r="V53" s="8" t="n">
        <f aca="false">IF(Q53="","",ROUND((Q53-B53)*24,1))</f>
        <v>120</v>
      </c>
    </row>
    <row r="54" customFormat="false" ht="15" hidden="false" customHeight="false" outlineLevel="0" collapsed="false">
      <c r="A54" s="3" t="s">
        <v>211</v>
      </c>
      <c r="B54" s="5" t="n">
        <v>46119.6736111111</v>
      </c>
      <c r="C54" s="3" t="s">
        <v>30</v>
      </c>
      <c r="D54" s="3" t="s">
        <v>212</v>
      </c>
      <c r="E54" s="3" t="s">
        <v>213</v>
      </c>
      <c r="F54" s="3" t="s">
        <v>33</v>
      </c>
      <c r="G54" s="3" t="s">
        <v>42</v>
      </c>
      <c r="H54" s="3" t="s">
        <v>214</v>
      </c>
      <c r="I54" s="3" t="n">
        <v>3</v>
      </c>
      <c r="J54" s="3" t="n">
        <v>4</v>
      </c>
      <c r="K54" s="3" t="n">
        <v>1</v>
      </c>
      <c r="L54" s="3" t="n">
        <v>3</v>
      </c>
      <c r="M54" s="3" t="n">
        <v>4</v>
      </c>
      <c r="N54" s="3" t="n">
        <v>3</v>
      </c>
      <c r="O54" s="6" t="b">
        <f aca="false">FALSE()</f>
        <v>0</v>
      </c>
      <c r="P54" s="3" t="s">
        <v>49</v>
      </c>
      <c r="Q54" s="5" t="n">
        <v>46122.6736111111</v>
      </c>
      <c r="R54" s="5" t="n">
        <v>46123.4590277778</v>
      </c>
      <c r="S54" s="3" t="s">
        <v>37</v>
      </c>
      <c r="T54" s="7" t="n">
        <f aca="false">ROUND(MIN(IF(OR(O54=TRUE(),O54="TRUE",O54="Yes"),59,100),(I54*Rubric!$C$2+J54*Rubric!$C$3+K54*Rubric!$C$4+L54*Rubric!$C$5+M54*Rubric!$C$6+N54*Rubric!$C$7)/5),1)</f>
        <v>59</v>
      </c>
      <c r="U54" s="8" t="str">
        <f aca="false">LOOKUP(T54,Bands!$A$2:$A$6,Bands!$B$2:$B$6)</f>
        <v>Critical</v>
      </c>
      <c r="V54" s="8" t="n">
        <f aca="false">IF(Q54="","",ROUND((Q54-B54)*24,1))</f>
        <v>72</v>
      </c>
    </row>
    <row r="55" customFormat="false" ht="15" hidden="false" customHeight="false" outlineLevel="0" collapsed="false">
      <c r="A55" s="3" t="s">
        <v>215</v>
      </c>
      <c r="B55" s="5" t="n">
        <v>46119.5430555556</v>
      </c>
      <c r="C55" s="3" t="s">
        <v>39</v>
      </c>
      <c r="D55" s="3" t="s">
        <v>155</v>
      </c>
      <c r="E55" s="3" t="s">
        <v>156</v>
      </c>
      <c r="F55" s="3" t="s">
        <v>65</v>
      </c>
      <c r="G55" s="3" t="s">
        <v>34</v>
      </c>
      <c r="H55" s="3" t="s">
        <v>216</v>
      </c>
      <c r="I55" s="3" t="n">
        <v>2</v>
      </c>
      <c r="J55" s="3" t="n">
        <v>4</v>
      </c>
      <c r="K55" s="3" t="n">
        <v>5</v>
      </c>
      <c r="L55" s="3" t="n">
        <v>4</v>
      </c>
      <c r="M55" s="3" t="n">
        <v>4</v>
      </c>
      <c r="N55" s="3" t="n">
        <v>5</v>
      </c>
      <c r="O55" s="6" t="b">
        <f aca="false">FALSE()</f>
        <v>0</v>
      </c>
      <c r="P55" s="3" t="s">
        <v>88</v>
      </c>
      <c r="Q55" s="5" t="n">
        <v>46123.5430555556</v>
      </c>
      <c r="R55" s="5" t="n">
        <v>46125.6222222222</v>
      </c>
      <c r="S55" s="3" t="s">
        <v>37</v>
      </c>
      <c r="T55" s="7" t="n">
        <f aca="false">ROUND(MIN(IF(OR(O55=TRUE(),O55="TRUE",O55="Yes"),59,100),(I55*Rubric!$C$2+J55*Rubric!$C$3+K55*Rubric!$C$4+L55*Rubric!$C$5+M55*Rubric!$C$6+N55*Rubric!$C$7)/5),1)</f>
        <v>81</v>
      </c>
      <c r="U55" s="8" t="str">
        <f aca="false">LOOKUP(T55,Bands!$A$2:$A$6,Bands!$B$2:$B$6)</f>
        <v>Solid Performance</v>
      </c>
      <c r="V55" s="8" t="n">
        <f aca="false">IF(Q55="","",ROUND((Q55-B55)*24,1))</f>
        <v>96</v>
      </c>
    </row>
    <row r="56" customFormat="false" ht="15" hidden="false" customHeight="false" outlineLevel="0" collapsed="false">
      <c r="A56" s="3" t="s">
        <v>217</v>
      </c>
      <c r="B56" s="5" t="n">
        <v>46119.5944444445</v>
      </c>
      <c r="C56" s="3" t="s">
        <v>30</v>
      </c>
      <c r="D56" s="3" t="s">
        <v>167</v>
      </c>
      <c r="E56" s="3" t="s">
        <v>168</v>
      </c>
      <c r="F56" s="3" t="s">
        <v>33</v>
      </c>
      <c r="G56" s="3" t="s">
        <v>54</v>
      </c>
      <c r="H56" s="3" t="s">
        <v>218</v>
      </c>
      <c r="I56" s="3" t="n">
        <v>3</v>
      </c>
      <c r="J56" s="3" t="n">
        <v>1</v>
      </c>
      <c r="K56" s="3" t="n">
        <v>4</v>
      </c>
      <c r="L56" s="3" t="n">
        <v>4</v>
      </c>
      <c r="M56" s="3" t="n">
        <v>4</v>
      </c>
      <c r="N56" s="3" t="n">
        <v>3</v>
      </c>
      <c r="O56" s="6" t="b">
        <f aca="false">FALSE()</f>
        <v>0</v>
      </c>
      <c r="P56" s="3" t="s">
        <v>56</v>
      </c>
      <c r="Q56" s="5" t="n">
        <v>46128.5944444445</v>
      </c>
      <c r="R56" s="5" t="n">
        <v>46130.1125</v>
      </c>
      <c r="S56" s="3" t="s">
        <v>37</v>
      </c>
      <c r="T56" s="7" t="n">
        <f aca="false">ROUND(MIN(IF(OR(O56=TRUE(),O56="TRUE",O56="Yes"),59,100),(I56*Rubric!$C$2+J56*Rubric!$C$3+K56*Rubric!$C$4+L56*Rubric!$C$5+M56*Rubric!$C$6+N56*Rubric!$C$7)/5),1)</f>
        <v>59</v>
      </c>
      <c r="U56" s="8" t="str">
        <f aca="false">LOOKUP(T56,Bands!$A$2:$A$6,Bands!$B$2:$B$6)</f>
        <v>Critical</v>
      </c>
      <c r="V56" s="8" t="n">
        <f aca="false">IF(Q56="","",ROUND((Q56-B56)*24,1))</f>
        <v>216</v>
      </c>
    </row>
    <row r="57" customFormat="false" ht="15" hidden="false" customHeight="false" outlineLevel="0" collapsed="false">
      <c r="A57" s="3" t="s">
        <v>219</v>
      </c>
      <c r="B57" s="5" t="n">
        <v>46119.6423611111</v>
      </c>
      <c r="C57" s="3" t="s">
        <v>30</v>
      </c>
      <c r="D57" s="3" t="s">
        <v>69</v>
      </c>
      <c r="E57" s="3" t="s">
        <v>70</v>
      </c>
      <c r="F57" s="3" t="s">
        <v>65</v>
      </c>
      <c r="G57" s="3" t="s">
        <v>42</v>
      </c>
      <c r="H57" s="3" t="s">
        <v>220</v>
      </c>
      <c r="I57" s="3" t="n">
        <v>4</v>
      </c>
      <c r="J57" s="3" t="n">
        <v>3</v>
      </c>
      <c r="K57" s="3" t="n">
        <v>4</v>
      </c>
      <c r="L57" s="3" t="n">
        <v>4</v>
      </c>
      <c r="M57" s="3" t="n">
        <v>4</v>
      </c>
      <c r="N57" s="3" t="n">
        <v>3</v>
      </c>
      <c r="O57" s="6" t="b">
        <f aca="false">FALSE()</f>
        <v>0</v>
      </c>
      <c r="P57" s="3"/>
      <c r="Q57" s="5" t="n">
        <v>46123.6423611111</v>
      </c>
      <c r="R57" s="5" t="n">
        <v>46124.5486111111</v>
      </c>
      <c r="S57" s="3" t="s">
        <v>37</v>
      </c>
      <c r="T57" s="7" t="n">
        <f aca="false">ROUND(MIN(IF(OR(O57=TRUE(),O57="TRUE",O57="Yes"),59,100),(I57*Rubric!$C$2+J57*Rubric!$C$3+K57*Rubric!$C$4+L57*Rubric!$C$5+M57*Rubric!$C$6+N57*Rubric!$C$7)/5),1)</f>
        <v>72</v>
      </c>
      <c r="U57" s="8" t="str">
        <f aca="false">LOOKUP(T57,Bands!$A$2:$A$6,Bands!$B$2:$B$6)</f>
        <v>Meets Expectations</v>
      </c>
      <c r="V57" s="8" t="n">
        <f aca="false">IF(Q57="","",ROUND((Q57-B57)*24,1))</f>
        <v>96</v>
      </c>
    </row>
    <row r="58" customFormat="false" ht="15" hidden="false" customHeight="false" outlineLevel="0" collapsed="false">
      <c r="A58" s="3" t="s">
        <v>221</v>
      </c>
      <c r="B58" s="5" t="n">
        <v>46119.4763888889</v>
      </c>
      <c r="C58" s="3" t="s">
        <v>39</v>
      </c>
      <c r="D58" s="3" t="s">
        <v>222</v>
      </c>
      <c r="E58" s="3" t="s">
        <v>223</v>
      </c>
      <c r="F58" s="3" t="s">
        <v>53</v>
      </c>
      <c r="G58" s="3" t="s">
        <v>42</v>
      </c>
      <c r="H58" s="3" t="s">
        <v>224</v>
      </c>
      <c r="I58" s="3" t="n">
        <v>4</v>
      </c>
      <c r="J58" s="3" t="n">
        <v>4</v>
      </c>
      <c r="K58" s="3" t="n">
        <v>4</v>
      </c>
      <c r="L58" s="3" t="n">
        <v>4</v>
      </c>
      <c r="M58" s="3" t="n">
        <v>4</v>
      </c>
      <c r="N58" s="3" t="n">
        <v>3</v>
      </c>
      <c r="O58" s="6" t="b">
        <f aca="false">FALSE()</f>
        <v>0</v>
      </c>
      <c r="P58" s="3"/>
      <c r="Q58" s="5" t="n">
        <v>46123.4763888889</v>
      </c>
      <c r="R58" s="5" t="n">
        <v>46123.6958333333</v>
      </c>
      <c r="S58" s="3" t="s">
        <v>37</v>
      </c>
      <c r="T58" s="7" t="n">
        <f aca="false">ROUND(MIN(IF(OR(O58=TRUE(),O58="TRUE",O58="Yes"),59,100),(I58*Rubric!$C$2+J58*Rubric!$C$3+K58*Rubric!$C$4+L58*Rubric!$C$5+M58*Rubric!$C$6+N58*Rubric!$C$7)/5),1)</f>
        <v>77</v>
      </c>
      <c r="U58" s="8" t="str">
        <f aca="false">LOOKUP(T58,Bands!$A$2:$A$6,Bands!$B$2:$B$6)</f>
        <v>Meets Expectations</v>
      </c>
      <c r="V58" s="8" t="n">
        <f aca="false">IF(Q58="","",ROUND((Q58-B58)*24,1))</f>
        <v>96</v>
      </c>
    </row>
    <row r="59" customFormat="false" ht="15" hidden="false" customHeight="false" outlineLevel="0" collapsed="false">
      <c r="A59" s="3" t="s">
        <v>225</v>
      </c>
      <c r="B59" s="5" t="n">
        <v>46119.6951388889</v>
      </c>
      <c r="C59" s="3" t="s">
        <v>68</v>
      </c>
      <c r="D59" s="3" t="s">
        <v>51</v>
      </c>
      <c r="E59" s="3" t="s">
        <v>52</v>
      </c>
      <c r="F59" s="3" t="s">
        <v>53</v>
      </c>
      <c r="G59" s="3" t="s">
        <v>54</v>
      </c>
      <c r="H59" s="3" t="s">
        <v>226</v>
      </c>
      <c r="I59" s="3" t="n">
        <v>5</v>
      </c>
      <c r="J59" s="3" t="n">
        <v>2</v>
      </c>
      <c r="K59" s="3" t="n">
        <v>4</v>
      </c>
      <c r="L59" s="3" t="n">
        <v>4</v>
      </c>
      <c r="M59" s="3" t="n">
        <v>5</v>
      </c>
      <c r="N59" s="3" t="n">
        <v>5</v>
      </c>
      <c r="O59" s="6" t="b">
        <f aca="false">FALSE()</f>
        <v>0</v>
      </c>
      <c r="P59" s="3" t="s">
        <v>56</v>
      </c>
      <c r="Q59" s="5" t="n">
        <v>46125.6951388889</v>
      </c>
      <c r="R59" s="5" t="n">
        <v>46126.6875</v>
      </c>
      <c r="S59" s="3" t="s">
        <v>37</v>
      </c>
      <c r="T59" s="7" t="n">
        <f aca="false">ROUND(MIN(IF(OR(O59=TRUE(),O59="TRUE",O59="Yes"),59,100),(I59*Rubric!$C$2+J59*Rubric!$C$3+K59*Rubric!$C$4+L59*Rubric!$C$5+M59*Rubric!$C$6+N59*Rubric!$C$7)/5),1)</f>
        <v>78</v>
      </c>
      <c r="U59" s="8" t="str">
        <f aca="false">LOOKUP(T59,Bands!$A$2:$A$6,Bands!$B$2:$B$6)</f>
        <v>Meets Expectations</v>
      </c>
      <c r="V59" s="8" t="n">
        <f aca="false">IF(Q59="","",ROUND((Q59-B59)*24,1))</f>
        <v>144</v>
      </c>
    </row>
    <row r="60" customFormat="false" ht="15" hidden="false" customHeight="false" outlineLevel="0" collapsed="false">
      <c r="A60" s="3" t="s">
        <v>227</v>
      </c>
      <c r="B60" s="5" t="n">
        <v>46119.5569444444</v>
      </c>
      <c r="C60" s="3" t="s">
        <v>68</v>
      </c>
      <c r="D60" s="3" t="s">
        <v>228</v>
      </c>
      <c r="E60" s="3" t="s">
        <v>229</v>
      </c>
      <c r="F60" s="3" t="s">
        <v>65</v>
      </c>
      <c r="G60" s="3" t="s">
        <v>42</v>
      </c>
      <c r="H60" s="3" t="s">
        <v>230</v>
      </c>
      <c r="I60" s="3" t="n">
        <v>3</v>
      </c>
      <c r="J60" s="3" t="n">
        <v>3</v>
      </c>
      <c r="K60" s="3" t="n">
        <v>3</v>
      </c>
      <c r="L60" s="3" t="n">
        <v>4</v>
      </c>
      <c r="M60" s="3" t="n">
        <v>3</v>
      </c>
      <c r="N60" s="3" t="n">
        <v>1</v>
      </c>
      <c r="O60" s="6" t="b">
        <f aca="false">TRUE()</f>
        <v>1</v>
      </c>
      <c r="P60" s="3" t="s">
        <v>36</v>
      </c>
      <c r="Q60" s="5" t="n">
        <v>46124.5569444444</v>
      </c>
      <c r="R60" s="5" t="n">
        <v>46124.6520833333</v>
      </c>
      <c r="S60" s="3" t="s">
        <v>37</v>
      </c>
      <c r="T60" s="7" t="n">
        <f aca="false">ROUND(MIN(IF(OR(O60=TRUE(),O60="TRUE",O60="Yes"),59,100),(I60*Rubric!$C$2+J60*Rubric!$C$3+K60*Rubric!$C$4+L60*Rubric!$C$5+M60*Rubric!$C$6+N60*Rubric!$C$7)/5),1)</f>
        <v>57</v>
      </c>
      <c r="U60" s="8" t="str">
        <f aca="false">LOOKUP(T60,Bands!$A$2:$A$6,Bands!$B$2:$B$6)</f>
        <v>Critical</v>
      </c>
      <c r="V60" s="8" t="n">
        <f aca="false">IF(Q60="","",ROUND((Q60-B60)*24,1))</f>
        <v>120</v>
      </c>
    </row>
    <row r="61" customFormat="false" ht="15" hidden="false" customHeight="false" outlineLevel="0" collapsed="false">
      <c r="A61" s="3" t="s">
        <v>231</v>
      </c>
      <c r="B61" s="5" t="n">
        <v>46119.55625</v>
      </c>
      <c r="C61" s="3" t="s">
        <v>39</v>
      </c>
      <c r="D61" s="3" t="s">
        <v>63</v>
      </c>
      <c r="E61" s="3" t="s">
        <v>64</v>
      </c>
      <c r="F61" s="3" t="s">
        <v>65</v>
      </c>
      <c r="G61" s="3" t="s">
        <v>54</v>
      </c>
      <c r="H61" s="3" t="s">
        <v>232</v>
      </c>
      <c r="I61" s="3" t="n">
        <v>3</v>
      </c>
      <c r="J61" s="3" t="n">
        <v>5</v>
      </c>
      <c r="K61" s="3" t="n">
        <v>1</v>
      </c>
      <c r="L61" s="3" t="n">
        <v>4</v>
      </c>
      <c r="M61" s="3" t="n">
        <v>4</v>
      </c>
      <c r="N61" s="3" t="n">
        <v>5</v>
      </c>
      <c r="O61" s="6" t="b">
        <f aca="false">FALSE()</f>
        <v>0</v>
      </c>
      <c r="P61" s="3" t="s">
        <v>49</v>
      </c>
      <c r="Q61" s="5" t="n">
        <v>46122.55625</v>
      </c>
      <c r="R61" s="5" t="n">
        <v>46123.5395833333</v>
      </c>
      <c r="S61" s="3" t="s">
        <v>37</v>
      </c>
      <c r="T61" s="7" t="n">
        <f aca="false">ROUND(MIN(IF(OR(O61=TRUE(),O61="TRUE",O61="Yes"),59,100),(I61*Rubric!$C$2+J61*Rubric!$C$3+K61*Rubric!$C$4+L61*Rubric!$C$5+M61*Rubric!$C$6+N61*Rubric!$C$7)/5),1)</f>
        <v>73</v>
      </c>
      <c r="U61" s="8" t="str">
        <f aca="false">LOOKUP(T61,Bands!$A$2:$A$6,Bands!$B$2:$B$6)</f>
        <v>Meets Expectations</v>
      </c>
      <c r="V61" s="8" t="n">
        <f aca="false">IF(Q61="","",ROUND((Q61-B61)*24,1))</f>
        <v>72</v>
      </c>
    </row>
    <row r="62" customFormat="false" ht="15" hidden="false" customHeight="false" outlineLevel="0" collapsed="false">
      <c r="A62" s="3" t="s">
        <v>233</v>
      </c>
      <c r="B62" s="5" t="n">
        <v>46120.4395833333</v>
      </c>
      <c r="C62" s="3" t="s">
        <v>39</v>
      </c>
      <c r="D62" s="3" t="s">
        <v>46</v>
      </c>
      <c r="E62" s="3" t="s">
        <v>47</v>
      </c>
      <c r="F62" s="3" t="s">
        <v>33</v>
      </c>
      <c r="G62" s="3" t="s">
        <v>54</v>
      </c>
      <c r="H62" s="3" t="s">
        <v>234</v>
      </c>
      <c r="I62" s="3" t="n">
        <v>4</v>
      </c>
      <c r="J62" s="3" t="n">
        <v>4</v>
      </c>
      <c r="K62" s="3" t="n">
        <v>2</v>
      </c>
      <c r="L62" s="3" t="n">
        <v>5</v>
      </c>
      <c r="M62" s="3" t="n">
        <v>5</v>
      </c>
      <c r="N62" s="3" t="n">
        <v>4</v>
      </c>
      <c r="O62" s="6" t="b">
        <f aca="false">FALSE()</f>
        <v>0</v>
      </c>
      <c r="P62" s="3" t="s">
        <v>49</v>
      </c>
      <c r="Q62" s="5" t="n">
        <v>46126.4395833333</v>
      </c>
      <c r="R62" s="5" t="n">
        <v>46126.5159722222</v>
      </c>
      <c r="S62" s="3" t="s">
        <v>37</v>
      </c>
      <c r="T62" s="7" t="n">
        <f aca="false">ROUND(MIN(IF(OR(O62=TRUE(),O62="TRUE",O62="Yes"),59,100),(I62*Rubric!$C$2+J62*Rubric!$C$3+K62*Rubric!$C$4+L62*Rubric!$C$5+M62*Rubric!$C$6+N62*Rubric!$C$7)/5),1)</f>
        <v>77</v>
      </c>
      <c r="U62" s="8" t="str">
        <f aca="false">LOOKUP(T62,Bands!$A$2:$A$6,Bands!$B$2:$B$6)</f>
        <v>Meets Expectations</v>
      </c>
      <c r="V62" s="8" t="n">
        <f aca="false">IF(Q62="","",ROUND((Q62-B62)*24,1))</f>
        <v>144</v>
      </c>
    </row>
    <row r="63" customFormat="false" ht="15" hidden="false" customHeight="false" outlineLevel="0" collapsed="false">
      <c r="A63" s="3" t="s">
        <v>235</v>
      </c>
      <c r="B63" s="5" t="n">
        <v>46120.5791666667</v>
      </c>
      <c r="C63" s="3" t="s">
        <v>39</v>
      </c>
      <c r="D63" s="3" t="s">
        <v>155</v>
      </c>
      <c r="E63" s="3" t="s">
        <v>156</v>
      </c>
      <c r="F63" s="3" t="s">
        <v>65</v>
      </c>
      <c r="G63" s="3" t="s">
        <v>42</v>
      </c>
      <c r="H63" s="3" t="s">
        <v>236</v>
      </c>
      <c r="I63" s="3" t="n">
        <v>2</v>
      </c>
      <c r="J63" s="3" t="n">
        <v>5</v>
      </c>
      <c r="K63" s="3" t="n">
        <v>5</v>
      </c>
      <c r="L63" s="3" t="n">
        <v>4</v>
      </c>
      <c r="M63" s="3" t="n">
        <v>4</v>
      </c>
      <c r="N63" s="3" t="n">
        <v>5</v>
      </c>
      <c r="O63" s="6" t="b">
        <f aca="false">FALSE()</f>
        <v>0</v>
      </c>
      <c r="P63" s="3" t="s">
        <v>88</v>
      </c>
      <c r="Q63" s="5" t="n">
        <v>46127.5791666667</v>
      </c>
      <c r="R63" s="5" t="n">
        <v>46127.9909722222</v>
      </c>
      <c r="S63" s="3" t="s">
        <v>37</v>
      </c>
      <c r="T63" s="7" t="n">
        <f aca="false">ROUND(MIN(IF(OR(O63=TRUE(),O63="TRUE",O63="Yes"),59,100),(I63*Rubric!$C$2+J63*Rubric!$C$3+K63*Rubric!$C$4+L63*Rubric!$C$5+M63*Rubric!$C$6+N63*Rubric!$C$7)/5),1)</f>
        <v>86</v>
      </c>
      <c r="U63" s="8" t="str">
        <f aca="false">LOOKUP(T63,Bands!$A$2:$A$6,Bands!$B$2:$B$6)</f>
        <v>Solid Performance</v>
      </c>
      <c r="V63" s="8" t="n">
        <f aca="false">IF(Q63="","",ROUND((Q63-B63)*24,1))</f>
        <v>168</v>
      </c>
    </row>
    <row r="64" customFormat="false" ht="15" hidden="false" customHeight="false" outlineLevel="0" collapsed="false">
      <c r="A64" s="3" t="s">
        <v>237</v>
      </c>
      <c r="B64" s="5" t="n">
        <v>46120.6423611111</v>
      </c>
      <c r="C64" s="3" t="s">
        <v>30</v>
      </c>
      <c r="D64" s="3" t="s">
        <v>238</v>
      </c>
      <c r="E64" s="3" t="s">
        <v>239</v>
      </c>
      <c r="F64" s="3" t="s">
        <v>33</v>
      </c>
      <c r="G64" s="3" t="s">
        <v>54</v>
      </c>
      <c r="H64" s="3" t="s">
        <v>240</v>
      </c>
      <c r="I64" s="3" t="n">
        <v>4</v>
      </c>
      <c r="J64" s="3" t="n">
        <v>5</v>
      </c>
      <c r="K64" s="3" t="n">
        <v>3</v>
      </c>
      <c r="L64" s="3" t="n">
        <v>4</v>
      </c>
      <c r="M64" s="3" t="n">
        <v>2</v>
      </c>
      <c r="N64" s="3" t="n">
        <v>4</v>
      </c>
      <c r="O64" s="6" t="b">
        <f aca="false">FALSE()</f>
        <v>0</v>
      </c>
      <c r="P64" s="3" t="s">
        <v>103</v>
      </c>
      <c r="Q64" s="5" t="n">
        <v>46123.6423611111</v>
      </c>
      <c r="R64" s="5" t="n">
        <v>46127.1013888889</v>
      </c>
      <c r="S64" s="3" t="s">
        <v>37</v>
      </c>
      <c r="T64" s="7" t="n">
        <f aca="false">ROUND(MIN(IF(OR(O64=TRUE(),O64="TRUE",O64="Yes"),59,100),(I64*Rubric!$C$2+J64*Rubric!$C$3+K64*Rubric!$C$4+L64*Rubric!$C$5+M64*Rubric!$C$6+N64*Rubric!$C$7)/5),1)</f>
        <v>77</v>
      </c>
      <c r="U64" s="8" t="str">
        <f aca="false">LOOKUP(T64,Bands!$A$2:$A$6,Bands!$B$2:$B$6)</f>
        <v>Meets Expectations</v>
      </c>
      <c r="V64" s="8" t="n">
        <f aca="false">IF(Q64="","",ROUND((Q64-B64)*24,1))</f>
        <v>72</v>
      </c>
    </row>
    <row r="65" customFormat="false" ht="15" hidden="false" customHeight="false" outlineLevel="0" collapsed="false">
      <c r="A65" s="3" t="s">
        <v>241</v>
      </c>
      <c r="B65" s="5" t="n">
        <v>46120.4138888889</v>
      </c>
      <c r="C65" s="3" t="s">
        <v>39</v>
      </c>
      <c r="D65" s="3" t="s">
        <v>202</v>
      </c>
      <c r="E65" s="3" t="s">
        <v>203</v>
      </c>
      <c r="F65" s="3" t="s">
        <v>53</v>
      </c>
      <c r="G65" s="3" t="s">
        <v>54</v>
      </c>
      <c r="H65" s="3" t="s">
        <v>242</v>
      </c>
      <c r="I65" s="3" t="n">
        <v>5</v>
      </c>
      <c r="J65" s="3" t="n">
        <v>5</v>
      </c>
      <c r="K65" s="3" t="n">
        <v>3</v>
      </c>
      <c r="L65" s="3" t="n">
        <v>2</v>
      </c>
      <c r="M65" s="3" t="n">
        <v>5</v>
      </c>
      <c r="N65" s="3" t="n">
        <v>5</v>
      </c>
      <c r="O65" s="6" t="b">
        <f aca="false">FALSE()</f>
        <v>0</v>
      </c>
      <c r="P65" s="3" t="s">
        <v>44</v>
      </c>
      <c r="Q65" s="5" t="n">
        <v>46125.4138888889</v>
      </c>
      <c r="R65" s="5" t="n">
        <v>46125.5395833333</v>
      </c>
      <c r="S65" s="3" t="s">
        <v>37</v>
      </c>
      <c r="T65" s="7" t="n">
        <f aca="false">ROUND(MIN(IF(OR(O65=TRUE(),O65="TRUE",O65="Yes"),59,100),(I65*Rubric!$C$2+J65*Rubric!$C$3+K65*Rubric!$C$4+L65*Rubric!$C$5+M65*Rubric!$C$6+N65*Rubric!$C$7)/5),1)</f>
        <v>83</v>
      </c>
      <c r="U65" s="8" t="str">
        <f aca="false">LOOKUP(T65,Bands!$A$2:$A$6,Bands!$B$2:$B$6)</f>
        <v>Solid Performance</v>
      </c>
      <c r="V65" s="8" t="n">
        <f aca="false">IF(Q65="","",ROUND((Q65-B65)*24,1))</f>
        <v>120</v>
      </c>
    </row>
    <row r="66" customFormat="false" ht="15" hidden="false" customHeight="false" outlineLevel="0" collapsed="false">
      <c r="A66" s="3" t="s">
        <v>243</v>
      </c>
      <c r="B66" s="5" t="n">
        <v>46120.6152777778</v>
      </c>
      <c r="C66" s="3" t="s">
        <v>68</v>
      </c>
      <c r="D66" s="3" t="s">
        <v>228</v>
      </c>
      <c r="E66" s="3" t="s">
        <v>229</v>
      </c>
      <c r="F66" s="3" t="s">
        <v>65</v>
      </c>
      <c r="G66" s="3" t="s">
        <v>34</v>
      </c>
      <c r="H66" s="3" t="s">
        <v>244</v>
      </c>
      <c r="I66" s="3" t="n">
        <v>2</v>
      </c>
      <c r="J66" s="3" t="n">
        <v>4</v>
      </c>
      <c r="K66" s="3" t="n">
        <v>4</v>
      </c>
      <c r="L66" s="3" t="n">
        <v>4</v>
      </c>
      <c r="M66" s="3" t="n">
        <v>5</v>
      </c>
      <c r="N66" s="3" t="n">
        <v>1</v>
      </c>
      <c r="O66" s="6" t="b">
        <f aca="false">TRUE()</f>
        <v>1</v>
      </c>
      <c r="P66" s="3" t="s">
        <v>245</v>
      </c>
      <c r="Q66" s="5" t="n">
        <v>46125.6152777778</v>
      </c>
      <c r="R66" s="5" t="n">
        <v>46125.6506944444</v>
      </c>
      <c r="S66" s="3" t="s">
        <v>37</v>
      </c>
      <c r="T66" s="7" t="n">
        <f aca="false">ROUND(MIN(IF(OR(O66=TRUE(),O66="TRUE",O66="Yes"),59,100),(I66*Rubric!$C$2+J66*Rubric!$C$3+K66*Rubric!$C$4+L66*Rubric!$C$5+M66*Rubric!$C$6+N66*Rubric!$C$7)/5),1)</f>
        <v>59</v>
      </c>
      <c r="U66" s="8" t="str">
        <f aca="false">LOOKUP(T66,Bands!$A$2:$A$6,Bands!$B$2:$B$6)</f>
        <v>Critical</v>
      </c>
      <c r="V66" s="8" t="n">
        <f aca="false">IF(Q66="","",ROUND((Q66-B66)*24,1))</f>
        <v>120</v>
      </c>
    </row>
    <row r="67" customFormat="false" ht="15" hidden="false" customHeight="false" outlineLevel="0" collapsed="false">
      <c r="A67" s="3" t="s">
        <v>246</v>
      </c>
      <c r="B67" s="5" t="n">
        <v>46120.6069444444</v>
      </c>
      <c r="C67" s="3" t="s">
        <v>30</v>
      </c>
      <c r="D67" s="3" t="s">
        <v>115</v>
      </c>
      <c r="E67" s="3" t="s">
        <v>116</v>
      </c>
      <c r="F67" s="3" t="s">
        <v>33</v>
      </c>
      <c r="G67" s="3" t="s">
        <v>42</v>
      </c>
      <c r="H67" s="3" t="s">
        <v>247</v>
      </c>
      <c r="I67" s="3" t="n">
        <v>4</v>
      </c>
      <c r="J67" s="3" t="n">
        <v>5</v>
      </c>
      <c r="K67" s="3" t="n">
        <v>4</v>
      </c>
      <c r="L67" s="3" t="n">
        <v>4</v>
      </c>
      <c r="M67" s="3" t="n">
        <v>3</v>
      </c>
      <c r="N67" s="3" t="n">
        <v>4</v>
      </c>
      <c r="O67" s="6" t="b">
        <f aca="false">FALSE()</f>
        <v>0</v>
      </c>
      <c r="P67" s="3"/>
      <c r="Q67" s="5" t="n">
        <v>46125.6069444444</v>
      </c>
      <c r="R67" s="5" t="n">
        <v>46128.9305555556</v>
      </c>
      <c r="S67" s="3" t="s">
        <v>37</v>
      </c>
      <c r="T67" s="7" t="n">
        <f aca="false">ROUND(MIN(IF(OR(O67=TRUE(),O67="TRUE",O67="Yes"),59,100),(I67*Rubric!$C$2+J67*Rubric!$C$3+K67*Rubric!$C$4+L67*Rubric!$C$5+M67*Rubric!$C$6+N67*Rubric!$C$7)/5),1)</f>
        <v>83</v>
      </c>
      <c r="U67" s="8" t="str">
        <f aca="false">LOOKUP(T67,Bands!$A$2:$A$6,Bands!$B$2:$B$6)</f>
        <v>Solid Performance</v>
      </c>
      <c r="V67" s="8" t="n">
        <f aca="false">IF(Q67="","",ROUND((Q67-B67)*24,1))</f>
        <v>120</v>
      </c>
    </row>
    <row r="68" customFormat="false" ht="15" hidden="false" customHeight="false" outlineLevel="0" collapsed="false">
      <c r="A68" s="3" t="s">
        <v>248</v>
      </c>
      <c r="B68" s="5" t="n">
        <v>46120.5847222222</v>
      </c>
      <c r="C68" s="3" t="s">
        <v>39</v>
      </c>
      <c r="D68" s="3" t="s">
        <v>151</v>
      </c>
      <c r="E68" s="3" t="s">
        <v>152</v>
      </c>
      <c r="F68" s="3" t="s">
        <v>33</v>
      </c>
      <c r="G68" s="3" t="s">
        <v>42</v>
      </c>
      <c r="H68" s="3" t="s">
        <v>249</v>
      </c>
      <c r="I68" s="3" t="n">
        <v>4</v>
      </c>
      <c r="J68" s="3" t="n">
        <v>3</v>
      </c>
      <c r="K68" s="3" t="n">
        <v>4</v>
      </c>
      <c r="L68" s="3" t="n">
        <v>4</v>
      </c>
      <c r="M68" s="3" t="n">
        <v>4</v>
      </c>
      <c r="N68" s="3" t="n">
        <v>4</v>
      </c>
      <c r="O68" s="6" t="b">
        <f aca="false">FALSE()</f>
        <v>0</v>
      </c>
      <c r="P68" s="3"/>
      <c r="Q68" s="5" t="n">
        <v>46125.5847222222</v>
      </c>
      <c r="R68" s="5" t="n">
        <v>46126.4548611111</v>
      </c>
      <c r="S68" s="3" t="s">
        <v>37</v>
      </c>
      <c r="T68" s="7" t="n">
        <f aca="false">ROUND(MIN(IF(OR(O68=TRUE(),O68="TRUE",O68="Yes"),59,100),(I68*Rubric!$C$2+J68*Rubric!$C$3+K68*Rubric!$C$4+L68*Rubric!$C$5+M68*Rubric!$C$6+N68*Rubric!$C$7)/5),1)</f>
        <v>75</v>
      </c>
      <c r="U68" s="8" t="str">
        <f aca="false">LOOKUP(T68,Bands!$A$2:$A$6,Bands!$B$2:$B$6)</f>
        <v>Meets Expectations</v>
      </c>
      <c r="V68" s="8" t="n">
        <f aca="false">IF(Q68="","",ROUND((Q68-B68)*24,1))</f>
        <v>120</v>
      </c>
    </row>
    <row r="69" customFormat="false" ht="15" hidden="false" customHeight="false" outlineLevel="0" collapsed="false">
      <c r="A69" s="3" t="s">
        <v>250</v>
      </c>
      <c r="B69" s="5" t="n">
        <v>46120.5743055556</v>
      </c>
      <c r="C69" s="3" t="s">
        <v>68</v>
      </c>
      <c r="D69" s="3" t="s">
        <v>251</v>
      </c>
      <c r="E69" s="3" t="s">
        <v>252</v>
      </c>
      <c r="F69" s="3" t="s">
        <v>53</v>
      </c>
      <c r="G69" s="3" t="s">
        <v>42</v>
      </c>
      <c r="H69" s="3" t="s">
        <v>253</v>
      </c>
      <c r="I69" s="3" t="n">
        <v>3</v>
      </c>
      <c r="J69" s="3" t="n">
        <v>4</v>
      </c>
      <c r="K69" s="3" t="n">
        <v>4</v>
      </c>
      <c r="L69" s="3" t="n">
        <v>3</v>
      </c>
      <c r="M69" s="3" t="n">
        <v>2</v>
      </c>
      <c r="N69" s="3" t="n">
        <v>4</v>
      </c>
      <c r="O69" s="6" t="b">
        <f aca="false">FALSE()</f>
        <v>0</v>
      </c>
      <c r="P69" s="3" t="s">
        <v>103</v>
      </c>
      <c r="Q69" s="5" t="n">
        <v>46126.5743055556</v>
      </c>
      <c r="R69" s="5" t="n">
        <v>46127.5416666667</v>
      </c>
      <c r="S69" s="3" t="s">
        <v>37</v>
      </c>
      <c r="T69" s="7" t="n">
        <f aca="false">ROUND(MIN(IF(OR(O69=TRUE(),O69="TRUE",O69="Yes"),59,100),(I69*Rubric!$C$2+J69*Rubric!$C$3+K69*Rubric!$C$4+L69*Rubric!$C$5+M69*Rubric!$C$6+N69*Rubric!$C$7)/5),1)</f>
        <v>70</v>
      </c>
      <c r="U69" s="8" t="str">
        <f aca="false">LOOKUP(T69,Bands!$A$2:$A$6,Bands!$B$2:$B$6)</f>
        <v>Meets Expectations</v>
      </c>
      <c r="V69" s="8" t="n">
        <f aca="false">IF(Q69="","",ROUND((Q69-B69)*24,1))</f>
        <v>144</v>
      </c>
    </row>
    <row r="70" customFormat="false" ht="15" hidden="false" customHeight="false" outlineLevel="0" collapsed="false">
      <c r="A70" s="3" t="s">
        <v>254</v>
      </c>
      <c r="B70" s="5" t="n">
        <v>46120.55</v>
      </c>
      <c r="C70" s="3" t="s">
        <v>39</v>
      </c>
      <c r="D70" s="3" t="s">
        <v>125</v>
      </c>
      <c r="E70" s="3" t="s">
        <v>126</v>
      </c>
      <c r="F70" s="3" t="s">
        <v>53</v>
      </c>
      <c r="G70" s="3" t="s">
        <v>54</v>
      </c>
      <c r="H70" s="3" t="s">
        <v>255</v>
      </c>
      <c r="I70" s="3" t="n">
        <v>4</v>
      </c>
      <c r="J70" s="3" t="n">
        <v>5</v>
      </c>
      <c r="K70" s="3" t="n">
        <v>4</v>
      </c>
      <c r="L70" s="3" t="n">
        <v>2</v>
      </c>
      <c r="M70" s="3" t="n">
        <v>4</v>
      </c>
      <c r="N70" s="3" t="n">
        <v>4</v>
      </c>
      <c r="O70" s="6" t="b">
        <f aca="false">FALSE()</f>
        <v>0</v>
      </c>
      <c r="P70" s="3" t="s">
        <v>44</v>
      </c>
      <c r="Q70" s="5" t="n">
        <v>46127.55</v>
      </c>
      <c r="R70" s="5" t="n">
        <v>46127.8041666667</v>
      </c>
      <c r="S70" s="3" t="s">
        <v>37</v>
      </c>
      <c r="T70" s="7" t="n">
        <f aca="false">ROUND(MIN(IF(OR(O70=TRUE(),O70="TRUE",O70="Yes"),59,100),(I70*Rubric!$C$2+J70*Rubric!$C$3+K70*Rubric!$C$4+L70*Rubric!$C$5+M70*Rubric!$C$6+N70*Rubric!$C$7)/5),1)</f>
        <v>79</v>
      </c>
      <c r="U70" s="8" t="str">
        <f aca="false">LOOKUP(T70,Bands!$A$2:$A$6,Bands!$B$2:$B$6)</f>
        <v>Meets Expectations</v>
      </c>
      <c r="V70" s="8" t="n">
        <f aca="false">IF(Q70="","",ROUND((Q70-B70)*24,1))</f>
        <v>168</v>
      </c>
    </row>
    <row r="71" customFormat="false" ht="15" hidden="false" customHeight="false" outlineLevel="0" collapsed="false">
      <c r="A71" s="3" t="s">
        <v>256</v>
      </c>
      <c r="B71" s="5" t="n">
        <v>46120.4666666667</v>
      </c>
      <c r="C71" s="3" t="s">
        <v>30</v>
      </c>
      <c r="D71" s="3" t="s">
        <v>81</v>
      </c>
      <c r="E71" s="3" t="s">
        <v>82</v>
      </c>
      <c r="F71" s="3" t="s">
        <v>65</v>
      </c>
      <c r="G71" s="3" t="s">
        <v>42</v>
      </c>
      <c r="H71" s="3" t="s">
        <v>257</v>
      </c>
      <c r="I71" s="3" t="n">
        <v>5</v>
      </c>
      <c r="J71" s="3" t="n">
        <v>3</v>
      </c>
      <c r="K71" s="3" t="n">
        <v>4</v>
      </c>
      <c r="L71" s="3" t="n">
        <v>4</v>
      </c>
      <c r="M71" s="3" t="n">
        <v>4</v>
      </c>
      <c r="N71" s="3" t="n">
        <v>4</v>
      </c>
      <c r="O71" s="6" t="b">
        <f aca="false">FALSE()</f>
        <v>0</v>
      </c>
      <c r="P71" s="3"/>
      <c r="Q71" s="5" t="n">
        <v>46127.4666666667</v>
      </c>
      <c r="R71" s="5" t="n">
        <v>46131.8534722222</v>
      </c>
      <c r="S71" s="3" t="s">
        <v>37</v>
      </c>
      <c r="T71" s="7" t="n">
        <f aca="false">ROUND(MIN(IF(OR(O71=TRUE(),O71="TRUE",O71="Yes"),59,100),(I71*Rubric!$C$2+J71*Rubric!$C$3+K71*Rubric!$C$4+L71*Rubric!$C$5+M71*Rubric!$C$6+N71*Rubric!$C$7)/5),1)</f>
        <v>78</v>
      </c>
      <c r="U71" s="8" t="str">
        <f aca="false">LOOKUP(T71,Bands!$A$2:$A$6,Bands!$B$2:$B$6)</f>
        <v>Meets Expectations</v>
      </c>
      <c r="V71" s="8" t="n">
        <f aca="false">IF(Q71="","",ROUND((Q71-B71)*24,1))</f>
        <v>168</v>
      </c>
    </row>
    <row r="72" customFormat="false" ht="15" hidden="false" customHeight="false" outlineLevel="0" collapsed="false">
      <c r="A72" s="3" t="s">
        <v>258</v>
      </c>
      <c r="B72" s="5" t="n">
        <v>46120.6069444444</v>
      </c>
      <c r="C72" s="3" t="s">
        <v>30</v>
      </c>
      <c r="D72" s="3" t="s">
        <v>259</v>
      </c>
      <c r="E72" s="3" t="s">
        <v>260</v>
      </c>
      <c r="F72" s="3" t="s">
        <v>33</v>
      </c>
      <c r="G72" s="3" t="s">
        <v>42</v>
      </c>
      <c r="H72" s="3" t="s">
        <v>261</v>
      </c>
      <c r="I72" s="3" t="n">
        <v>5</v>
      </c>
      <c r="J72" s="3" t="n">
        <v>5</v>
      </c>
      <c r="K72" s="3" t="n">
        <v>3</v>
      </c>
      <c r="L72" s="3" t="n">
        <v>5</v>
      </c>
      <c r="M72" s="3" t="n">
        <v>5</v>
      </c>
      <c r="N72" s="3" t="n">
        <v>5</v>
      </c>
      <c r="O72" s="6" t="b">
        <f aca="false">FALSE()</f>
        <v>0</v>
      </c>
      <c r="P72" s="3"/>
      <c r="Q72" s="5" t="n">
        <v>46125.6069444444</v>
      </c>
      <c r="R72" s="5" t="n">
        <v>46129.7381944444</v>
      </c>
      <c r="S72" s="3" t="s">
        <v>37</v>
      </c>
      <c r="T72" s="7" t="n">
        <f aca="false">ROUND(MIN(IF(OR(O72=TRUE(),O72="TRUE",O72="Yes"),59,100),(I72*Rubric!$C$2+J72*Rubric!$C$3+K72*Rubric!$C$4+L72*Rubric!$C$5+M72*Rubric!$C$6+N72*Rubric!$C$7)/5),1)</f>
        <v>92</v>
      </c>
      <c r="U72" s="8" t="str">
        <f aca="false">LOOKUP(T72,Bands!$A$2:$A$6,Bands!$B$2:$B$6)</f>
        <v>Outstanding</v>
      </c>
      <c r="V72" s="8" t="n">
        <f aca="false">IF(Q72="","",ROUND((Q72-B72)*24,1))</f>
        <v>120</v>
      </c>
    </row>
    <row r="73" customFormat="false" ht="15" hidden="false" customHeight="false" outlineLevel="0" collapsed="false">
      <c r="A73" s="3" t="s">
        <v>262</v>
      </c>
      <c r="B73" s="5" t="n">
        <v>46120.4451388889</v>
      </c>
      <c r="C73" s="3" t="s">
        <v>30</v>
      </c>
      <c r="D73" s="3" t="s">
        <v>69</v>
      </c>
      <c r="E73" s="3" t="s">
        <v>70</v>
      </c>
      <c r="F73" s="3" t="s">
        <v>65</v>
      </c>
      <c r="G73" s="3" t="s">
        <v>42</v>
      </c>
      <c r="H73" s="3" t="s">
        <v>263</v>
      </c>
      <c r="I73" s="3" t="n">
        <v>5</v>
      </c>
      <c r="J73" s="3" t="n">
        <v>4</v>
      </c>
      <c r="K73" s="3" t="n">
        <v>4</v>
      </c>
      <c r="L73" s="3" t="n">
        <v>5</v>
      </c>
      <c r="M73" s="3" t="n">
        <v>4</v>
      </c>
      <c r="N73" s="3" t="n">
        <v>2</v>
      </c>
      <c r="O73" s="6" t="b">
        <f aca="false">FALSE()</f>
        <v>0</v>
      </c>
      <c r="P73" s="3" t="s">
        <v>36</v>
      </c>
      <c r="Q73" s="5" t="n">
        <v>46123.4451388889</v>
      </c>
      <c r="R73" s="5" t="n">
        <v>46123.4611111111</v>
      </c>
      <c r="S73" s="3" t="s">
        <v>37</v>
      </c>
      <c r="T73" s="7" t="n">
        <f aca="false">ROUND(MIN(IF(OR(O73=TRUE(),O73="TRUE",O73="Yes"),59,100),(I73*Rubric!$C$2+J73*Rubric!$C$3+K73*Rubric!$C$4+L73*Rubric!$C$5+M73*Rubric!$C$6+N73*Rubric!$C$7)/5),1)</f>
        <v>80</v>
      </c>
      <c r="U73" s="8" t="str">
        <f aca="false">LOOKUP(T73,Bands!$A$2:$A$6,Bands!$B$2:$B$6)</f>
        <v>Solid Performance</v>
      </c>
      <c r="V73" s="8" t="n">
        <f aca="false">IF(Q73="","",ROUND((Q73-B73)*24,1))</f>
        <v>72</v>
      </c>
    </row>
    <row r="74" customFormat="false" ht="15" hidden="false" customHeight="false" outlineLevel="0" collapsed="false">
      <c r="A74" s="3" t="s">
        <v>264</v>
      </c>
      <c r="B74" s="5" t="n">
        <v>46121.5548611111</v>
      </c>
      <c r="C74" s="3" t="s">
        <v>68</v>
      </c>
      <c r="D74" s="3" t="s">
        <v>265</v>
      </c>
      <c r="E74" s="3" t="s">
        <v>266</v>
      </c>
      <c r="F74" s="3" t="s">
        <v>33</v>
      </c>
      <c r="G74" s="3" t="s">
        <v>42</v>
      </c>
      <c r="H74" s="3" t="s">
        <v>267</v>
      </c>
      <c r="I74" s="3" t="n">
        <v>4</v>
      </c>
      <c r="J74" s="3" t="n">
        <v>3</v>
      </c>
      <c r="K74" s="3" t="n">
        <v>4</v>
      </c>
      <c r="L74" s="3" t="n">
        <v>4</v>
      </c>
      <c r="M74" s="3" t="n">
        <v>5</v>
      </c>
      <c r="N74" s="3" t="n">
        <v>3</v>
      </c>
      <c r="O74" s="6" t="b">
        <f aca="false">FALSE()</f>
        <v>0</v>
      </c>
      <c r="P74" s="3"/>
      <c r="Q74" s="5" t="n">
        <v>46127.5548611111</v>
      </c>
      <c r="R74" s="5" t="n">
        <v>46128.5222222222</v>
      </c>
      <c r="S74" s="3" t="s">
        <v>37</v>
      </c>
      <c r="T74" s="7" t="n">
        <f aca="false">ROUND(MIN(IF(OR(O74=TRUE(),O74="TRUE",O74="Yes"),59,100),(I74*Rubric!$C$2+J74*Rubric!$C$3+K74*Rubric!$C$4+L74*Rubric!$C$5+M74*Rubric!$C$6+N74*Rubric!$C$7)/5),1)</f>
        <v>74</v>
      </c>
      <c r="U74" s="8" t="str">
        <f aca="false">LOOKUP(T74,Bands!$A$2:$A$6,Bands!$B$2:$B$6)</f>
        <v>Meets Expectations</v>
      </c>
      <c r="V74" s="8" t="n">
        <f aca="false">IF(Q74="","",ROUND((Q74-B74)*24,1))</f>
        <v>144</v>
      </c>
    </row>
    <row r="75" customFormat="false" ht="15" hidden="false" customHeight="false" outlineLevel="0" collapsed="false">
      <c r="A75" s="3" t="s">
        <v>268</v>
      </c>
      <c r="B75" s="5" t="n">
        <v>46121.66875</v>
      </c>
      <c r="C75" s="3" t="s">
        <v>39</v>
      </c>
      <c r="D75" s="3" t="s">
        <v>222</v>
      </c>
      <c r="E75" s="3" t="s">
        <v>223</v>
      </c>
      <c r="F75" s="3" t="s">
        <v>53</v>
      </c>
      <c r="G75" s="3" t="s">
        <v>54</v>
      </c>
      <c r="H75" s="3" t="s">
        <v>269</v>
      </c>
      <c r="I75" s="3" t="n">
        <v>5</v>
      </c>
      <c r="J75" s="3" t="n">
        <v>4</v>
      </c>
      <c r="K75" s="3" t="n">
        <v>4</v>
      </c>
      <c r="L75" s="3" t="n">
        <v>4</v>
      </c>
      <c r="M75" s="3" t="n">
        <v>4</v>
      </c>
      <c r="N75" s="3" t="n">
        <v>2</v>
      </c>
      <c r="O75" s="6" t="b">
        <f aca="false">FALSE()</f>
        <v>0</v>
      </c>
      <c r="P75" s="3" t="s">
        <v>36</v>
      </c>
      <c r="Q75" s="5" t="n">
        <v>46125.66875</v>
      </c>
      <c r="R75" s="5" t="n">
        <v>46128.9520833333</v>
      </c>
      <c r="S75" s="3" t="s">
        <v>37</v>
      </c>
      <c r="T75" s="7" t="n">
        <f aca="false">ROUND(MIN(IF(OR(O75=TRUE(),O75="TRUE",O75="Yes"),59,100),(I75*Rubric!$C$2+J75*Rubric!$C$3+K75*Rubric!$C$4+L75*Rubric!$C$5+M75*Rubric!$C$6+N75*Rubric!$C$7)/5),1)</f>
        <v>77</v>
      </c>
      <c r="U75" s="8" t="str">
        <f aca="false">LOOKUP(T75,Bands!$A$2:$A$6,Bands!$B$2:$B$6)</f>
        <v>Meets Expectations</v>
      </c>
      <c r="V75" s="8" t="n">
        <f aca="false">IF(Q75="","",ROUND((Q75-B75)*24,1))</f>
        <v>96</v>
      </c>
    </row>
    <row r="76" customFormat="false" ht="15" hidden="false" customHeight="false" outlineLevel="0" collapsed="false">
      <c r="A76" s="3" t="s">
        <v>270</v>
      </c>
      <c r="B76" s="5" t="n">
        <v>46121.4256944444</v>
      </c>
      <c r="C76" s="3" t="s">
        <v>68</v>
      </c>
      <c r="D76" s="3" t="s">
        <v>119</v>
      </c>
      <c r="E76" s="3" t="s">
        <v>120</v>
      </c>
      <c r="F76" s="3" t="s">
        <v>33</v>
      </c>
      <c r="G76" s="3" t="s">
        <v>54</v>
      </c>
      <c r="H76" s="3" t="s">
        <v>271</v>
      </c>
      <c r="I76" s="3" t="n">
        <v>3</v>
      </c>
      <c r="J76" s="3" t="n">
        <v>4</v>
      </c>
      <c r="K76" s="3" t="n">
        <v>3</v>
      </c>
      <c r="L76" s="3" t="n">
        <v>4</v>
      </c>
      <c r="M76" s="3" t="n">
        <v>4</v>
      </c>
      <c r="N76" s="3" t="n">
        <v>3</v>
      </c>
      <c r="O76" s="6" t="b">
        <f aca="false">FALSE()</f>
        <v>0</v>
      </c>
      <c r="P76" s="3"/>
      <c r="Q76" s="5" t="n">
        <v>46125.4256944444</v>
      </c>
      <c r="R76" s="5" t="n">
        <v>46127.6416666667</v>
      </c>
      <c r="S76" s="3" t="s">
        <v>37</v>
      </c>
      <c r="T76" s="7" t="n">
        <f aca="false">ROUND(MIN(IF(OR(O76=TRUE(),O76="TRUE",O76="Yes"),59,100),(I76*Rubric!$C$2+J76*Rubric!$C$3+K76*Rubric!$C$4+L76*Rubric!$C$5+M76*Rubric!$C$6+N76*Rubric!$C$7)/5),1)</f>
        <v>70</v>
      </c>
      <c r="U76" s="8" t="str">
        <f aca="false">LOOKUP(T76,Bands!$A$2:$A$6,Bands!$B$2:$B$6)</f>
        <v>Meets Expectations</v>
      </c>
      <c r="V76" s="8" t="n">
        <f aca="false">IF(Q76="","",ROUND((Q76-B76)*24,1))</f>
        <v>96</v>
      </c>
    </row>
    <row r="77" customFormat="false" ht="15" hidden="false" customHeight="false" outlineLevel="0" collapsed="false">
      <c r="A77" s="3" t="s">
        <v>272</v>
      </c>
      <c r="B77" s="5" t="n">
        <v>46121.6590277778</v>
      </c>
      <c r="C77" s="3" t="s">
        <v>39</v>
      </c>
      <c r="D77" s="3" t="s">
        <v>100</v>
      </c>
      <c r="E77" s="3" t="s">
        <v>101</v>
      </c>
      <c r="F77" s="3" t="s">
        <v>33</v>
      </c>
      <c r="G77" s="3" t="s">
        <v>54</v>
      </c>
      <c r="H77" s="3" t="s">
        <v>273</v>
      </c>
      <c r="I77" s="3" t="n">
        <v>4</v>
      </c>
      <c r="J77" s="3" t="n">
        <v>5</v>
      </c>
      <c r="K77" s="3" t="n">
        <v>4</v>
      </c>
      <c r="L77" s="3" t="n">
        <v>4</v>
      </c>
      <c r="M77" s="3" t="n">
        <v>1</v>
      </c>
      <c r="N77" s="3" t="n">
        <v>5</v>
      </c>
      <c r="O77" s="6" t="b">
        <f aca="false">FALSE()</f>
        <v>0</v>
      </c>
      <c r="P77" s="3" t="s">
        <v>103</v>
      </c>
      <c r="Q77" s="5" t="n">
        <v>46127.6590277778</v>
      </c>
      <c r="R77" s="5" t="n">
        <v>46128.5034722222</v>
      </c>
      <c r="S77" s="3" t="s">
        <v>37</v>
      </c>
      <c r="T77" s="7" t="n">
        <f aca="false">ROUND(MIN(IF(OR(O77=TRUE(),O77="TRUE",O77="Yes"),59,100),(I77*Rubric!$C$2+J77*Rubric!$C$3+K77*Rubric!$C$4+L77*Rubric!$C$5+M77*Rubric!$C$6+N77*Rubric!$C$7)/5),1)</f>
        <v>82</v>
      </c>
      <c r="U77" s="8" t="str">
        <f aca="false">LOOKUP(T77,Bands!$A$2:$A$6,Bands!$B$2:$B$6)</f>
        <v>Solid Performance</v>
      </c>
      <c r="V77" s="8" t="n">
        <f aca="false">IF(Q77="","",ROUND((Q77-B77)*24,1))</f>
        <v>144</v>
      </c>
    </row>
    <row r="78" customFormat="false" ht="15" hidden="false" customHeight="false" outlineLevel="0" collapsed="false">
      <c r="A78" s="3" t="s">
        <v>274</v>
      </c>
      <c r="B78" s="5" t="n">
        <v>46121.6881944445</v>
      </c>
      <c r="C78" s="3" t="s">
        <v>39</v>
      </c>
      <c r="D78" s="3" t="s">
        <v>212</v>
      </c>
      <c r="E78" s="3" t="s">
        <v>213</v>
      </c>
      <c r="F78" s="3" t="s">
        <v>33</v>
      </c>
      <c r="G78" s="3" t="s">
        <v>42</v>
      </c>
      <c r="H78" s="3" t="s">
        <v>275</v>
      </c>
      <c r="I78" s="3" t="n">
        <v>4</v>
      </c>
      <c r="J78" s="3" t="n">
        <v>3</v>
      </c>
      <c r="K78" s="3" t="n">
        <v>2</v>
      </c>
      <c r="L78" s="3" t="n">
        <v>3</v>
      </c>
      <c r="M78" s="3" t="n">
        <v>4</v>
      </c>
      <c r="N78" s="3" t="n">
        <v>4</v>
      </c>
      <c r="O78" s="6" t="b">
        <f aca="false">FALSE()</f>
        <v>0</v>
      </c>
      <c r="P78" s="3" t="s">
        <v>49</v>
      </c>
      <c r="Q78" s="5" t="n">
        <v>46125.6881944445</v>
      </c>
      <c r="R78" s="5" t="n">
        <v>46126.1444444444</v>
      </c>
      <c r="S78" s="3" t="s">
        <v>37</v>
      </c>
      <c r="T78" s="7" t="n">
        <f aca="false">ROUND(MIN(IF(OR(O78=TRUE(),O78="TRUE",O78="Yes"),59,100),(I78*Rubric!$C$2+J78*Rubric!$C$3+K78*Rubric!$C$4+L78*Rubric!$C$5+M78*Rubric!$C$6+N78*Rubric!$C$7)/5),1)</f>
        <v>64</v>
      </c>
      <c r="U78" s="8" t="str">
        <f aca="false">LOOKUP(T78,Bands!$A$2:$A$6,Bands!$B$2:$B$6)</f>
        <v>Needs Improvement</v>
      </c>
      <c r="V78" s="8" t="n">
        <f aca="false">IF(Q78="","",ROUND((Q78-B78)*24,1))</f>
        <v>96</v>
      </c>
    </row>
    <row r="79" customFormat="false" ht="15" hidden="false" customHeight="false" outlineLevel="0" collapsed="false">
      <c r="A79" s="3" t="s">
        <v>276</v>
      </c>
      <c r="B79" s="5" t="n">
        <v>46121.6909722222</v>
      </c>
      <c r="C79" s="3" t="s">
        <v>30</v>
      </c>
      <c r="D79" s="3" t="s">
        <v>115</v>
      </c>
      <c r="E79" s="3" t="s">
        <v>116</v>
      </c>
      <c r="F79" s="3" t="s">
        <v>33</v>
      </c>
      <c r="G79" s="3" t="s">
        <v>42</v>
      </c>
      <c r="H79" s="3" t="s">
        <v>277</v>
      </c>
      <c r="I79" s="3" t="n">
        <v>4</v>
      </c>
      <c r="J79" s="3" t="n">
        <v>5</v>
      </c>
      <c r="K79" s="3" t="n">
        <v>4</v>
      </c>
      <c r="L79" s="3" t="n">
        <v>5</v>
      </c>
      <c r="M79" s="3" t="n">
        <v>2</v>
      </c>
      <c r="N79" s="3" t="n">
        <v>5</v>
      </c>
      <c r="O79" s="6" t="b">
        <f aca="false">FALSE()</f>
        <v>0</v>
      </c>
      <c r="P79" s="3" t="s">
        <v>103</v>
      </c>
      <c r="Q79" s="5" t="n">
        <v>46126.6909722222</v>
      </c>
      <c r="R79" s="5" t="n">
        <v>46127.1298611111</v>
      </c>
      <c r="S79" s="3" t="s">
        <v>37</v>
      </c>
      <c r="T79" s="7" t="n">
        <f aca="false">ROUND(MIN(IF(OR(O79=TRUE(),O79="TRUE",O79="Yes"),59,100),(I79*Rubric!$C$2+J79*Rubric!$C$3+K79*Rubric!$C$4+L79*Rubric!$C$5+M79*Rubric!$C$6+N79*Rubric!$C$7)/5),1)</f>
        <v>87</v>
      </c>
      <c r="U79" s="8" t="str">
        <f aca="false">LOOKUP(T79,Bands!$A$2:$A$6,Bands!$B$2:$B$6)</f>
        <v>Solid Performance</v>
      </c>
      <c r="V79" s="8" t="n">
        <f aca="false">IF(Q79="","",ROUND((Q79-B79)*24,1))</f>
        <v>120</v>
      </c>
    </row>
    <row r="80" customFormat="false" ht="15" hidden="false" customHeight="false" outlineLevel="0" collapsed="false">
      <c r="A80" s="3" t="s">
        <v>278</v>
      </c>
      <c r="B80" s="5" t="n">
        <v>46121.4666666667</v>
      </c>
      <c r="C80" s="3" t="s">
        <v>39</v>
      </c>
      <c r="D80" s="3" t="s">
        <v>198</v>
      </c>
      <c r="E80" s="3" t="s">
        <v>199</v>
      </c>
      <c r="F80" s="3" t="s">
        <v>33</v>
      </c>
      <c r="G80" s="3" t="s">
        <v>54</v>
      </c>
      <c r="H80" s="3" t="s">
        <v>279</v>
      </c>
      <c r="I80" s="3" t="n">
        <v>3</v>
      </c>
      <c r="J80" s="3" t="n">
        <v>2</v>
      </c>
      <c r="K80" s="3" t="n">
        <v>3</v>
      </c>
      <c r="L80" s="3" t="n">
        <v>5</v>
      </c>
      <c r="M80" s="3" t="n">
        <v>4</v>
      </c>
      <c r="N80" s="3" t="n">
        <v>4</v>
      </c>
      <c r="O80" s="6" t="b">
        <f aca="false">FALSE()</f>
        <v>0</v>
      </c>
      <c r="P80" s="3" t="s">
        <v>56</v>
      </c>
      <c r="Q80" s="5" t="n">
        <v>46130.4666666667</v>
      </c>
      <c r="R80" s="5" t="n">
        <v>46132.4333333333</v>
      </c>
      <c r="S80" s="3" t="s">
        <v>37</v>
      </c>
      <c r="T80" s="7" t="n">
        <f aca="false">ROUND(MIN(IF(OR(O80=TRUE(),O80="TRUE",O80="Yes"),59,100),(I80*Rubric!$C$2+J80*Rubric!$C$3+K80*Rubric!$C$4+L80*Rubric!$C$5+M80*Rubric!$C$6+N80*Rubric!$C$7)/5),1)</f>
        <v>66</v>
      </c>
      <c r="U80" s="8" t="str">
        <f aca="false">LOOKUP(T80,Bands!$A$2:$A$6,Bands!$B$2:$B$6)</f>
        <v>Needs Improvement</v>
      </c>
      <c r="V80" s="8" t="n">
        <f aca="false">IF(Q80="","",ROUND((Q80-B80)*24,1))</f>
        <v>216</v>
      </c>
    </row>
    <row r="81" customFormat="false" ht="15" hidden="false" customHeight="false" outlineLevel="0" collapsed="false">
      <c r="A81" s="3" t="s">
        <v>280</v>
      </c>
      <c r="B81" s="5" t="n">
        <v>46121.6270833333</v>
      </c>
      <c r="C81" s="3" t="s">
        <v>68</v>
      </c>
      <c r="D81" s="3" t="s">
        <v>194</v>
      </c>
      <c r="E81" s="3" t="s">
        <v>195</v>
      </c>
      <c r="F81" s="3" t="s">
        <v>53</v>
      </c>
      <c r="G81" s="3" t="s">
        <v>54</v>
      </c>
      <c r="H81" s="3" t="s">
        <v>281</v>
      </c>
      <c r="I81" s="3" t="n">
        <v>4</v>
      </c>
      <c r="J81" s="3" t="n">
        <v>5</v>
      </c>
      <c r="K81" s="3" t="n">
        <v>4</v>
      </c>
      <c r="L81" s="3" t="n">
        <v>2</v>
      </c>
      <c r="M81" s="3" t="n">
        <v>5</v>
      </c>
      <c r="N81" s="3" t="n">
        <v>4</v>
      </c>
      <c r="O81" s="6" t="b">
        <f aca="false">FALSE()</f>
        <v>0</v>
      </c>
      <c r="P81" s="3" t="s">
        <v>44</v>
      </c>
      <c r="Q81" s="5" t="n">
        <v>46127.6270833333</v>
      </c>
      <c r="R81" s="5" t="n">
        <v>46129.8652777778</v>
      </c>
      <c r="S81" s="3" t="s">
        <v>37</v>
      </c>
      <c r="T81" s="7" t="n">
        <f aca="false">ROUND(MIN(IF(OR(O81=TRUE(),O81="TRUE",O81="Yes"),59,100),(I81*Rubric!$C$2+J81*Rubric!$C$3+K81*Rubric!$C$4+L81*Rubric!$C$5+M81*Rubric!$C$6+N81*Rubric!$C$7)/5),1)</f>
        <v>81</v>
      </c>
      <c r="U81" s="8" t="str">
        <f aca="false">LOOKUP(T81,Bands!$A$2:$A$6,Bands!$B$2:$B$6)</f>
        <v>Solid Performance</v>
      </c>
      <c r="V81" s="8" t="n">
        <f aca="false">IF(Q81="","",ROUND((Q81-B81)*24,1))</f>
        <v>144</v>
      </c>
    </row>
    <row r="82" customFormat="false" ht="15" hidden="false" customHeight="false" outlineLevel="0" collapsed="false">
      <c r="A82" s="3" t="s">
        <v>282</v>
      </c>
      <c r="B82" s="5" t="n">
        <v>46121.6923611111</v>
      </c>
      <c r="C82" s="3" t="s">
        <v>30</v>
      </c>
      <c r="D82" s="3" t="s">
        <v>151</v>
      </c>
      <c r="E82" s="3" t="s">
        <v>152</v>
      </c>
      <c r="F82" s="3" t="s">
        <v>33</v>
      </c>
      <c r="G82" s="3" t="s">
        <v>42</v>
      </c>
      <c r="H82" s="3" t="s">
        <v>283</v>
      </c>
      <c r="I82" s="3" t="n">
        <v>3</v>
      </c>
      <c r="J82" s="3" t="n">
        <v>3</v>
      </c>
      <c r="K82" s="3" t="n">
        <v>5</v>
      </c>
      <c r="L82" s="3" t="n">
        <v>4</v>
      </c>
      <c r="M82" s="3" t="n">
        <v>4</v>
      </c>
      <c r="N82" s="3" t="n">
        <v>4</v>
      </c>
      <c r="O82" s="6" t="b">
        <f aca="false">FALSE()</f>
        <v>0</v>
      </c>
      <c r="P82" s="3"/>
      <c r="Q82" s="5" t="n">
        <v>46126.6923611111</v>
      </c>
      <c r="R82" s="5" t="n">
        <v>46127.55625</v>
      </c>
      <c r="S82" s="3" t="s">
        <v>37</v>
      </c>
      <c r="T82" s="7" t="n">
        <f aca="false">ROUND(MIN(IF(OR(O82=TRUE(),O82="TRUE",O82="Yes"),59,100),(I82*Rubric!$C$2+J82*Rubric!$C$3+K82*Rubric!$C$4+L82*Rubric!$C$5+M82*Rubric!$C$6+N82*Rubric!$C$7)/5),1)</f>
        <v>76</v>
      </c>
      <c r="U82" s="8" t="str">
        <f aca="false">LOOKUP(T82,Bands!$A$2:$A$6,Bands!$B$2:$B$6)</f>
        <v>Meets Expectations</v>
      </c>
      <c r="V82" s="8" t="n">
        <f aca="false">IF(Q82="","",ROUND((Q82-B82)*24,1))</f>
        <v>120</v>
      </c>
    </row>
    <row r="83" customFormat="false" ht="15" hidden="false" customHeight="false" outlineLevel="0" collapsed="false">
      <c r="A83" s="3" t="s">
        <v>284</v>
      </c>
      <c r="B83" s="5" t="n">
        <v>46121.6916666667</v>
      </c>
      <c r="C83" s="3" t="s">
        <v>68</v>
      </c>
      <c r="D83" s="3" t="s">
        <v>73</v>
      </c>
      <c r="E83" s="3" t="s">
        <v>74</v>
      </c>
      <c r="F83" s="3" t="s">
        <v>33</v>
      </c>
      <c r="G83" s="3" t="s">
        <v>42</v>
      </c>
      <c r="H83" s="3" t="s">
        <v>285</v>
      </c>
      <c r="I83" s="3" t="n">
        <v>4</v>
      </c>
      <c r="J83" s="3" t="n">
        <v>5</v>
      </c>
      <c r="K83" s="3" t="n">
        <v>5</v>
      </c>
      <c r="L83" s="3" t="n">
        <v>4</v>
      </c>
      <c r="M83" s="3" t="n">
        <v>5</v>
      </c>
      <c r="N83" s="3" t="n">
        <v>2</v>
      </c>
      <c r="O83" s="6" t="b">
        <f aca="false">FALSE()</f>
        <v>0</v>
      </c>
      <c r="P83" s="3" t="s">
        <v>36</v>
      </c>
      <c r="Q83" s="5" t="n">
        <v>46128.6916666667</v>
      </c>
      <c r="R83" s="5" t="n">
        <v>46128.8868055556</v>
      </c>
      <c r="S83" s="3" t="s">
        <v>37</v>
      </c>
      <c r="T83" s="7" t="n">
        <f aca="false">ROUND(MIN(IF(OR(O83=TRUE(),O83="TRUE",O83="Yes"),59,100),(I83*Rubric!$C$2+J83*Rubric!$C$3+K83*Rubric!$C$4+L83*Rubric!$C$5+M83*Rubric!$C$6+N83*Rubric!$C$7)/5),1)</f>
        <v>85</v>
      </c>
      <c r="U83" s="8" t="str">
        <f aca="false">LOOKUP(T83,Bands!$A$2:$A$6,Bands!$B$2:$B$6)</f>
        <v>Solid Performance</v>
      </c>
      <c r="V83" s="8" t="n">
        <f aca="false">IF(Q83="","",ROUND((Q83-B83)*24,1))</f>
        <v>168</v>
      </c>
    </row>
    <row r="84" customFormat="false" ht="15" hidden="false" customHeight="false" outlineLevel="0" collapsed="false">
      <c r="A84" s="3" t="s">
        <v>286</v>
      </c>
      <c r="B84" s="5" t="n">
        <v>46121.4951388889</v>
      </c>
      <c r="C84" s="3" t="s">
        <v>68</v>
      </c>
      <c r="D84" s="3" t="s">
        <v>202</v>
      </c>
      <c r="E84" s="3" t="s">
        <v>203</v>
      </c>
      <c r="F84" s="3" t="s">
        <v>53</v>
      </c>
      <c r="G84" s="3" t="s">
        <v>54</v>
      </c>
      <c r="H84" s="3" t="s">
        <v>287</v>
      </c>
      <c r="I84" s="3" t="n">
        <v>3</v>
      </c>
      <c r="J84" s="3" t="n">
        <v>4</v>
      </c>
      <c r="K84" s="3" t="n">
        <v>4</v>
      </c>
      <c r="L84" s="3" t="n">
        <v>1</v>
      </c>
      <c r="M84" s="3" t="n">
        <v>4</v>
      </c>
      <c r="N84" s="3" t="n">
        <v>3</v>
      </c>
      <c r="O84" s="6" t="b">
        <f aca="false">FALSE()</f>
        <v>0</v>
      </c>
      <c r="P84" s="3" t="s">
        <v>44</v>
      </c>
      <c r="Q84" s="5" t="n">
        <v>46124.4951388889</v>
      </c>
      <c r="R84" s="5" t="n">
        <v>46124.8791666667</v>
      </c>
      <c r="S84" s="3" t="s">
        <v>37</v>
      </c>
      <c r="T84" s="7" t="n">
        <f aca="false">ROUND(MIN(IF(OR(O84=TRUE(),O84="TRUE",O84="Yes"),59,100),(I84*Rubric!$C$2+J84*Rubric!$C$3+K84*Rubric!$C$4+L84*Rubric!$C$5+M84*Rubric!$C$6+N84*Rubric!$C$7)/5),1)</f>
        <v>65</v>
      </c>
      <c r="U84" s="8" t="str">
        <f aca="false">LOOKUP(T84,Bands!$A$2:$A$6,Bands!$B$2:$B$6)</f>
        <v>Needs Improvement</v>
      </c>
      <c r="V84" s="8" t="n">
        <f aca="false">IF(Q84="","",ROUND((Q84-B84)*24,1))</f>
        <v>72</v>
      </c>
    </row>
    <row r="85" customFormat="false" ht="15" hidden="false" customHeight="false" outlineLevel="0" collapsed="false">
      <c r="A85" s="3" t="s">
        <v>288</v>
      </c>
      <c r="B85" s="5" t="n">
        <v>46121.6777777778</v>
      </c>
      <c r="C85" s="3" t="s">
        <v>30</v>
      </c>
      <c r="D85" s="3" t="s">
        <v>137</v>
      </c>
      <c r="E85" s="3" t="s">
        <v>138</v>
      </c>
      <c r="F85" s="3" t="s">
        <v>65</v>
      </c>
      <c r="G85" s="3" t="s">
        <v>42</v>
      </c>
      <c r="H85" s="3" t="s">
        <v>289</v>
      </c>
      <c r="I85" s="3" t="n">
        <v>2</v>
      </c>
      <c r="J85" s="3" t="n">
        <v>5</v>
      </c>
      <c r="K85" s="3" t="n">
        <v>4</v>
      </c>
      <c r="L85" s="3" t="n">
        <v>4</v>
      </c>
      <c r="M85" s="3" t="n">
        <v>5</v>
      </c>
      <c r="N85" s="3" t="n">
        <v>4</v>
      </c>
      <c r="O85" s="6" t="b">
        <f aca="false">FALSE()</f>
        <v>0</v>
      </c>
      <c r="P85" s="3" t="s">
        <v>88</v>
      </c>
      <c r="Q85" s="5" t="n">
        <v>46126.6777777778</v>
      </c>
      <c r="R85" s="5" t="n">
        <v>46127.5902777778</v>
      </c>
      <c r="S85" s="3" t="s">
        <v>37</v>
      </c>
      <c r="T85" s="7" t="n">
        <f aca="false">ROUND(MIN(IF(OR(O85=TRUE(),O85="TRUE",O85="Yes"),59,100),(I85*Rubric!$C$2+J85*Rubric!$C$3+K85*Rubric!$C$4+L85*Rubric!$C$5+M85*Rubric!$C$6+N85*Rubric!$C$7)/5),1)</f>
        <v>81</v>
      </c>
      <c r="U85" s="8" t="str">
        <f aca="false">LOOKUP(T85,Bands!$A$2:$A$6,Bands!$B$2:$B$6)</f>
        <v>Solid Performance</v>
      </c>
      <c r="V85" s="8" t="n">
        <f aca="false">IF(Q85="","",ROUND((Q85-B85)*24,1))</f>
        <v>120</v>
      </c>
    </row>
    <row r="86" customFormat="false" ht="15" hidden="false" customHeight="false" outlineLevel="0" collapsed="false">
      <c r="A86" s="3" t="s">
        <v>290</v>
      </c>
      <c r="B86" s="5" t="n">
        <v>46122.6375</v>
      </c>
      <c r="C86" s="3" t="s">
        <v>39</v>
      </c>
      <c r="D86" s="3" t="s">
        <v>90</v>
      </c>
      <c r="E86" s="3" t="s">
        <v>91</v>
      </c>
      <c r="F86" s="3" t="s">
        <v>65</v>
      </c>
      <c r="G86" s="3" t="s">
        <v>42</v>
      </c>
      <c r="H86" s="3" t="s">
        <v>291</v>
      </c>
      <c r="I86" s="3" t="n">
        <v>4</v>
      </c>
      <c r="J86" s="3" t="n">
        <v>5</v>
      </c>
      <c r="K86" s="3" t="n">
        <v>4</v>
      </c>
      <c r="L86" s="3" t="n">
        <v>2</v>
      </c>
      <c r="M86" s="3" t="n">
        <v>5</v>
      </c>
      <c r="N86" s="3" t="n">
        <v>5</v>
      </c>
      <c r="O86" s="6" t="b">
        <f aca="false">FALSE()</f>
        <v>0</v>
      </c>
      <c r="P86" s="3" t="s">
        <v>44</v>
      </c>
      <c r="Q86" s="5" t="n">
        <v>46125.6375</v>
      </c>
      <c r="R86" s="5" t="n">
        <v>46129.3173611111</v>
      </c>
      <c r="S86" s="3" t="s">
        <v>37</v>
      </c>
      <c r="T86" s="7" t="n">
        <f aca="false">ROUND(MIN(IF(OR(O86=TRUE(),O86="TRUE",O86="Yes"),59,100),(I86*Rubric!$C$2+J86*Rubric!$C$3+K86*Rubric!$C$4+L86*Rubric!$C$5+M86*Rubric!$C$6+N86*Rubric!$C$7)/5),1)</f>
        <v>84</v>
      </c>
      <c r="U86" s="8" t="str">
        <f aca="false">LOOKUP(T86,Bands!$A$2:$A$6,Bands!$B$2:$B$6)</f>
        <v>Solid Performance</v>
      </c>
      <c r="V86" s="8" t="n">
        <f aca="false">IF(Q86="","",ROUND((Q86-B86)*24,1))</f>
        <v>72</v>
      </c>
    </row>
    <row r="87" customFormat="false" ht="15" hidden="false" customHeight="false" outlineLevel="0" collapsed="false">
      <c r="A87" s="3" t="s">
        <v>292</v>
      </c>
      <c r="B87" s="5" t="n">
        <v>46122.3881944444</v>
      </c>
      <c r="C87" s="3" t="s">
        <v>68</v>
      </c>
      <c r="D87" s="3" t="s">
        <v>293</v>
      </c>
      <c r="E87" s="3" t="s">
        <v>294</v>
      </c>
      <c r="F87" s="3" t="s">
        <v>65</v>
      </c>
      <c r="G87" s="3" t="s">
        <v>42</v>
      </c>
      <c r="H87" s="3" t="s">
        <v>295</v>
      </c>
      <c r="I87" s="3" t="n">
        <v>5</v>
      </c>
      <c r="J87" s="3" t="n">
        <v>5</v>
      </c>
      <c r="K87" s="3" t="n">
        <v>5</v>
      </c>
      <c r="L87" s="3" t="n">
        <v>3</v>
      </c>
      <c r="M87" s="3" t="n">
        <v>5</v>
      </c>
      <c r="N87" s="3" t="n">
        <v>0</v>
      </c>
      <c r="O87" s="6" t="b">
        <f aca="false">TRUE()</f>
        <v>1</v>
      </c>
      <c r="P87" s="3" t="s">
        <v>36</v>
      </c>
      <c r="Q87" s="5" t="n">
        <v>46127.3881944444</v>
      </c>
      <c r="R87" s="5" t="n">
        <v>46128.9854166667</v>
      </c>
      <c r="S87" s="3" t="s">
        <v>37</v>
      </c>
      <c r="T87" s="7" t="n">
        <f aca="false">ROUND(MIN(IF(OR(O87=TRUE(),O87="TRUE",O87="Yes"),59,100),(I87*Rubric!$C$2+J87*Rubric!$C$3+K87*Rubric!$C$4+L87*Rubric!$C$5+M87*Rubric!$C$6+N87*Rubric!$C$7)/5),1)</f>
        <v>59</v>
      </c>
      <c r="U87" s="8" t="str">
        <f aca="false">LOOKUP(T87,Bands!$A$2:$A$6,Bands!$B$2:$B$6)</f>
        <v>Critical</v>
      </c>
      <c r="V87" s="8" t="n">
        <f aca="false">IF(Q87="","",ROUND((Q87-B87)*24,1))</f>
        <v>120</v>
      </c>
    </row>
    <row r="88" customFormat="false" ht="15" hidden="false" customHeight="false" outlineLevel="0" collapsed="false">
      <c r="A88" s="3" t="s">
        <v>296</v>
      </c>
      <c r="B88" s="5" t="n">
        <v>46122.4881944444</v>
      </c>
      <c r="C88" s="3" t="s">
        <v>30</v>
      </c>
      <c r="D88" s="3" t="s">
        <v>51</v>
      </c>
      <c r="E88" s="3" t="s">
        <v>52</v>
      </c>
      <c r="F88" s="3" t="s">
        <v>53</v>
      </c>
      <c r="G88" s="3" t="s">
        <v>54</v>
      </c>
      <c r="H88" s="3" t="s">
        <v>297</v>
      </c>
      <c r="I88" s="3" t="n">
        <v>4</v>
      </c>
      <c r="J88" s="3" t="n">
        <v>2</v>
      </c>
      <c r="K88" s="3" t="n">
        <v>4</v>
      </c>
      <c r="L88" s="3" t="n">
        <v>4</v>
      </c>
      <c r="M88" s="3" t="n">
        <v>4</v>
      </c>
      <c r="N88" s="3" t="n">
        <v>4</v>
      </c>
      <c r="O88" s="6" t="b">
        <f aca="false">FALSE()</f>
        <v>0</v>
      </c>
      <c r="P88" s="3" t="s">
        <v>56</v>
      </c>
      <c r="Q88" s="5" t="n">
        <v>46125.4881944444</v>
      </c>
      <c r="R88" s="5" t="n">
        <v>46125.5090277778</v>
      </c>
      <c r="S88" s="3" t="s">
        <v>37</v>
      </c>
      <c r="T88" s="7" t="n">
        <f aca="false">ROUND(MIN(IF(OR(O88=TRUE(),O88="TRUE",O88="Yes"),59,100),(I88*Rubric!$C$2+J88*Rubric!$C$3+K88*Rubric!$C$4+L88*Rubric!$C$5+M88*Rubric!$C$6+N88*Rubric!$C$7)/5),1)</f>
        <v>70</v>
      </c>
      <c r="U88" s="8" t="str">
        <f aca="false">LOOKUP(T88,Bands!$A$2:$A$6,Bands!$B$2:$B$6)</f>
        <v>Meets Expectations</v>
      </c>
      <c r="V88" s="8" t="n">
        <f aca="false">IF(Q88="","",ROUND((Q88-B88)*24,1))</f>
        <v>72</v>
      </c>
    </row>
    <row r="89" customFormat="false" ht="15" hidden="false" customHeight="false" outlineLevel="0" collapsed="false">
      <c r="A89" s="3" t="s">
        <v>298</v>
      </c>
      <c r="B89" s="5" t="n">
        <v>46122.4041666667</v>
      </c>
      <c r="C89" s="3" t="s">
        <v>30</v>
      </c>
      <c r="D89" s="3" t="s">
        <v>222</v>
      </c>
      <c r="E89" s="3" t="s">
        <v>223</v>
      </c>
      <c r="F89" s="3" t="s">
        <v>53</v>
      </c>
      <c r="G89" s="3" t="s">
        <v>54</v>
      </c>
      <c r="H89" s="3" t="s">
        <v>299</v>
      </c>
      <c r="I89" s="3" t="n">
        <v>4</v>
      </c>
      <c r="J89" s="3" t="n">
        <v>3</v>
      </c>
      <c r="K89" s="3" t="n">
        <v>4</v>
      </c>
      <c r="L89" s="3" t="n">
        <v>5</v>
      </c>
      <c r="M89" s="3" t="n">
        <v>3</v>
      </c>
      <c r="N89" s="3" t="n">
        <v>2</v>
      </c>
      <c r="O89" s="6" t="b">
        <f aca="false">FALSE()</f>
        <v>0</v>
      </c>
      <c r="P89" s="3" t="s">
        <v>36</v>
      </c>
      <c r="Q89" s="5" t="n">
        <v>46126.4041666667</v>
      </c>
      <c r="R89" s="5" t="n">
        <v>46127.1444444444</v>
      </c>
      <c r="S89" s="3" t="s">
        <v>37</v>
      </c>
      <c r="T89" s="7" t="n">
        <f aca="false">ROUND(MIN(IF(OR(O89=TRUE(),O89="TRUE",O89="Yes"),59,100),(I89*Rubric!$C$2+J89*Rubric!$C$3+K89*Rubric!$C$4+L89*Rubric!$C$5+M89*Rubric!$C$6+N89*Rubric!$C$7)/5),1)</f>
        <v>70</v>
      </c>
      <c r="U89" s="8" t="str">
        <f aca="false">LOOKUP(T89,Bands!$A$2:$A$6,Bands!$B$2:$B$6)</f>
        <v>Meets Expectations</v>
      </c>
      <c r="V89" s="8" t="n">
        <f aca="false">IF(Q89="","",ROUND((Q89-B89)*24,1))</f>
        <v>96</v>
      </c>
    </row>
    <row r="90" customFormat="false" ht="15" hidden="false" customHeight="false" outlineLevel="0" collapsed="false">
      <c r="A90" s="3" t="s">
        <v>300</v>
      </c>
      <c r="B90" s="5" t="n">
        <v>46122.6756944444</v>
      </c>
      <c r="C90" s="3" t="s">
        <v>68</v>
      </c>
      <c r="D90" s="3" t="s">
        <v>265</v>
      </c>
      <c r="E90" s="3" t="s">
        <v>266</v>
      </c>
      <c r="F90" s="3" t="s">
        <v>33</v>
      </c>
      <c r="G90" s="3" t="s">
        <v>42</v>
      </c>
      <c r="H90" s="3" t="s">
        <v>301</v>
      </c>
      <c r="I90" s="3" t="n">
        <v>4</v>
      </c>
      <c r="J90" s="3" t="n">
        <v>0</v>
      </c>
      <c r="K90" s="3" t="n">
        <v>3</v>
      </c>
      <c r="L90" s="3" t="n">
        <v>4</v>
      </c>
      <c r="M90" s="3" t="n">
        <v>4</v>
      </c>
      <c r="N90" s="3" t="n">
        <v>4</v>
      </c>
      <c r="O90" s="6" t="b">
        <f aca="false">FALSE()</f>
        <v>0</v>
      </c>
      <c r="P90" s="3" t="s">
        <v>56</v>
      </c>
      <c r="Q90" s="5" t="n">
        <v>46125.6756944444</v>
      </c>
      <c r="R90" s="5" t="n">
        <v>46128.0305555556</v>
      </c>
      <c r="S90" s="3" t="s">
        <v>37</v>
      </c>
      <c r="T90" s="7" t="n">
        <f aca="false">ROUND(MIN(IF(OR(O90=TRUE(),O90="TRUE",O90="Yes"),59,100),(I90*Rubric!$C$2+J90*Rubric!$C$3+K90*Rubric!$C$4+L90*Rubric!$C$5+M90*Rubric!$C$6+N90*Rubric!$C$7)/5),1)</f>
        <v>56</v>
      </c>
      <c r="U90" s="8" t="str">
        <f aca="false">LOOKUP(T90,Bands!$A$2:$A$6,Bands!$B$2:$B$6)</f>
        <v>Critical</v>
      </c>
      <c r="V90" s="8" t="n">
        <f aca="false">IF(Q90="","",ROUND((Q90-B90)*24,1))</f>
        <v>72</v>
      </c>
    </row>
    <row r="91" customFormat="false" ht="15" hidden="false" customHeight="false" outlineLevel="0" collapsed="false">
      <c r="A91" s="3" t="s">
        <v>302</v>
      </c>
      <c r="B91" s="5" t="n">
        <v>46122.4319444444</v>
      </c>
      <c r="C91" s="3" t="s">
        <v>39</v>
      </c>
      <c r="D91" s="3" t="s">
        <v>105</v>
      </c>
      <c r="E91" s="3" t="s">
        <v>106</v>
      </c>
      <c r="F91" s="3" t="s">
        <v>65</v>
      </c>
      <c r="G91" s="3" t="s">
        <v>42</v>
      </c>
      <c r="H91" s="3" t="s">
        <v>303</v>
      </c>
      <c r="I91" s="3" t="n">
        <v>4</v>
      </c>
      <c r="J91" s="3" t="n">
        <v>2</v>
      </c>
      <c r="K91" s="3" t="n">
        <v>4</v>
      </c>
      <c r="L91" s="3" t="n">
        <v>4</v>
      </c>
      <c r="M91" s="3" t="n">
        <v>4</v>
      </c>
      <c r="N91" s="3" t="n">
        <v>4</v>
      </c>
      <c r="O91" s="6" t="b">
        <f aca="false">FALSE()</f>
        <v>0</v>
      </c>
      <c r="P91" s="3" t="s">
        <v>56</v>
      </c>
      <c r="Q91" s="5" t="n">
        <v>46134.4319444444</v>
      </c>
      <c r="R91" s="5" t="n">
        <v>46135.6270833333</v>
      </c>
      <c r="S91" s="3" t="s">
        <v>37</v>
      </c>
      <c r="T91" s="7" t="n">
        <f aca="false">ROUND(MIN(IF(OR(O91=TRUE(),O91="TRUE",O91="Yes"),59,100),(I91*Rubric!$C$2+J91*Rubric!$C$3+K91*Rubric!$C$4+L91*Rubric!$C$5+M91*Rubric!$C$6+N91*Rubric!$C$7)/5),1)</f>
        <v>70</v>
      </c>
      <c r="U91" s="8" t="str">
        <f aca="false">LOOKUP(T91,Bands!$A$2:$A$6,Bands!$B$2:$B$6)</f>
        <v>Meets Expectations</v>
      </c>
      <c r="V91" s="8" t="n">
        <f aca="false">IF(Q91="","",ROUND((Q91-B91)*24,1))</f>
        <v>288</v>
      </c>
    </row>
    <row r="92" customFormat="false" ht="15" hidden="false" customHeight="false" outlineLevel="0" collapsed="false">
      <c r="A92" s="3" t="s">
        <v>304</v>
      </c>
      <c r="B92" s="5" t="n">
        <v>46122.4458333333</v>
      </c>
      <c r="C92" s="3" t="s">
        <v>30</v>
      </c>
      <c r="D92" s="3" t="s">
        <v>125</v>
      </c>
      <c r="E92" s="3" t="s">
        <v>126</v>
      </c>
      <c r="F92" s="3" t="s">
        <v>53</v>
      </c>
      <c r="G92" s="3" t="s">
        <v>54</v>
      </c>
      <c r="H92" s="3" t="s">
        <v>305</v>
      </c>
      <c r="I92" s="3" t="n">
        <v>3</v>
      </c>
      <c r="J92" s="3" t="n">
        <v>4</v>
      </c>
      <c r="K92" s="3" t="n">
        <v>4</v>
      </c>
      <c r="L92" s="3" t="n">
        <v>2</v>
      </c>
      <c r="M92" s="3" t="n">
        <v>3</v>
      </c>
      <c r="N92" s="3" t="n">
        <v>5</v>
      </c>
      <c r="O92" s="6" t="b">
        <f aca="false">FALSE()</f>
        <v>0</v>
      </c>
      <c r="P92" s="3" t="s">
        <v>44</v>
      </c>
      <c r="Q92" s="5" t="n">
        <v>46131.4458333333</v>
      </c>
      <c r="R92" s="5" t="n">
        <v>46134.0465277778</v>
      </c>
      <c r="S92" s="3" t="s">
        <v>37</v>
      </c>
      <c r="T92" s="7" t="n">
        <f aca="false">ROUND(MIN(IF(OR(O92=TRUE(),O92="TRUE",O92="Yes"),59,100),(I92*Rubric!$C$2+J92*Rubric!$C$3+K92*Rubric!$C$4+L92*Rubric!$C$5+M92*Rubric!$C$6+N92*Rubric!$C$7)/5),1)</f>
        <v>72</v>
      </c>
      <c r="U92" s="8" t="str">
        <f aca="false">LOOKUP(T92,Bands!$A$2:$A$6,Bands!$B$2:$B$6)</f>
        <v>Meets Expectations</v>
      </c>
      <c r="V92" s="8" t="n">
        <f aca="false">IF(Q92="","",ROUND((Q92-B92)*24,1))</f>
        <v>216</v>
      </c>
    </row>
    <row r="93" customFormat="false" ht="15" hidden="false" customHeight="false" outlineLevel="0" collapsed="false">
      <c r="A93" s="3" t="s">
        <v>306</v>
      </c>
      <c r="B93" s="5" t="n">
        <v>46122.3854166667</v>
      </c>
      <c r="C93" s="3" t="s">
        <v>30</v>
      </c>
      <c r="D93" s="3" t="s">
        <v>307</v>
      </c>
      <c r="E93" s="3" t="s">
        <v>308</v>
      </c>
      <c r="F93" s="3" t="s">
        <v>33</v>
      </c>
      <c r="G93" s="3" t="s">
        <v>54</v>
      </c>
      <c r="H93" s="3" t="s">
        <v>309</v>
      </c>
      <c r="I93" s="3" t="n">
        <v>5</v>
      </c>
      <c r="J93" s="3" t="n">
        <v>2</v>
      </c>
      <c r="K93" s="3" t="n">
        <v>5</v>
      </c>
      <c r="L93" s="3" t="n">
        <v>5</v>
      </c>
      <c r="M93" s="3" t="n">
        <v>5</v>
      </c>
      <c r="N93" s="3" t="n">
        <v>5</v>
      </c>
      <c r="O93" s="6" t="b">
        <f aca="false">FALSE()</f>
        <v>0</v>
      </c>
      <c r="P93" s="3" t="s">
        <v>56</v>
      </c>
      <c r="Q93" s="5" t="n">
        <v>46128.3854166667</v>
      </c>
      <c r="R93" s="5" t="n">
        <v>46128.64375</v>
      </c>
      <c r="S93" s="3" t="s">
        <v>37</v>
      </c>
      <c r="T93" s="7" t="n">
        <f aca="false">ROUND(MIN(IF(OR(O93=TRUE(),O93="TRUE",O93="Yes"),59,100),(I93*Rubric!$C$2+J93*Rubric!$C$3+K93*Rubric!$C$4+L93*Rubric!$C$5+M93*Rubric!$C$6+N93*Rubric!$C$7)/5),1)</f>
        <v>85</v>
      </c>
      <c r="U93" s="8" t="str">
        <f aca="false">LOOKUP(T93,Bands!$A$2:$A$6,Bands!$B$2:$B$6)</f>
        <v>Solid Performance</v>
      </c>
      <c r="V93" s="8" t="n">
        <f aca="false">IF(Q93="","",ROUND((Q93-B93)*24,1))</f>
        <v>144</v>
      </c>
    </row>
    <row r="94" customFormat="false" ht="15" hidden="false" customHeight="false" outlineLevel="0" collapsed="false">
      <c r="A94" s="3" t="s">
        <v>310</v>
      </c>
      <c r="B94" s="5" t="n">
        <v>46122.6923611111</v>
      </c>
      <c r="C94" s="3" t="s">
        <v>39</v>
      </c>
      <c r="D94" s="3" t="s">
        <v>228</v>
      </c>
      <c r="E94" s="3" t="s">
        <v>229</v>
      </c>
      <c r="F94" s="3" t="s">
        <v>65</v>
      </c>
      <c r="G94" s="3" t="s">
        <v>42</v>
      </c>
      <c r="H94" s="3" t="s">
        <v>311</v>
      </c>
      <c r="I94" s="3" t="n">
        <v>4</v>
      </c>
      <c r="J94" s="3" t="n">
        <v>4</v>
      </c>
      <c r="K94" s="3" t="n">
        <v>4</v>
      </c>
      <c r="L94" s="3" t="n">
        <v>4</v>
      </c>
      <c r="M94" s="3" t="n">
        <v>2</v>
      </c>
      <c r="N94" s="3" t="n">
        <v>2</v>
      </c>
      <c r="O94" s="6" t="b">
        <f aca="false">FALSE()</f>
        <v>0</v>
      </c>
      <c r="P94" s="3" t="s">
        <v>312</v>
      </c>
      <c r="Q94" s="5" t="n">
        <v>46128.6923611111</v>
      </c>
      <c r="R94" s="5" t="n">
        <v>46131.41875</v>
      </c>
      <c r="S94" s="3" t="s">
        <v>37</v>
      </c>
      <c r="T94" s="7" t="n">
        <f aca="false">ROUND(MIN(IF(OR(O94=TRUE(),O94="TRUE",O94="Yes"),59,100),(I94*Rubric!$C$2+J94*Rubric!$C$3+K94*Rubric!$C$4+L94*Rubric!$C$5+M94*Rubric!$C$6+N94*Rubric!$C$7)/5),1)</f>
        <v>70</v>
      </c>
      <c r="U94" s="8" t="str">
        <f aca="false">LOOKUP(T94,Bands!$A$2:$A$6,Bands!$B$2:$B$6)</f>
        <v>Meets Expectations</v>
      </c>
      <c r="V94" s="8" t="n">
        <f aca="false">IF(Q94="","",ROUND((Q94-B94)*24,1))</f>
        <v>144</v>
      </c>
    </row>
    <row r="95" customFormat="false" ht="15" hidden="false" customHeight="false" outlineLevel="0" collapsed="false">
      <c r="A95" s="3" t="s">
        <v>313</v>
      </c>
      <c r="B95" s="5" t="n">
        <v>46122.6972222222</v>
      </c>
      <c r="C95" s="3" t="s">
        <v>68</v>
      </c>
      <c r="D95" s="3" t="s">
        <v>63</v>
      </c>
      <c r="E95" s="3" t="s">
        <v>64</v>
      </c>
      <c r="F95" s="3" t="s">
        <v>65</v>
      </c>
      <c r="G95" s="3" t="s">
        <v>54</v>
      </c>
      <c r="H95" s="3" t="s">
        <v>314</v>
      </c>
      <c r="I95" s="3" t="n">
        <v>4</v>
      </c>
      <c r="J95" s="3" t="n">
        <v>4</v>
      </c>
      <c r="K95" s="3" t="n">
        <v>3</v>
      </c>
      <c r="L95" s="3" t="n">
        <v>3</v>
      </c>
      <c r="M95" s="3" t="n">
        <v>4</v>
      </c>
      <c r="N95" s="3" t="n">
        <v>4</v>
      </c>
      <c r="O95" s="6" t="b">
        <f aca="false">FALSE()</f>
        <v>0</v>
      </c>
      <c r="P95" s="3"/>
      <c r="Q95" s="5" t="n">
        <v>46131.6972222222</v>
      </c>
      <c r="R95" s="5" t="n">
        <v>46131.8604166667</v>
      </c>
      <c r="S95" s="3" t="s">
        <v>37</v>
      </c>
      <c r="T95" s="7" t="n">
        <f aca="false">ROUND(MIN(IF(OR(O95=TRUE(),O95="TRUE",O95="Yes"),59,100),(I95*Rubric!$C$2+J95*Rubric!$C$3+K95*Rubric!$C$4+L95*Rubric!$C$5+M95*Rubric!$C$6+N95*Rubric!$C$7)/5),1)</f>
        <v>73</v>
      </c>
      <c r="U95" s="8" t="str">
        <f aca="false">LOOKUP(T95,Bands!$A$2:$A$6,Bands!$B$2:$B$6)</f>
        <v>Meets Expectations</v>
      </c>
      <c r="V95" s="8" t="n">
        <f aca="false">IF(Q95="","",ROUND((Q95-B95)*24,1))</f>
        <v>216</v>
      </c>
    </row>
    <row r="96" customFormat="false" ht="15" hidden="false" customHeight="false" outlineLevel="0" collapsed="false">
      <c r="A96" s="3" t="s">
        <v>315</v>
      </c>
      <c r="B96" s="5" t="n">
        <v>46122.4173611111</v>
      </c>
      <c r="C96" s="3" t="s">
        <v>68</v>
      </c>
      <c r="D96" s="3" t="s">
        <v>145</v>
      </c>
      <c r="E96" s="3" t="s">
        <v>146</v>
      </c>
      <c r="F96" s="3" t="s">
        <v>33</v>
      </c>
      <c r="G96" s="3" t="s">
        <v>42</v>
      </c>
      <c r="H96" s="3" t="s">
        <v>316</v>
      </c>
      <c r="I96" s="3" t="n">
        <v>4</v>
      </c>
      <c r="J96" s="3" t="n">
        <v>2</v>
      </c>
      <c r="K96" s="3" t="n">
        <v>4</v>
      </c>
      <c r="L96" s="3" t="n">
        <v>4</v>
      </c>
      <c r="M96" s="3" t="n">
        <v>4</v>
      </c>
      <c r="N96" s="3" t="n">
        <v>3</v>
      </c>
      <c r="O96" s="6" t="b">
        <f aca="false">FALSE()</f>
        <v>0</v>
      </c>
      <c r="P96" s="3" t="s">
        <v>56</v>
      </c>
      <c r="Q96" s="5" t="n">
        <v>46125.4173611111</v>
      </c>
      <c r="R96" s="5" t="n">
        <v>46126.0916666667</v>
      </c>
      <c r="S96" s="3" t="s">
        <v>37</v>
      </c>
      <c r="T96" s="7" t="n">
        <f aca="false">ROUND(MIN(IF(OR(O96=TRUE(),O96="TRUE",O96="Yes"),59,100),(I96*Rubric!$C$2+J96*Rubric!$C$3+K96*Rubric!$C$4+L96*Rubric!$C$5+M96*Rubric!$C$6+N96*Rubric!$C$7)/5),1)</f>
        <v>67</v>
      </c>
      <c r="U96" s="8" t="str">
        <f aca="false">LOOKUP(T96,Bands!$A$2:$A$6,Bands!$B$2:$B$6)</f>
        <v>Needs Improvement</v>
      </c>
      <c r="V96" s="8" t="n">
        <f aca="false">IF(Q96="","",ROUND((Q96-B96)*24,1))</f>
        <v>72</v>
      </c>
    </row>
    <row r="97" customFormat="false" ht="15" hidden="false" customHeight="false" outlineLevel="0" collapsed="false">
      <c r="A97" s="3" t="s">
        <v>317</v>
      </c>
      <c r="B97" s="5" t="n">
        <v>46122.66875</v>
      </c>
      <c r="C97" s="3" t="s">
        <v>68</v>
      </c>
      <c r="D97" s="3" t="s">
        <v>81</v>
      </c>
      <c r="E97" s="3" t="s">
        <v>82</v>
      </c>
      <c r="F97" s="3" t="s">
        <v>65</v>
      </c>
      <c r="G97" s="3" t="s">
        <v>34</v>
      </c>
      <c r="H97" s="3" t="s">
        <v>318</v>
      </c>
      <c r="I97" s="3" t="n">
        <v>4</v>
      </c>
      <c r="J97" s="3" t="n">
        <v>1</v>
      </c>
      <c r="K97" s="3" t="n">
        <v>5</v>
      </c>
      <c r="L97" s="3" t="n">
        <v>4</v>
      </c>
      <c r="M97" s="3" t="n">
        <v>4</v>
      </c>
      <c r="N97" s="3" t="n">
        <v>4</v>
      </c>
      <c r="O97" s="6" t="b">
        <f aca="false">FALSE()</f>
        <v>0</v>
      </c>
      <c r="P97" s="3" t="s">
        <v>56</v>
      </c>
      <c r="Q97" s="5" t="n">
        <v>46131.66875</v>
      </c>
      <c r="R97" s="5" t="n">
        <v>46131.6722222222</v>
      </c>
      <c r="S97" s="3" t="s">
        <v>37</v>
      </c>
      <c r="T97" s="7" t="n">
        <f aca="false">ROUND(MIN(IF(OR(O97=TRUE(),O97="TRUE",O97="Yes"),59,100),(I97*Rubric!$C$2+J97*Rubric!$C$3+K97*Rubric!$C$4+L97*Rubric!$C$5+M97*Rubric!$C$6+N97*Rubric!$C$7)/5),1)</f>
        <v>69</v>
      </c>
      <c r="U97" s="8" t="str">
        <f aca="false">LOOKUP(T97,Bands!$A$2:$A$6,Bands!$B$2:$B$6)</f>
        <v>Needs Improvement</v>
      </c>
      <c r="V97" s="8" t="n">
        <f aca="false">IF(Q97="","",ROUND((Q97-B97)*24,1))</f>
        <v>216</v>
      </c>
    </row>
    <row r="98" customFormat="false" ht="15" hidden="false" customHeight="false" outlineLevel="0" collapsed="false">
      <c r="A98" s="3" t="s">
        <v>319</v>
      </c>
      <c r="B98" s="5" t="n">
        <v>46125.5965277778</v>
      </c>
      <c r="C98" s="3" t="s">
        <v>30</v>
      </c>
      <c r="D98" s="3" t="s">
        <v>259</v>
      </c>
      <c r="E98" s="3" t="s">
        <v>260</v>
      </c>
      <c r="F98" s="3" t="s">
        <v>33</v>
      </c>
      <c r="G98" s="3" t="s">
        <v>34</v>
      </c>
      <c r="H98" s="3" t="s">
        <v>320</v>
      </c>
      <c r="I98" s="3" t="n">
        <v>5</v>
      </c>
      <c r="J98" s="3" t="n">
        <v>5</v>
      </c>
      <c r="K98" s="3" t="n">
        <v>4</v>
      </c>
      <c r="L98" s="3" t="n">
        <v>5</v>
      </c>
      <c r="M98" s="3" t="n">
        <v>5</v>
      </c>
      <c r="N98" s="3" t="n">
        <v>5</v>
      </c>
      <c r="O98" s="6" t="b">
        <f aca="false">FALSE()</f>
        <v>0</v>
      </c>
      <c r="P98" s="3"/>
      <c r="Q98" s="5" t="n">
        <v>46129.5965277778</v>
      </c>
      <c r="R98" s="5" t="n">
        <v>46130.0715277778</v>
      </c>
      <c r="S98" s="3" t="s">
        <v>37</v>
      </c>
      <c r="T98" s="7" t="n">
        <f aca="false">ROUND(MIN(IF(OR(O98=TRUE(),O98="TRUE",O98="Yes"),59,100),(I98*Rubric!$C$2+J98*Rubric!$C$3+K98*Rubric!$C$4+L98*Rubric!$C$5+M98*Rubric!$C$6+N98*Rubric!$C$7)/5),1)</f>
        <v>96</v>
      </c>
      <c r="U98" s="8" t="str">
        <f aca="false">LOOKUP(T98,Bands!$A$2:$A$6,Bands!$B$2:$B$6)</f>
        <v>Outstanding</v>
      </c>
      <c r="V98" s="8" t="n">
        <f aca="false">IF(Q98="","",ROUND((Q98-B98)*24,1))</f>
        <v>96</v>
      </c>
    </row>
    <row r="99" customFormat="false" ht="15" hidden="false" customHeight="false" outlineLevel="0" collapsed="false">
      <c r="A99" s="3" t="s">
        <v>321</v>
      </c>
      <c r="B99" s="5" t="n">
        <v>46125.6993055556</v>
      </c>
      <c r="C99" s="3" t="s">
        <v>30</v>
      </c>
      <c r="D99" s="3" t="s">
        <v>73</v>
      </c>
      <c r="E99" s="3" t="s">
        <v>74</v>
      </c>
      <c r="F99" s="3" t="s">
        <v>33</v>
      </c>
      <c r="G99" s="3" t="s">
        <v>34</v>
      </c>
      <c r="H99" s="3" t="s">
        <v>322</v>
      </c>
      <c r="I99" s="3" t="n">
        <v>4</v>
      </c>
      <c r="J99" s="3" t="n">
        <v>4</v>
      </c>
      <c r="K99" s="3" t="n">
        <v>4</v>
      </c>
      <c r="L99" s="3" t="n">
        <v>4</v>
      </c>
      <c r="M99" s="3" t="n">
        <v>4</v>
      </c>
      <c r="N99" s="3" t="n">
        <v>3</v>
      </c>
      <c r="O99" s="6" t="b">
        <f aca="false">FALSE()</f>
        <v>0</v>
      </c>
      <c r="P99" s="3"/>
      <c r="Q99" s="5" t="n">
        <v>46130.6993055556</v>
      </c>
      <c r="R99" s="5" t="n">
        <v>46132.6333333333</v>
      </c>
      <c r="S99" s="3" t="s">
        <v>37</v>
      </c>
      <c r="T99" s="7" t="n">
        <f aca="false">ROUND(MIN(IF(OR(O99=TRUE(),O99="TRUE",O99="Yes"),59,100),(I99*Rubric!$C$2+J99*Rubric!$C$3+K99*Rubric!$C$4+L99*Rubric!$C$5+M99*Rubric!$C$6+N99*Rubric!$C$7)/5),1)</f>
        <v>77</v>
      </c>
      <c r="U99" s="8" t="str">
        <f aca="false">LOOKUP(T99,Bands!$A$2:$A$6,Bands!$B$2:$B$6)</f>
        <v>Meets Expectations</v>
      </c>
      <c r="V99" s="8" t="n">
        <f aca="false">IF(Q99="","",ROUND((Q99-B99)*24,1))</f>
        <v>120</v>
      </c>
    </row>
    <row r="100" customFormat="false" ht="15" hidden="false" customHeight="false" outlineLevel="0" collapsed="false">
      <c r="A100" s="3" t="s">
        <v>323</v>
      </c>
      <c r="B100" s="5" t="n">
        <v>46125.3777777778</v>
      </c>
      <c r="C100" s="3" t="s">
        <v>39</v>
      </c>
      <c r="D100" s="3" t="s">
        <v>137</v>
      </c>
      <c r="E100" s="3" t="s">
        <v>138</v>
      </c>
      <c r="F100" s="3" t="s">
        <v>65</v>
      </c>
      <c r="G100" s="3" t="s">
        <v>42</v>
      </c>
      <c r="H100" s="3" t="s">
        <v>324</v>
      </c>
      <c r="I100" s="3" t="n">
        <v>2</v>
      </c>
      <c r="J100" s="3" t="n">
        <v>4</v>
      </c>
      <c r="K100" s="3" t="n">
        <v>5</v>
      </c>
      <c r="L100" s="3" t="n">
        <v>5</v>
      </c>
      <c r="M100" s="3" t="n">
        <v>4</v>
      </c>
      <c r="N100" s="3" t="n">
        <v>5</v>
      </c>
      <c r="O100" s="6" t="b">
        <f aca="false">FALSE()</f>
        <v>0</v>
      </c>
      <c r="P100" s="3" t="s">
        <v>88</v>
      </c>
      <c r="Q100" s="5" t="n">
        <v>46128.3777777778</v>
      </c>
      <c r="R100" s="5" t="n">
        <v>46128.6840277778</v>
      </c>
      <c r="S100" s="3" t="s">
        <v>37</v>
      </c>
      <c r="T100" s="7" t="n">
        <f aca="false">ROUND(MIN(IF(OR(O100=TRUE(),O100="TRUE",O100="Yes"),59,100),(I100*Rubric!$C$2+J100*Rubric!$C$3+K100*Rubric!$C$4+L100*Rubric!$C$5+M100*Rubric!$C$6+N100*Rubric!$C$7)/5),1)</f>
        <v>84</v>
      </c>
      <c r="U100" s="8" t="str">
        <f aca="false">LOOKUP(T100,Bands!$A$2:$A$6,Bands!$B$2:$B$6)</f>
        <v>Solid Performance</v>
      </c>
      <c r="V100" s="8" t="n">
        <f aca="false">IF(Q100="","",ROUND((Q100-B100)*24,1))</f>
        <v>72</v>
      </c>
    </row>
    <row r="101" customFormat="false" ht="15" hidden="false" customHeight="false" outlineLevel="0" collapsed="false">
      <c r="A101" s="3" t="s">
        <v>325</v>
      </c>
      <c r="B101" s="5" t="n">
        <v>46125.5375</v>
      </c>
      <c r="C101" s="3" t="s">
        <v>68</v>
      </c>
      <c r="D101" s="3" t="s">
        <v>151</v>
      </c>
      <c r="E101" s="3" t="s">
        <v>152</v>
      </c>
      <c r="F101" s="3" t="s">
        <v>33</v>
      </c>
      <c r="G101" s="3" t="s">
        <v>42</v>
      </c>
      <c r="H101" s="3" t="s">
        <v>326</v>
      </c>
      <c r="I101" s="3" t="n">
        <v>5</v>
      </c>
      <c r="J101" s="3" t="n">
        <v>3</v>
      </c>
      <c r="K101" s="3" t="n">
        <v>5</v>
      </c>
      <c r="L101" s="3" t="n">
        <v>4</v>
      </c>
      <c r="M101" s="3" t="n">
        <v>5</v>
      </c>
      <c r="N101" s="3" t="n">
        <v>5</v>
      </c>
      <c r="O101" s="6" t="b">
        <f aca="false">FALSE()</f>
        <v>0</v>
      </c>
      <c r="P101" s="3"/>
      <c r="Q101" s="5" t="n">
        <v>46137.5375</v>
      </c>
      <c r="R101" s="5" t="n">
        <v>46137.7298611111</v>
      </c>
      <c r="S101" s="3" t="s">
        <v>37</v>
      </c>
      <c r="T101" s="7" t="n">
        <f aca="false">ROUND(MIN(IF(OR(O101=TRUE(),O101="TRUE",O101="Yes"),59,100),(I101*Rubric!$C$2+J101*Rubric!$C$3+K101*Rubric!$C$4+L101*Rubric!$C$5+M101*Rubric!$C$6+N101*Rubric!$C$7)/5),1)</f>
        <v>87</v>
      </c>
      <c r="U101" s="8" t="str">
        <f aca="false">LOOKUP(T101,Bands!$A$2:$A$6,Bands!$B$2:$B$6)</f>
        <v>Solid Performance</v>
      </c>
      <c r="V101" s="8" t="n">
        <f aca="false">IF(Q101="","",ROUND((Q101-B101)*24,1))</f>
        <v>288</v>
      </c>
    </row>
    <row r="102" customFormat="false" ht="15" hidden="false" customHeight="false" outlineLevel="0" collapsed="false">
      <c r="A102" s="3" t="s">
        <v>327</v>
      </c>
      <c r="B102" s="5" t="n">
        <v>46125.6201388889</v>
      </c>
      <c r="C102" s="3" t="s">
        <v>30</v>
      </c>
      <c r="D102" s="3" t="s">
        <v>228</v>
      </c>
      <c r="E102" s="3" t="s">
        <v>229</v>
      </c>
      <c r="F102" s="3" t="s">
        <v>65</v>
      </c>
      <c r="G102" s="3" t="s">
        <v>42</v>
      </c>
      <c r="H102" s="3" t="s">
        <v>328</v>
      </c>
      <c r="I102" s="3" t="n">
        <v>4</v>
      </c>
      <c r="J102" s="3" t="n">
        <v>3</v>
      </c>
      <c r="K102" s="3" t="n">
        <v>3</v>
      </c>
      <c r="L102" s="3" t="n">
        <v>3</v>
      </c>
      <c r="M102" s="3" t="n">
        <v>4</v>
      </c>
      <c r="N102" s="3" t="n">
        <v>0</v>
      </c>
      <c r="O102" s="6" t="b">
        <f aca="false">TRUE()</f>
        <v>1</v>
      </c>
      <c r="P102" s="3" t="s">
        <v>36</v>
      </c>
      <c r="Q102" s="5" t="n">
        <v>46130.6201388889</v>
      </c>
      <c r="R102" s="5" t="n">
        <v>46130.8395833333</v>
      </c>
      <c r="S102" s="3" t="s">
        <v>37</v>
      </c>
      <c r="T102" s="7" t="n">
        <f aca="false">ROUND(MIN(IF(OR(O102=TRUE(),O102="TRUE",O102="Yes"),59,100),(I102*Rubric!$C$2+J102*Rubric!$C$3+K102*Rubric!$C$4+L102*Rubric!$C$5+M102*Rubric!$C$6+N102*Rubric!$C$7)/5),1)</f>
        <v>56</v>
      </c>
      <c r="U102" s="8" t="str">
        <f aca="false">LOOKUP(T102,Bands!$A$2:$A$6,Bands!$B$2:$B$6)</f>
        <v>Critical</v>
      </c>
      <c r="V102" s="8" t="n">
        <f aca="false">IF(Q102="","",ROUND((Q102-B102)*24,1))</f>
        <v>120</v>
      </c>
    </row>
    <row r="103" customFormat="false" ht="15" hidden="false" customHeight="false" outlineLevel="0" collapsed="false">
      <c r="A103" s="3" t="s">
        <v>329</v>
      </c>
      <c r="B103" s="5" t="n">
        <v>46125.4986111111</v>
      </c>
      <c r="C103" s="3" t="s">
        <v>68</v>
      </c>
      <c r="D103" s="3" t="s">
        <v>115</v>
      </c>
      <c r="E103" s="3" t="s">
        <v>116</v>
      </c>
      <c r="F103" s="3" t="s">
        <v>33</v>
      </c>
      <c r="G103" s="3" t="s">
        <v>34</v>
      </c>
      <c r="H103" s="3" t="s">
        <v>330</v>
      </c>
      <c r="I103" s="3" t="n">
        <v>5</v>
      </c>
      <c r="J103" s="3" t="n">
        <v>4</v>
      </c>
      <c r="K103" s="3" t="n">
        <v>4</v>
      </c>
      <c r="L103" s="3" t="n">
        <v>5</v>
      </c>
      <c r="M103" s="3" t="n">
        <v>2</v>
      </c>
      <c r="N103" s="3" t="n">
        <v>5</v>
      </c>
      <c r="O103" s="6" t="b">
        <f aca="false">FALSE()</f>
        <v>0</v>
      </c>
      <c r="P103" s="3" t="s">
        <v>103</v>
      </c>
      <c r="Q103" s="5" t="n">
        <v>46137.4986111111</v>
      </c>
      <c r="R103" s="5" t="n">
        <v>46137.8319444444</v>
      </c>
      <c r="S103" s="3" t="s">
        <v>37</v>
      </c>
      <c r="T103" s="7" t="n">
        <f aca="false">ROUND(MIN(IF(OR(O103=TRUE(),O103="TRUE",O103="Yes"),59,100),(I103*Rubric!$C$2+J103*Rubric!$C$3+K103*Rubric!$C$4+L103*Rubric!$C$5+M103*Rubric!$C$6+N103*Rubric!$C$7)/5),1)</f>
        <v>85</v>
      </c>
      <c r="U103" s="8" t="str">
        <f aca="false">LOOKUP(T103,Bands!$A$2:$A$6,Bands!$B$2:$B$6)</f>
        <v>Solid Performance</v>
      </c>
      <c r="V103" s="8" t="n">
        <f aca="false">IF(Q103="","",ROUND((Q103-B103)*24,1))</f>
        <v>288</v>
      </c>
    </row>
    <row r="104" customFormat="false" ht="15" hidden="false" customHeight="false" outlineLevel="0" collapsed="false">
      <c r="A104" s="3" t="s">
        <v>331</v>
      </c>
      <c r="B104" s="5" t="n">
        <v>46125.4965277778</v>
      </c>
      <c r="C104" s="3" t="s">
        <v>39</v>
      </c>
      <c r="D104" s="3" t="s">
        <v>212</v>
      </c>
      <c r="E104" s="3" t="s">
        <v>213</v>
      </c>
      <c r="F104" s="3" t="s">
        <v>33</v>
      </c>
      <c r="G104" s="3" t="s">
        <v>54</v>
      </c>
      <c r="H104" s="3" t="s">
        <v>332</v>
      </c>
      <c r="I104" s="3" t="n">
        <v>4</v>
      </c>
      <c r="J104" s="3" t="n">
        <v>3</v>
      </c>
      <c r="K104" s="3" t="n">
        <v>1</v>
      </c>
      <c r="L104" s="3" t="n">
        <v>3</v>
      </c>
      <c r="M104" s="3" t="n">
        <v>3</v>
      </c>
      <c r="N104" s="3" t="n">
        <v>4</v>
      </c>
      <c r="O104" s="6" t="b">
        <f aca="false">FALSE()</f>
        <v>0</v>
      </c>
      <c r="P104" s="3" t="s">
        <v>49</v>
      </c>
      <c r="Q104" s="5" t="n">
        <v>46129.4965277778</v>
      </c>
      <c r="R104" s="5" t="n">
        <v>46130.5111111111</v>
      </c>
      <c r="S104" s="3" t="s">
        <v>37</v>
      </c>
      <c r="T104" s="7" t="n">
        <f aca="false">ROUND(MIN(IF(OR(O104=TRUE(),O104="TRUE",O104="Yes"),59,100),(I104*Rubric!$C$2+J104*Rubric!$C$3+K104*Rubric!$C$4+L104*Rubric!$C$5+M104*Rubric!$C$6+N104*Rubric!$C$7)/5),1)</f>
        <v>58</v>
      </c>
      <c r="U104" s="8" t="str">
        <f aca="false">LOOKUP(T104,Bands!$A$2:$A$6,Bands!$B$2:$B$6)</f>
        <v>Critical</v>
      </c>
      <c r="V104" s="8" t="n">
        <f aca="false">IF(Q104="","",ROUND((Q104-B104)*24,1))</f>
        <v>96</v>
      </c>
    </row>
    <row r="105" customFormat="false" ht="15" hidden="false" customHeight="false" outlineLevel="0" collapsed="false">
      <c r="A105" s="3" t="s">
        <v>333</v>
      </c>
      <c r="B105" s="5" t="n">
        <v>46125.5902777778</v>
      </c>
      <c r="C105" s="3" t="s">
        <v>39</v>
      </c>
      <c r="D105" s="3" t="s">
        <v>125</v>
      </c>
      <c r="E105" s="3" t="s">
        <v>126</v>
      </c>
      <c r="F105" s="3" t="s">
        <v>53</v>
      </c>
      <c r="G105" s="3" t="s">
        <v>54</v>
      </c>
      <c r="H105" s="3" t="s">
        <v>334</v>
      </c>
      <c r="I105" s="3" t="n">
        <v>4</v>
      </c>
      <c r="J105" s="3" t="n">
        <v>4</v>
      </c>
      <c r="K105" s="3" t="n">
        <v>4</v>
      </c>
      <c r="L105" s="3" t="n">
        <v>2</v>
      </c>
      <c r="M105" s="3" t="n">
        <v>5</v>
      </c>
      <c r="N105" s="3" t="n">
        <v>4</v>
      </c>
      <c r="O105" s="6" t="b">
        <f aca="false">FALSE()</f>
        <v>0</v>
      </c>
      <c r="P105" s="3" t="s">
        <v>44</v>
      </c>
      <c r="Q105" s="5" t="n">
        <v>46130.5902777778</v>
      </c>
      <c r="R105" s="5" t="n">
        <v>46135.3854166667</v>
      </c>
      <c r="S105" s="3" t="s">
        <v>37</v>
      </c>
      <c r="T105" s="7" t="n">
        <f aca="false">ROUND(MIN(IF(OR(O105=TRUE(),O105="TRUE",O105="Yes"),59,100),(I105*Rubric!$C$2+J105*Rubric!$C$3+K105*Rubric!$C$4+L105*Rubric!$C$5+M105*Rubric!$C$6+N105*Rubric!$C$7)/5),1)</f>
        <v>76</v>
      </c>
      <c r="U105" s="8" t="str">
        <f aca="false">LOOKUP(T105,Bands!$A$2:$A$6,Bands!$B$2:$B$6)</f>
        <v>Meets Expectations</v>
      </c>
      <c r="V105" s="8" t="n">
        <f aca="false">IF(Q105="","",ROUND((Q105-B105)*24,1))</f>
        <v>120</v>
      </c>
    </row>
    <row r="106" customFormat="false" ht="15" hidden="false" customHeight="false" outlineLevel="0" collapsed="false">
      <c r="A106" s="3" t="s">
        <v>335</v>
      </c>
      <c r="B106" s="5" t="n">
        <v>46125.4319444444</v>
      </c>
      <c r="C106" s="3" t="s">
        <v>30</v>
      </c>
      <c r="D106" s="3" t="s">
        <v>85</v>
      </c>
      <c r="E106" s="3" t="s">
        <v>86</v>
      </c>
      <c r="F106" s="3" t="s">
        <v>33</v>
      </c>
      <c r="G106" s="3" t="s">
        <v>54</v>
      </c>
      <c r="H106" s="3" t="s">
        <v>336</v>
      </c>
      <c r="I106" s="3" t="n">
        <v>3</v>
      </c>
      <c r="J106" s="3" t="n">
        <v>5</v>
      </c>
      <c r="K106" s="3" t="n">
        <v>4</v>
      </c>
      <c r="L106" s="3" t="n">
        <v>4</v>
      </c>
      <c r="M106" s="3" t="n">
        <v>4</v>
      </c>
      <c r="N106" s="3" t="n">
        <v>4</v>
      </c>
      <c r="O106" s="6" t="b">
        <f aca="false">FALSE()</f>
        <v>0</v>
      </c>
      <c r="P106" s="3"/>
      <c r="Q106" s="5" t="n">
        <v>46129.4319444444</v>
      </c>
      <c r="R106" s="5" t="n">
        <v>46129.5159722222</v>
      </c>
      <c r="S106" s="3" t="s">
        <v>37</v>
      </c>
      <c r="T106" s="7" t="n">
        <f aca="false">ROUND(MIN(IF(OR(O106=TRUE(),O106="TRUE",O106="Yes"),59,100),(I106*Rubric!$C$2+J106*Rubric!$C$3+K106*Rubric!$C$4+L106*Rubric!$C$5+M106*Rubric!$C$6+N106*Rubric!$C$7)/5),1)</f>
        <v>82</v>
      </c>
      <c r="U106" s="8" t="str">
        <f aca="false">LOOKUP(T106,Bands!$A$2:$A$6,Bands!$B$2:$B$6)</f>
        <v>Solid Performance</v>
      </c>
      <c r="V106" s="8" t="n">
        <f aca="false">IF(Q106="","",ROUND((Q106-B106)*24,1))</f>
        <v>96</v>
      </c>
    </row>
    <row r="107" customFormat="false" ht="15" hidden="false" customHeight="false" outlineLevel="0" collapsed="false">
      <c r="A107" s="3" t="s">
        <v>337</v>
      </c>
      <c r="B107" s="5" t="n">
        <v>46125.59375</v>
      </c>
      <c r="C107" s="3" t="s">
        <v>68</v>
      </c>
      <c r="D107" s="3" t="s">
        <v>161</v>
      </c>
      <c r="E107" s="3" t="s">
        <v>162</v>
      </c>
      <c r="F107" s="3" t="s">
        <v>33</v>
      </c>
      <c r="G107" s="3" t="s">
        <v>42</v>
      </c>
      <c r="H107" s="3" t="s">
        <v>338</v>
      </c>
      <c r="I107" s="3" t="n">
        <v>4</v>
      </c>
      <c r="J107" s="3" t="n">
        <v>4</v>
      </c>
      <c r="K107" s="3" t="n">
        <v>5</v>
      </c>
      <c r="L107" s="3" t="n">
        <v>4</v>
      </c>
      <c r="M107" s="3" t="n">
        <v>1</v>
      </c>
      <c r="N107" s="3" t="n">
        <v>4</v>
      </c>
      <c r="O107" s="6" t="b">
        <f aca="false">FALSE()</f>
        <v>0</v>
      </c>
      <c r="P107" s="3" t="s">
        <v>103</v>
      </c>
      <c r="Q107" s="5" t="n">
        <v>46130.59375</v>
      </c>
      <c r="R107" s="5" t="n">
        <v>46131.6527777778</v>
      </c>
      <c r="S107" s="3" t="s">
        <v>37</v>
      </c>
      <c r="T107" s="7" t="n">
        <f aca="false">ROUND(MIN(IF(OR(O107=TRUE(),O107="TRUE",O107="Yes"),59,100),(I107*Rubric!$C$2+J107*Rubric!$C$3+K107*Rubric!$C$4+L107*Rubric!$C$5+M107*Rubric!$C$6+N107*Rubric!$C$7)/5),1)</f>
        <v>78</v>
      </c>
      <c r="U107" s="8" t="str">
        <f aca="false">LOOKUP(T107,Bands!$A$2:$A$6,Bands!$B$2:$B$6)</f>
        <v>Meets Expectations</v>
      </c>
      <c r="V107" s="8" t="n">
        <f aca="false">IF(Q107="","",ROUND((Q107-B107)*24,1))</f>
        <v>120</v>
      </c>
    </row>
    <row r="108" customFormat="false" ht="15" hidden="false" customHeight="false" outlineLevel="0" collapsed="false">
      <c r="A108" s="3" t="s">
        <v>339</v>
      </c>
      <c r="B108" s="5" t="n">
        <v>46125.6486111111</v>
      </c>
      <c r="C108" s="3" t="s">
        <v>30</v>
      </c>
      <c r="D108" s="3" t="s">
        <v>119</v>
      </c>
      <c r="E108" s="3" t="s">
        <v>120</v>
      </c>
      <c r="F108" s="3" t="s">
        <v>33</v>
      </c>
      <c r="G108" s="3" t="s">
        <v>54</v>
      </c>
      <c r="H108" s="3" t="s">
        <v>340</v>
      </c>
      <c r="I108" s="3" t="n">
        <v>5</v>
      </c>
      <c r="J108" s="3" t="n">
        <v>5</v>
      </c>
      <c r="K108" s="3" t="n">
        <v>3</v>
      </c>
      <c r="L108" s="3" t="n">
        <v>4</v>
      </c>
      <c r="M108" s="3" t="n">
        <v>4</v>
      </c>
      <c r="N108" s="3" t="n">
        <v>2</v>
      </c>
      <c r="O108" s="6" t="b">
        <f aca="false">FALSE()</f>
        <v>0</v>
      </c>
      <c r="P108" s="3" t="s">
        <v>36</v>
      </c>
      <c r="Q108" s="5" t="n">
        <v>46129.6486111111</v>
      </c>
      <c r="R108" s="5" t="n">
        <v>46130.0715277778</v>
      </c>
      <c r="S108" s="3" t="s">
        <v>37</v>
      </c>
      <c r="T108" s="7" t="n">
        <f aca="false">ROUND(MIN(IF(OR(O108=TRUE(),O108="TRUE",O108="Yes"),59,100),(I108*Rubric!$C$2+J108*Rubric!$C$3+K108*Rubric!$C$4+L108*Rubric!$C$5+M108*Rubric!$C$6+N108*Rubric!$C$7)/5),1)</f>
        <v>78</v>
      </c>
      <c r="U108" s="8" t="str">
        <f aca="false">LOOKUP(T108,Bands!$A$2:$A$6,Bands!$B$2:$B$6)</f>
        <v>Meets Expectations</v>
      </c>
      <c r="V108" s="8" t="n">
        <f aca="false">IF(Q108="","",ROUND((Q108-B108)*24,1))</f>
        <v>96</v>
      </c>
    </row>
    <row r="109" customFormat="false" ht="15" hidden="false" customHeight="false" outlineLevel="0" collapsed="false">
      <c r="A109" s="3" t="s">
        <v>341</v>
      </c>
      <c r="B109" s="5" t="n">
        <v>46125.4090277778</v>
      </c>
      <c r="C109" s="3" t="s">
        <v>68</v>
      </c>
      <c r="D109" s="3" t="s">
        <v>251</v>
      </c>
      <c r="E109" s="3" t="s">
        <v>252</v>
      </c>
      <c r="F109" s="3" t="s">
        <v>53</v>
      </c>
      <c r="G109" s="3" t="s">
        <v>54</v>
      </c>
      <c r="H109" s="3" t="s">
        <v>342</v>
      </c>
      <c r="I109" s="3" t="n">
        <v>3</v>
      </c>
      <c r="J109" s="3" t="n">
        <v>4</v>
      </c>
      <c r="K109" s="3" t="n">
        <v>4</v>
      </c>
      <c r="L109" s="3" t="n">
        <v>4</v>
      </c>
      <c r="M109" s="3" t="n">
        <v>2</v>
      </c>
      <c r="N109" s="3" t="n">
        <v>3</v>
      </c>
      <c r="O109" s="6" t="b">
        <f aca="false">FALSE()</f>
        <v>0</v>
      </c>
      <c r="P109" s="3" t="s">
        <v>103</v>
      </c>
      <c r="Q109" s="5" t="n">
        <v>46130.4090277778</v>
      </c>
      <c r="R109" s="5" t="n">
        <v>46131.85</v>
      </c>
      <c r="S109" s="3" t="s">
        <v>37</v>
      </c>
      <c r="T109" s="7" t="n">
        <f aca="false">ROUND(MIN(IF(OR(O109=TRUE(),O109="TRUE",O109="Yes"),59,100),(I109*Rubric!$C$2+J109*Rubric!$C$3+K109*Rubric!$C$4+L109*Rubric!$C$5+M109*Rubric!$C$6+N109*Rubric!$C$7)/5),1)</f>
        <v>70</v>
      </c>
      <c r="U109" s="8" t="str">
        <f aca="false">LOOKUP(T109,Bands!$A$2:$A$6,Bands!$B$2:$B$6)</f>
        <v>Meets Expectations</v>
      </c>
      <c r="V109" s="8" t="n">
        <f aca="false">IF(Q109="","",ROUND((Q109-B109)*24,1))</f>
        <v>120</v>
      </c>
    </row>
    <row r="110" customFormat="false" ht="15" hidden="false" customHeight="false" outlineLevel="0" collapsed="false">
      <c r="A110" s="3" t="s">
        <v>343</v>
      </c>
      <c r="B110" s="5" t="n">
        <v>46126.5076388889</v>
      </c>
      <c r="C110" s="3" t="s">
        <v>30</v>
      </c>
      <c r="D110" s="3" t="s">
        <v>307</v>
      </c>
      <c r="E110" s="3" t="s">
        <v>308</v>
      </c>
      <c r="F110" s="3" t="s">
        <v>33</v>
      </c>
      <c r="G110" s="3" t="s">
        <v>42</v>
      </c>
      <c r="H110" s="3" t="s">
        <v>344</v>
      </c>
      <c r="I110" s="3" t="n">
        <v>5</v>
      </c>
      <c r="J110" s="3" t="n">
        <v>3</v>
      </c>
      <c r="K110" s="3" t="n">
        <v>5</v>
      </c>
      <c r="L110" s="3" t="n">
        <v>5</v>
      </c>
      <c r="M110" s="3" t="n">
        <v>5</v>
      </c>
      <c r="N110" s="3" t="n">
        <v>5</v>
      </c>
      <c r="O110" s="6" t="b">
        <f aca="false">FALSE()</f>
        <v>0</v>
      </c>
      <c r="P110" s="3"/>
      <c r="Q110" s="5" t="n">
        <v>46131.5076388889</v>
      </c>
      <c r="R110" s="5" t="n">
        <v>46134.8319444444</v>
      </c>
      <c r="S110" s="3" t="s">
        <v>37</v>
      </c>
      <c r="T110" s="7" t="n">
        <f aca="false">ROUND(MIN(IF(OR(O110=TRUE(),O110="TRUE",O110="Yes"),59,100),(I110*Rubric!$C$2+J110*Rubric!$C$3+K110*Rubric!$C$4+L110*Rubric!$C$5+M110*Rubric!$C$6+N110*Rubric!$C$7)/5),1)</f>
        <v>90</v>
      </c>
      <c r="U110" s="8" t="str">
        <f aca="false">LOOKUP(T110,Bands!$A$2:$A$6,Bands!$B$2:$B$6)</f>
        <v>Outstanding</v>
      </c>
      <c r="V110" s="8" t="n">
        <f aca="false">IF(Q110="","",ROUND((Q110-B110)*24,1))</f>
        <v>120</v>
      </c>
    </row>
    <row r="111" customFormat="false" ht="15" hidden="false" customHeight="false" outlineLevel="0" collapsed="false">
      <c r="A111" s="3" t="s">
        <v>345</v>
      </c>
      <c r="B111" s="5" t="n">
        <v>46126.4243055556</v>
      </c>
      <c r="C111" s="3" t="s">
        <v>30</v>
      </c>
      <c r="D111" s="3" t="s">
        <v>137</v>
      </c>
      <c r="E111" s="3" t="s">
        <v>138</v>
      </c>
      <c r="F111" s="3" t="s">
        <v>65</v>
      </c>
      <c r="G111" s="3" t="s">
        <v>42</v>
      </c>
      <c r="H111" s="3" t="s">
        <v>346</v>
      </c>
      <c r="I111" s="3" t="n">
        <v>2</v>
      </c>
      <c r="J111" s="3" t="n">
        <v>5</v>
      </c>
      <c r="K111" s="3" t="n">
        <v>4</v>
      </c>
      <c r="L111" s="3" t="n">
        <v>5</v>
      </c>
      <c r="M111" s="3" t="n">
        <v>5</v>
      </c>
      <c r="N111" s="3" t="n">
        <v>5</v>
      </c>
      <c r="O111" s="6" t="b">
        <f aca="false">FALSE()</f>
        <v>0</v>
      </c>
      <c r="P111" s="3" t="s">
        <v>88</v>
      </c>
      <c r="Q111" s="5" t="n">
        <v>46133.4243055556</v>
      </c>
      <c r="R111" s="5" t="n">
        <v>46134.7368055556</v>
      </c>
      <c r="S111" s="3" t="s">
        <v>37</v>
      </c>
      <c r="T111" s="7" t="n">
        <f aca="false">ROUND(MIN(IF(OR(O111=TRUE(),O111="TRUE",O111="Yes"),59,100),(I111*Rubric!$C$2+J111*Rubric!$C$3+K111*Rubric!$C$4+L111*Rubric!$C$5+M111*Rubric!$C$6+N111*Rubric!$C$7)/5),1)</f>
        <v>87</v>
      </c>
      <c r="U111" s="8" t="str">
        <f aca="false">LOOKUP(T111,Bands!$A$2:$A$6,Bands!$B$2:$B$6)</f>
        <v>Solid Performance</v>
      </c>
      <c r="V111" s="8" t="n">
        <f aca="false">IF(Q111="","",ROUND((Q111-B111)*24,1))</f>
        <v>168</v>
      </c>
    </row>
    <row r="112" customFormat="false" ht="15" hidden="false" customHeight="false" outlineLevel="0" collapsed="false">
      <c r="A112" s="3" t="s">
        <v>347</v>
      </c>
      <c r="B112" s="5" t="n">
        <v>46126.6451388889</v>
      </c>
      <c r="C112" s="3" t="s">
        <v>68</v>
      </c>
      <c r="D112" s="3" t="s">
        <v>145</v>
      </c>
      <c r="E112" s="3" t="s">
        <v>146</v>
      </c>
      <c r="F112" s="3" t="s">
        <v>33</v>
      </c>
      <c r="G112" s="3" t="s">
        <v>34</v>
      </c>
      <c r="H112" s="3" t="s">
        <v>348</v>
      </c>
      <c r="I112" s="3" t="n">
        <v>5</v>
      </c>
      <c r="J112" s="3" t="n">
        <v>1</v>
      </c>
      <c r="K112" s="3" t="n">
        <v>4</v>
      </c>
      <c r="L112" s="3" t="n">
        <v>3</v>
      </c>
      <c r="M112" s="3" t="n">
        <v>4</v>
      </c>
      <c r="N112" s="3" t="n">
        <v>5</v>
      </c>
      <c r="O112" s="6" t="b">
        <f aca="false">FALSE()</f>
        <v>0</v>
      </c>
      <c r="P112" s="3" t="s">
        <v>56</v>
      </c>
      <c r="Q112" s="5" t="n">
        <v>46132.6451388889</v>
      </c>
      <c r="R112" s="5" t="n">
        <v>46132.7090277778</v>
      </c>
      <c r="S112" s="3" t="s">
        <v>37</v>
      </c>
      <c r="T112" s="7" t="n">
        <f aca="false">ROUND(MIN(IF(OR(O112=TRUE(),O112="TRUE",O112="Yes"),59,100),(I112*Rubric!$C$2+J112*Rubric!$C$3+K112*Rubric!$C$4+L112*Rubric!$C$5+M112*Rubric!$C$6+N112*Rubric!$C$7)/5),1)</f>
        <v>68</v>
      </c>
      <c r="U112" s="8" t="str">
        <f aca="false">LOOKUP(T112,Bands!$A$2:$A$6,Bands!$B$2:$B$6)</f>
        <v>Needs Improvement</v>
      </c>
      <c r="V112" s="8" t="n">
        <f aca="false">IF(Q112="","",ROUND((Q112-B112)*24,1))</f>
        <v>144</v>
      </c>
    </row>
    <row r="113" customFormat="false" ht="15" hidden="false" customHeight="false" outlineLevel="0" collapsed="false">
      <c r="A113" s="3" t="s">
        <v>349</v>
      </c>
      <c r="B113" s="5" t="n">
        <v>46126.3902777778</v>
      </c>
      <c r="C113" s="3" t="s">
        <v>39</v>
      </c>
      <c r="D113" s="3" t="s">
        <v>198</v>
      </c>
      <c r="E113" s="3" t="s">
        <v>199</v>
      </c>
      <c r="F113" s="3" t="s">
        <v>33</v>
      </c>
      <c r="G113" s="3" t="s">
        <v>42</v>
      </c>
      <c r="H113" s="3" t="s">
        <v>350</v>
      </c>
      <c r="I113" s="3" t="n">
        <v>5</v>
      </c>
      <c r="J113" s="3" t="n">
        <v>1</v>
      </c>
      <c r="K113" s="3" t="n">
        <v>3</v>
      </c>
      <c r="L113" s="3" t="n">
        <v>4</v>
      </c>
      <c r="M113" s="3" t="n">
        <v>4</v>
      </c>
      <c r="N113" s="3" t="n">
        <v>4</v>
      </c>
      <c r="O113" s="6" t="b">
        <f aca="false">FALSE()</f>
        <v>0</v>
      </c>
      <c r="P113" s="3" t="s">
        <v>56</v>
      </c>
      <c r="Q113" s="5" t="n">
        <v>46129.3902777778</v>
      </c>
      <c r="R113" s="5" t="n">
        <v>46129.5243055556</v>
      </c>
      <c r="S113" s="3" t="s">
        <v>37</v>
      </c>
      <c r="T113" s="7" t="n">
        <f aca="false">ROUND(MIN(IF(OR(O113=TRUE(),O113="TRUE",O113="Yes"),59,100),(I113*Rubric!$C$2+J113*Rubric!$C$3+K113*Rubric!$C$4+L113*Rubric!$C$5+M113*Rubric!$C$6+N113*Rubric!$C$7)/5),1)</f>
        <v>64</v>
      </c>
      <c r="U113" s="8" t="str">
        <f aca="false">LOOKUP(T113,Bands!$A$2:$A$6,Bands!$B$2:$B$6)</f>
        <v>Needs Improvement</v>
      </c>
      <c r="V113" s="8" t="n">
        <f aca="false">IF(Q113="","",ROUND((Q113-B113)*24,1))</f>
        <v>72</v>
      </c>
    </row>
    <row r="114" customFormat="false" ht="15" hidden="false" customHeight="false" outlineLevel="0" collapsed="false">
      <c r="A114" s="3" t="s">
        <v>351</v>
      </c>
      <c r="B114" s="5" t="n">
        <v>46126.5951388889</v>
      </c>
      <c r="C114" s="3" t="s">
        <v>30</v>
      </c>
      <c r="D114" s="3" t="s">
        <v>125</v>
      </c>
      <c r="E114" s="3" t="s">
        <v>126</v>
      </c>
      <c r="F114" s="3" t="s">
        <v>53</v>
      </c>
      <c r="G114" s="3" t="s">
        <v>34</v>
      </c>
      <c r="H114" s="3" t="s">
        <v>352</v>
      </c>
      <c r="I114" s="3" t="n">
        <v>5</v>
      </c>
      <c r="J114" s="3" t="n">
        <v>5</v>
      </c>
      <c r="K114" s="3" t="n">
        <v>4</v>
      </c>
      <c r="L114" s="3" t="n">
        <v>3</v>
      </c>
      <c r="M114" s="3" t="n">
        <v>5</v>
      </c>
      <c r="N114" s="3" t="n">
        <v>4</v>
      </c>
      <c r="O114" s="6" t="b">
        <f aca="false">FALSE()</f>
        <v>0</v>
      </c>
      <c r="P114" s="3"/>
      <c r="Q114" s="5" t="n">
        <v>46133.5951388889</v>
      </c>
      <c r="R114" s="5" t="n">
        <v>46133.7222222222</v>
      </c>
      <c r="S114" s="3" t="s">
        <v>37</v>
      </c>
      <c r="T114" s="7" t="n">
        <f aca="false">ROUND(MIN(IF(OR(O114=TRUE(),O114="TRUE",O114="Yes"),59,100),(I114*Rubric!$C$2+J114*Rubric!$C$3+K114*Rubric!$C$4+L114*Rubric!$C$5+M114*Rubric!$C$6+N114*Rubric!$C$7)/5),1)</f>
        <v>87</v>
      </c>
      <c r="U114" s="8" t="str">
        <f aca="false">LOOKUP(T114,Bands!$A$2:$A$6,Bands!$B$2:$B$6)</f>
        <v>Solid Performance</v>
      </c>
      <c r="V114" s="8" t="n">
        <f aca="false">IF(Q114="","",ROUND((Q114-B114)*24,1))</f>
        <v>168</v>
      </c>
    </row>
    <row r="115" customFormat="false" ht="15" hidden="false" customHeight="false" outlineLevel="0" collapsed="false">
      <c r="A115" s="3" t="s">
        <v>353</v>
      </c>
      <c r="B115" s="5" t="n">
        <v>46126.4361111111</v>
      </c>
      <c r="C115" s="3" t="s">
        <v>39</v>
      </c>
      <c r="D115" s="3" t="s">
        <v>161</v>
      </c>
      <c r="E115" s="3" t="s">
        <v>162</v>
      </c>
      <c r="F115" s="3" t="s">
        <v>33</v>
      </c>
      <c r="G115" s="3" t="s">
        <v>42</v>
      </c>
      <c r="H115" s="3" t="s">
        <v>354</v>
      </c>
      <c r="I115" s="3" t="n">
        <v>4</v>
      </c>
      <c r="J115" s="3" t="n">
        <v>5</v>
      </c>
      <c r="K115" s="3" t="n">
        <v>4</v>
      </c>
      <c r="L115" s="3" t="n">
        <v>4</v>
      </c>
      <c r="M115" s="3" t="n">
        <v>2</v>
      </c>
      <c r="N115" s="3" t="n">
        <v>4</v>
      </c>
      <c r="O115" s="6" t="b">
        <f aca="false">FALSE()</f>
        <v>0</v>
      </c>
      <c r="P115" s="3" t="s">
        <v>103</v>
      </c>
      <c r="Q115" s="5" t="n">
        <v>46130.4361111111</v>
      </c>
      <c r="R115" s="5" t="n">
        <v>46132.9798611111</v>
      </c>
      <c r="S115" s="3" t="s">
        <v>37</v>
      </c>
      <c r="T115" s="7" t="n">
        <f aca="false">ROUND(MIN(IF(OR(O115=TRUE(),O115="TRUE",O115="Yes"),59,100),(I115*Rubric!$C$2+J115*Rubric!$C$3+K115*Rubric!$C$4+L115*Rubric!$C$5+M115*Rubric!$C$6+N115*Rubric!$C$7)/5),1)</f>
        <v>81</v>
      </c>
      <c r="U115" s="8" t="str">
        <f aca="false">LOOKUP(T115,Bands!$A$2:$A$6,Bands!$B$2:$B$6)</f>
        <v>Solid Performance</v>
      </c>
      <c r="V115" s="8" t="n">
        <f aca="false">IF(Q115="","",ROUND((Q115-B115)*24,1))</f>
        <v>96</v>
      </c>
    </row>
    <row r="116" customFormat="false" ht="15" hidden="false" customHeight="false" outlineLevel="0" collapsed="false">
      <c r="A116" s="3" t="s">
        <v>355</v>
      </c>
      <c r="B116" s="5" t="n">
        <v>46126.4833333333</v>
      </c>
      <c r="C116" s="3" t="s">
        <v>68</v>
      </c>
      <c r="D116" s="3" t="s">
        <v>105</v>
      </c>
      <c r="E116" s="3" t="s">
        <v>106</v>
      </c>
      <c r="F116" s="3" t="s">
        <v>65</v>
      </c>
      <c r="G116" s="3" t="s">
        <v>42</v>
      </c>
      <c r="H116" s="3" t="s">
        <v>356</v>
      </c>
      <c r="I116" s="3" t="n">
        <v>4</v>
      </c>
      <c r="J116" s="3" t="n">
        <v>4</v>
      </c>
      <c r="K116" s="3" t="n">
        <v>4</v>
      </c>
      <c r="L116" s="3" t="n">
        <v>4</v>
      </c>
      <c r="M116" s="3" t="n">
        <v>5</v>
      </c>
      <c r="N116" s="3" t="n">
        <v>4</v>
      </c>
      <c r="O116" s="6" t="b">
        <f aca="false">FALSE()</f>
        <v>0</v>
      </c>
      <c r="P116" s="3"/>
      <c r="Q116" s="5" t="n">
        <v>46130.4833333333</v>
      </c>
      <c r="R116" s="5" t="n">
        <v>46131.6145833333</v>
      </c>
      <c r="S116" s="3" t="s">
        <v>37</v>
      </c>
      <c r="T116" s="7" t="n">
        <f aca="false">ROUND(MIN(IF(OR(O116=TRUE(),O116="TRUE",O116="Yes"),59,100),(I116*Rubric!$C$2+J116*Rubric!$C$3+K116*Rubric!$C$4+L116*Rubric!$C$5+M116*Rubric!$C$6+N116*Rubric!$C$7)/5),1)</f>
        <v>82</v>
      </c>
      <c r="U116" s="8" t="str">
        <f aca="false">LOOKUP(T116,Bands!$A$2:$A$6,Bands!$B$2:$B$6)</f>
        <v>Solid Performance</v>
      </c>
      <c r="V116" s="8" t="n">
        <f aca="false">IF(Q116="","",ROUND((Q116-B116)*24,1))</f>
        <v>96</v>
      </c>
    </row>
    <row r="117" customFormat="false" ht="15" hidden="false" customHeight="false" outlineLevel="0" collapsed="false">
      <c r="A117" s="3" t="s">
        <v>357</v>
      </c>
      <c r="B117" s="5" t="n">
        <v>46126.4645833333</v>
      </c>
      <c r="C117" s="3" t="s">
        <v>68</v>
      </c>
      <c r="D117" s="3" t="s">
        <v>85</v>
      </c>
      <c r="E117" s="3" t="s">
        <v>86</v>
      </c>
      <c r="F117" s="3" t="s">
        <v>33</v>
      </c>
      <c r="G117" s="3" t="s">
        <v>54</v>
      </c>
      <c r="H117" s="3" t="s">
        <v>358</v>
      </c>
      <c r="I117" s="3" t="n">
        <v>1</v>
      </c>
      <c r="J117" s="3" t="n">
        <v>4</v>
      </c>
      <c r="K117" s="3" t="n">
        <v>3</v>
      </c>
      <c r="L117" s="3" t="n">
        <v>4</v>
      </c>
      <c r="M117" s="3" t="n">
        <v>4</v>
      </c>
      <c r="N117" s="3" t="n">
        <v>4</v>
      </c>
      <c r="O117" s="6" t="b">
        <f aca="false">FALSE()</f>
        <v>0</v>
      </c>
      <c r="P117" s="3" t="s">
        <v>88</v>
      </c>
      <c r="Q117" s="5" t="n">
        <v>46133.4645833333</v>
      </c>
      <c r="R117" s="5" t="n">
        <v>46137.6993055556</v>
      </c>
      <c r="S117" s="3" t="s">
        <v>37</v>
      </c>
      <c r="T117" s="7" t="n">
        <f aca="false">ROUND(MIN(IF(OR(O117=TRUE(),O117="TRUE",O117="Yes"),59,100),(I117*Rubric!$C$2+J117*Rubric!$C$3+K117*Rubric!$C$4+L117*Rubric!$C$5+M117*Rubric!$C$6+N117*Rubric!$C$7)/5),1)</f>
        <v>67</v>
      </c>
      <c r="U117" s="8" t="str">
        <f aca="false">LOOKUP(T117,Bands!$A$2:$A$6,Bands!$B$2:$B$6)</f>
        <v>Needs Improvement</v>
      </c>
      <c r="V117" s="8" t="n">
        <f aca="false">IF(Q117="","",ROUND((Q117-B117)*24,1))</f>
        <v>168</v>
      </c>
    </row>
    <row r="118" customFormat="false" ht="15" hidden="false" customHeight="false" outlineLevel="0" collapsed="false">
      <c r="A118" s="3" t="s">
        <v>359</v>
      </c>
      <c r="B118" s="5" t="n">
        <v>46126.6694444444</v>
      </c>
      <c r="C118" s="3" t="s">
        <v>39</v>
      </c>
      <c r="D118" s="3" t="s">
        <v>96</v>
      </c>
      <c r="E118" s="3" t="s">
        <v>97</v>
      </c>
      <c r="F118" s="3" t="s">
        <v>33</v>
      </c>
      <c r="G118" s="3" t="s">
        <v>42</v>
      </c>
      <c r="H118" s="3" t="s">
        <v>360</v>
      </c>
      <c r="I118" s="3" t="n">
        <v>4</v>
      </c>
      <c r="J118" s="3" t="n">
        <v>3</v>
      </c>
      <c r="K118" s="3" t="n">
        <v>5</v>
      </c>
      <c r="L118" s="3" t="n">
        <v>5</v>
      </c>
      <c r="M118" s="3" t="n">
        <v>5</v>
      </c>
      <c r="N118" s="3" t="n">
        <v>5</v>
      </c>
      <c r="O118" s="6" t="b">
        <f aca="false">FALSE()</f>
        <v>0</v>
      </c>
      <c r="P118" s="3"/>
      <c r="Q118" s="5" t="n">
        <v>46129.6694444444</v>
      </c>
      <c r="R118" s="5" t="n">
        <v>46130.0243055556</v>
      </c>
      <c r="S118" s="3" t="s">
        <v>37</v>
      </c>
      <c r="T118" s="7" t="n">
        <f aca="false">ROUND(MIN(IF(OR(O118=TRUE(),O118="TRUE",O118="Yes"),59,100),(I118*Rubric!$C$2+J118*Rubric!$C$3+K118*Rubric!$C$4+L118*Rubric!$C$5+M118*Rubric!$C$6+N118*Rubric!$C$7)/5),1)</f>
        <v>87</v>
      </c>
      <c r="U118" s="8" t="str">
        <f aca="false">LOOKUP(T118,Bands!$A$2:$A$6,Bands!$B$2:$B$6)</f>
        <v>Solid Performance</v>
      </c>
      <c r="V118" s="8" t="n">
        <f aca="false">IF(Q118="","",ROUND((Q118-B118)*24,1))</f>
        <v>72</v>
      </c>
    </row>
    <row r="119" customFormat="false" ht="15" hidden="false" customHeight="false" outlineLevel="0" collapsed="false">
      <c r="A119" s="3" t="s">
        <v>361</v>
      </c>
      <c r="B119" s="5" t="n">
        <v>46126.4604166667</v>
      </c>
      <c r="C119" s="3" t="s">
        <v>30</v>
      </c>
      <c r="D119" s="3" t="s">
        <v>238</v>
      </c>
      <c r="E119" s="3" t="s">
        <v>239</v>
      </c>
      <c r="F119" s="3" t="s">
        <v>33</v>
      </c>
      <c r="G119" s="3" t="s">
        <v>54</v>
      </c>
      <c r="H119" s="3" t="s">
        <v>362</v>
      </c>
      <c r="I119" s="3" t="n">
        <v>4</v>
      </c>
      <c r="J119" s="3" t="n">
        <v>4</v>
      </c>
      <c r="K119" s="3" t="n">
        <v>4</v>
      </c>
      <c r="L119" s="3" t="n">
        <v>5</v>
      </c>
      <c r="M119" s="3" t="n">
        <v>2</v>
      </c>
      <c r="N119" s="3" t="n">
        <v>5</v>
      </c>
      <c r="O119" s="6" t="b">
        <f aca="false">FALSE()</f>
        <v>0</v>
      </c>
      <c r="P119" s="3" t="s">
        <v>103</v>
      </c>
      <c r="Q119" s="5" t="n">
        <v>46131.4604166667</v>
      </c>
      <c r="R119" s="5" t="n">
        <v>46132.9041666667</v>
      </c>
      <c r="S119" s="3" t="s">
        <v>37</v>
      </c>
      <c r="T119" s="7" t="n">
        <f aca="false">ROUND(MIN(IF(OR(O119=TRUE(),O119="TRUE",O119="Yes"),59,100),(I119*Rubric!$C$2+J119*Rubric!$C$3+K119*Rubric!$C$4+L119*Rubric!$C$5+M119*Rubric!$C$6+N119*Rubric!$C$7)/5),1)</f>
        <v>82</v>
      </c>
      <c r="U119" s="8" t="str">
        <f aca="false">LOOKUP(T119,Bands!$A$2:$A$6,Bands!$B$2:$B$6)</f>
        <v>Solid Performance</v>
      </c>
      <c r="V119" s="8" t="n">
        <f aca="false">IF(Q119="","",ROUND((Q119-B119)*24,1))</f>
        <v>120</v>
      </c>
    </row>
    <row r="120" customFormat="false" ht="15" hidden="false" customHeight="false" outlineLevel="0" collapsed="false">
      <c r="A120" s="3" t="s">
        <v>363</v>
      </c>
      <c r="B120" s="5" t="n">
        <v>46126.6819444444</v>
      </c>
      <c r="C120" s="3" t="s">
        <v>39</v>
      </c>
      <c r="D120" s="3" t="s">
        <v>212</v>
      </c>
      <c r="E120" s="3" t="s">
        <v>213</v>
      </c>
      <c r="F120" s="3" t="s">
        <v>33</v>
      </c>
      <c r="G120" s="3" t="s">
        <v>42</v>
      </c>
      <c r="H120" s="3" t="s">
        <v>364</v>
      </c>
      <c r="I120" s="3" t="n">
        <v>4</v>
      </c>
      <c r="J120" s="3" t="n">
        <v>3</v>
      </c>
      <c r="K120" s="3" t="n">
        <v>3</v>
      </c>
      <c r="L120" s="3" t="n">
        <v>2</v>
      </c>
      <c r="M120" s="3" t="n">
        <v>3</v>
      </c>
      <c r="N120" s="3" t="n">
        <v>4</v>
      </c>
      <c r="O120" s="6" t="b">
        <f aca="false">FALSE()</f>
        <v>0</v>
      </c>
      <c r="P120" s="3" t="s">
        <v>44</v>
      </c>
      <c r="Q120" s="5" t="n">
        <v>46129.6819444444</v>
      </c>
      <c r="R120" s="5" t="n">
        <v>46129.8555555556</v>
      </c>
      <c r="S120" s="3" t="s">
        <v>37</v>
      </c>
      <c r="T120" s="7" t="n">
        <f aca="false">ROUND(MIN(IF(OR(O120=TRUE(),O120="TRUE",O120="Yes"),59,100),(I120*Rubric!$C$2+J120*Rubric!$C$3+K120*Rubric!$C$4+L120*Rubric!$C$5+M120*Rubric!$C$6+N120*Rubric!$C$7)/5),1)</f>
        <v>63</v>
      </c>
      <c r="U120" s="8" t="str">
        <f aca="false">LOOKUP(T120,Bands!$A$2:$A$6,Bands!$B$2:$B$6)</f>
        <v>Needs Improvement</v>
      </c>
      <c r="V120" s="8" t="n">
        <f aca="false">IF(Q120="","",ROUND((Q120-B120)*24,1))</f>
        <v>72</v>
      </c>
    </row>
    <row r="121" customFormat="false" ht="15" hidden="false" customHeight="false" outlineLevel="0" collapsed="false">
      <c r="A121" s="3" t="s">
        <v>365</v>
      </c>
      <c r="B121" s="5" t="n">
        <v>46126.6770833333</v>
      </c>
      <c r="C121" s="3" t="s">
        <v>30</v>
      </c>
      <c r="D121" s="3" t="s">
        <v>366</v>
      </c>
      <c r="E121" s="3" t="s">
        <v>367</v>
      </c>
      <c r="F121" s="3" t="s">
        <v>53</v>
      </c>
      <c r="G121" s="3" t="s">
        <v>54</v>
      </c>
      <c r="H121" s="3" t="s">
        <v>368</v>
      </c>
      <c r="I121" s="3" t="n">
        <v>4</v>
      </c>
      <c r="J121" s="3" t="n">
        <v>3</v>
      </c>
      <c r="K121" s="3" t="n">
        <v>3</v>
      </c>
      <c r="L121" s="3" t="n">
        <v>4</v>
      </c>
      <c r="M121" s="3" t="n">
        <v>4</v>
      </c>
      <c r="N121" s="3" t="n">
        <v>4</v>
      </c>
      <c r="O121" s="6" t="b">
        <f aca="false">FALSE()</f>
        <v>0</v>
      </c>
      <c r="P121" s="3"/>
      <c r="Q121" s="5" t="n">
        <v>46131.6770833333</v>
      </c>
      <c r="R121" s="5" t="n">
        <v>46132.08125</v>
      </c>
      <c r="S121" s="3" t="s">
        <v>37</v>
      </c>
      <c r="T121" s="7" t="n">
        <f aca="false">ROUND(MIN(IF(OR(O121=TRUE(),O121="TRUE",O121="Yes"),59,100),(I121*Rubric!$C$2+J121*Rubric!$C$3+K121*Rubric!$C$4+L121*Rubric!$C$5+M121*Rubric!$C$6+N121*Rubric!$C$7)/5),1)</f>
        <v>71</v>
      </c>
      <c r="U121" s="8" t="str">
        <f aca="false">LOOKUP(T121,Bands!$A$2:$A$6,Bands!$B$2:$B$6)</f>
        <v>Meets Expectations</v>
      </c>
      <c r="V121" s="8" t="n">
        <f aca="false">IF(Q121="","",ROUND((Q121-B121)*24,1))</f>
        <v>120</v>
      </c>
    </row>
    <row r="122" customFormat="false" ht="15" hidden="false" customHeight="false" outlineLevel="0" collapsed="false">
      <c r="A122" s="3" t="s">
        <v>369</v>
      </c>
      <c r="B122" s="5" t="n">
        <v>46127.6520833333</v>
      </c>
      <c r="C122" s="3" t="s">
        <v>39</v>
      </c>
      <c r="D122" s="3" t="s">
        <v>202</v>
      </c>
      <c r="E122" s="3" t="s">
        <v>203</v>
      </c>
      <c r="F122" s="3" t="s">
        <v>53</v>
      </c>
      <c r="G122" s="3" t="s">
        <v>54</v>
      </c>
      <c r="H122" s="3" t="s">
        <v>370</v>
      </c>
      <c r="I122" s="3" t="n">
        <v>5</v>
      </c>
      <c r="J122" s="3" t="n">
        <v>2</v>
      </c>
      <c r="K122" s="3" t="n">
        <v>4</v>
      </c>
      <c r="L122" s="3" t="n">
        <v>3</v>
      </c>
      <c r="M122" s="3" t="n">
        <v>2</v>
      </c>
      <c r="N122" s="3" t="n">
        <v>4</v>
      </c>
      <c r="O122" s="6" t="b">
        <f aca="false">FALSE()</f>
        <v>0</v>
      </c>
      <c r="P122" s="3" t="s">
        <v>371</v>
      </c>
      <c r="Q122" s="5" t="n">
        <v>46131.6520833333</v>
      </c>
      <c r="R122" s="5" t="n">
        <v>46132.3326388889</v>
      </c>
      <c r="S122" s="3" t="s">
        <v>37</v>
      </c>
      <c r="T122" s="7" t="n">
        <f aca="false">ROUND(MIN(IF(OR(O122=TRUE(),O122="TRUE",O122="Yes"),59,100),(I122*Rubric!$C$2+J122*Rubric!$C$3+K122*Rubric!$C$4+L122*Rubric!$C$5+M122*Rubric!$C$6+N122*Rubric!$C$7)/5),1)</f>
        <v>66</v>
      </c>
      <c r="U122" s="8" t="str">
        <f aca="false">LOOKUP(T122,Bands!$A$2:$A$6,Bands!$B$2:$B$6)</f>
        <v>Needs Improvement</v>
      </c>
      <c r="V122" s="8" t="n">
        <f aca="false">IF(Q122="","",ROUND((Q122-B122)*24,1))</f>
        <v>96</v>
      </c>
    </row>
    <row r="123" customFormat="false" ht="15" hidden="false" customHeight="false" outlineLevel="0" collapsed="false">
      <c r="A123" s="3" t="s">
        <v>372</v>
      </c>
      <c r="B123" s="5" t="n">
        <v>46127.4270833333</v>
      </c>
      <c r="C123" s="3" t="s">
        <v>30</v>
      </c>
      <c r="D123" s="3" t="s">
        <v>115</v>
      </c>
      <c r="E123" s="3" t="s">
        <v>116</v>
      </c>
      <c r="F123" s="3" t="s">
        <v>33</v>
      </c>
      <c r="G123" s="3" t="s">
        <v>54</v>
      </c>
      <c r="H123" s="3" t="s">
        <v>373</v>
      </c>
      <c r="I123" s="3" t="n">
        <v>5</v>
      </c>
      <c r="J123" s="3" t="n">
        <v>5</v>
      </c>
      <c r="K123" s="3" t="n">
        <v>4</v>
      </c>
      <c r="L123" s="3" t="n">
        <v>3</v>
      </c>
      <c r="M123" s="3" t="n">
        <v>4</v>
      </c>
      <c r="N123" s="3" t="n">
        <v>4</v>
      </c>
      <c r="O123" s="6" t="b">
        <f aca="false">FALSE()</f>
        <v>0</v>
      </c>
      <c r="P123" s="3"/>
      <c r="Q123" s="5" t="n">
        <v>46130.4270833333</v>
      </c>
      <c r="R123" s="5" t="n">
        <v>46131.1270833333</v>
      </c>
      <c r="S123" s="3" t="s">
        <v>37</v>
      </c>
      <c r="T123" s="7" t="n">
        <f aca="false">ROUND(MIN(IF(OR(O123=TRUE(),O123="TRUE",O123="Yes"),59,100),(I123*Rubric!$C$2+J123*Rubric!$C$3+K123*Rubric!$C$4+L123*Rubric!$C$5+M123*Rubric!$C$6+N123*Rubric!$C$7)/5),1)</f>
        <v>85</v>
      </c>
      <c r="U123" s="8" t="str">
        <f aca="false">LOOKUP(T123,Bands!$A$2:$A$6,Bands!$B$2:$B$6)</f>
        <v>Solid Performance</v>
      </c>
      <c r="V123" s="8" t="n">
        <f aca="false">IF(Q123="","",ROUND((Q123-B123)*24,1))</f>
        <v>72</v>
      </c>
    </row>
    <row r="124" customFormat="false" ht="15" hidden="false" customHeight="false" outlineLevel="0" collapsed="false">
      <c r="A124" s="3" t="s">
        <v>374</v>
      </c>
      <c r="B124" s="5" t="n">
        <v>46127.4729166667</v>
      </c>
      <c r="C124" s="3" t="s">
        <v>39</v>
      </c>
      <c r="D124" s="3" t="s">
        <v>366</v>
      </c>
      <c r="E124" s="3" t="s">
        <v>367</v>
      </c>
      <c r="F124" s="3" t="s">
        <v>53</v>
      </c>
      <c r="G124" s="3" t="s">
        <v>54</v>
      </c>
      <c r="H124" s="3" t="s">
        <v>375</v>
      </c>
      <c r="I124" s="3" t="n">
        <v>4</v>
      </c>
      <c r="J124" s="3" t="n">
        <v>4</v>
      </c>
      <c r="K124" s="3" t="n">
        <v>2</v>
      </c>
      <c r="L124" s="3" t="n">
        <v>5</v>
      </c>
      <c r="M124" s="3" t="n">
        <v>3</v>
      </c>
      <c r="N124" s="3" t="n">
        <v>4</v>
      </c>
      <c r="O124" s="6" t="b">
        <f aca="false">FALSE()</f>
        <v>0</v>
      </c>
      <c r="P124" s="3" t="s">
        <v>49</v>
      </c>
      <c r="Q124" s="5" t="n">
        <v>46130.4729166667</v>
      </c>
      <c r="R124" s="5" t="n">
        <v>46132.7819444445</v>
      </c>
      <c r="S124" s="3" t="s">
        <v>37</v>
      </c>
      <c r="T124" s="7" t="n">
        <f aca="false">ROUND(MIN(IF(OR(O124=TRUE(),O124="TRUE",O124="Yes"),59,100),(I124*Rubric!$C$2+J124*Rubric!$C$3+K124*Rubric!$C$4+L124*Rubric!$C$5+M124*Rubric!$C$6+N124*Rubric!$C$7)/5),1)</f>
        <v>73</v>
      </c>
      <c r="U124" s="8" t="str">
        <f aca="false">LOOKUP(T124,Bands!$A$2:$A$6,Bands!$B$2:$B$6)</f>
        <v>Meets Expectations</v>
      </c>
      <c r="V124" s="8" t="n">
        <f aca="false">IF(Q124="","",ROUND((Q124-B124)*24,1))</f>
        <v>72</v>
      </c>
    </row>
    <row r="125" customFormat="false" ht="15" hidden="false" customHeight="false" outlineLevel="0" collapsed="false">
      <c r="A125" s="3" t="s">
        <v>376</v>
      </c>
      <c r="B125" s="5" t="n">
        <v>46127.6708333333</v>
      </c>
      <c r="C125" s="3" t="s">
        <v>30</v>
      </c>
      <c r="D125" s="3" t="s">
        <v>119</v>
      </c>
      <c r="E125" s="3" t="s">
        <v>120</v>
      </c>
      <c r="F125" s="3" t="s">
        <v>33</v>
      </c>
      <c r="G125" s="3" t="s">
        <v>42</v>
      </c>
      <c r="H125" s="3" t="s">
        <v>377</v>
      </c>
      <c r="I125" s="3" t="n">
        <v>4</v>
      </c>
      <c r="J125" s="3" t="n">
        <v>4</v>
      </c>
      <c r="K125" s="3" t="n">
        <v>4</v>
      </c>
      <c r="L125" s="3" t="n">
        <v>3</v>
      </c>
      <c r="M125" s="3" t="n">
        <v>4</v>
      </c>
      <c r="N125" s="3" t="n">
        <v>2</v>
      </c>
      <c r="O125" s="6" t="b">
        <f aca="false">FALSE()</f>
        <v>0</v>
      </c>
      <c r="P125" s="3" t="s">
        <v>36</v>
      </c>
      <c r="Q125" s="5" t="n">
        <v>46133.6708333333</v>
      </c>
      <c r="R125" s="5" t="n">
        <v>46135.5034722222</v>
      </c>
      <c r="S125" s="3" t="s">
        <v>37</v>
      </c>
      <c r="T125" s="7" t="n">
        <f aca="false">ROUND(MIN(IF(OR(O125=TRUE(),O125="TRUE",O125="Yes"),59,100),(I125*Rubric!$C$2+J125*Rubric!$C$3+K125*Rubric!$C$4+L125*Rubric!$C$5+M125*Rubric!$C$6+N125*Rubric!$C$7)/5),1)</f>
        <v>71</v>
      </c>
      <c r="U125" s="8" t="str">
        <f aca="false">LOOKUP(T125,Bands!$A$2:$A$6,Bands!$B$2:$B$6)</f>
        <v>Meets Expectations</v>
      </c>
      <c r="V125" s="8" t="n">
        <f aca="false">IF(Q125="","",ROUND((Q125-B125)*24,1))</f>
        <v>144</v>
      </c>
    </row>
    <row r="126" customFormat="false" ht="15" hidden="false" customHeight="false" outlineLevel="0" collapsed="false">
      <c r="A126" s="3" t="s">
        <v>378</v>
      </c>
      <c r="B126" s="5" t="n">
        <v>46127.45</v>
      </c>
      <c r="C126" s="3" t="s">
        <v>39</v>
      </c>
      <c r="D126" s="3" t="s">
        <v>151</v>
      </c>
      <c r="E126" s="3" t="s">
        <v>152</v>
      </c>
      <c r="F126" s="3" t="s">
        <v>33</v>
      </c>
      <c r="G126" s="3" t="s">
        <v>42</v>
      </c>
      <c r="H126" s="3" t="s">
        <v>379</v>
      </c>
      <c r="I126" s="3" t="n">
        <v>4</v>
      </c>
      <c r="J126" s="3" t="n">
        <v>2</v>
      </c>
      <c r="K126" s="3" t="n">
        <v>5</v>
      </c>
      <c r="L126" s="3" t="n">
        <v>5</v>
      </c>
      <c r="M126" s="3" t="n">
        <v>4</v>
      </c>
      <c r="N126" s="3" t="n">
        <v>4</v>
      </c>
      <c r="O126" s="6" t="b">
        <f aca="false">FALSE()</f>
        <v>0</v>
      </c>
      <c r="P126" s="3" t="s">
        <v>56</v>
      </c>
      <c r="Q126" s="5" t="n">
        <v>46131.45</v>
      </c>
      <c r="R126" s="5" t="n">
        <v>46132.4986111111</v>
      </c>
      <c r="S126" s="3" t="s">
        <v>37</v>
      </c>
      <c r="T126" s="7" t="n">
        <f aca="false">ROUND(MIN(IF(OR(O126=TRUE(),O126="TRUE",O126="Yes"),59,100),(I126*Rubric!$C$2+J126*Rubric!$C$3+K126*Rubric!$C$4+L126*Rubric!$C$5+M126*Rubric!$C$6+N126*Rubric!$C$7)/5),1)</f>
        <v>77</v>
      </c>
      <c r="U126" s="8" t="str">
        <f aca="false">LOOKUP(T126,Bands!$A$2:$A$6,Bands!$B$2:$B$6)</f>
        <v>Meets Expectations</v>
      </c>
      <c r="V126" s="8" t="n">
        <f aca="false">IF(Q126="","",ROUND((Q126-B126)*24,1))</f>
        <v>96</v>
      </c>
    </row>
    <row r="127" customFormat="false" ht="15" hidden="false" customHeight="false" outlineLevel="0" collapsed="false">
      <c r="A127" s="3" t="s">
        <v>380</v>
      </c>
      <c r="B127" s="5" t="n">
        <v>46127.4347222222</v>
      </c>
      <c r="C127" s="3" t="s">
        <v>68</v>
      </c>
      <c r="D127" s="3" t="s">
        <v>259</v>
      </c>
      <c r="E127" s="3" t="s">
        <v>260</v>
      </c>
      <c r="F127" s="3" t="s">
        <v>33</v>
      </c>
      <c r="G127" s="3" t="s">
        <v>42</v>
      </c>
      <c r="H127" s="3" t="s">
        <v>381</v>
      </c>
      <c r="I127" s="3" t="n">
        <v>5</v>
      </c>
      <c r="J127" s="3" t="n">
        <v>5</v>
      </c>
      <c r="K127" s="3" t="n">
        <v>3</v>
      </c>
      <c r="L127" s="3" t="n">
        <v>5</v>
      </c>
      <c r="M127" s="3" t="n">
        <v>5</v>
      </c>
      <c r="N127" s="3" t="n">
        <v>5</v>
      </c>
      <c r="O127" s="6" t="b">
        <f aca="false">FALSE()</f>
        <v>0</v>
      </c>
      <c r="P127" s="3"/>
      <c r="Q127" s="5" t="n">
        <v>46132.4347222222</v>
      </c>
      <c r="R127" s="5" t="n">
        <v>46134.7777777778</v>
      </c>
      <c r="S127" s="3" t="s">
        <v>37</v>
      </c>
      <c r="T127" s="7" t="n">
        <f aca="false">ROUND(MIN(IF(OR(O127=TRUE(),O127="TRUE",O127="Yes"),59,100),(I127*Rubric!$C$2+J127*Rubric!$C$3+K127*Rubric!$C$4+L127*Rubric!$C$5+M127*Rubric!$C$6+N127*Rubric!$C$7)/5),1)</f>
        <v>92</v>
      </c>
      <c r="U127" s="8" t="str">
        <f aca="false">LOOKUP(T127,Bands!$A$2:$A$6,Bands!$B$2:$B$6)</f>
        <v>Outstanding</v>
      </c>
      <c r="V127" s="8" t="n">
        <f aca="false">IF(Q127="","",ROUND((Q127-B127)*24,1))</f>
        <v>120</v>
      </c>
    </row>
    <row r="128" customFormat="false" ht="15" hidden="false" customHeight="false" outlineLevel="0" collapsed="false">
      <c r="A128" s="3" t="s">
        <v>382</v>
      </c>
      <c r="B128" s="5" t="n">
        <v>46127.5583333333</v>
      </c>
      <c r="C128" s="3" t="s">
        <v>30</v>
      </c>
      <c r="D128" s="3" t="s">
        <v>155</v>
      </c>
      <c r="E128" s="3" t="s">
        <v>156</v>
      </c>
      <c r="F128" s="3" t="s">
        <v>65</v>
      </c>
      <c r="G128" s="3" t="s">
        <v>42</v>
      </c>
      <c r="H128" s="3" t="s">
        <v>383</v>
      </c>
      <c r="I128" s="3" t="n">
        <v>3</v>
      </c>
      <c r="J128" s="3" t="n">
        <v>3</v>
      </c>
      <c r="K128" s="3" t="n">
        <v>5</v>
      </c>
      <c r="L128" s="3" t="n">
        <v>4</v>
      </c>
      <c r="M128" s="3" t="n">
        <v>4</v>
      </c>
      <c r="N128" s="3" t="n">
        <v>4</v>
      </c>
      <c r="O128" s="6" t="b">
        <f aca="false">FALSE()</f>
        <v>0</v>
      </c>
      <c r="P128" s="3"/>
      <c r="Q128" s="5" t="n">
        <v>46139.5583333333</v>
      </c>
      <c r="R128" s="5" t="n">
        <v>46140.3131944445</v>
      </c>
      <c r="S128" s="3" t="s">
        <v>37</v>
      </c>
      <c r="T128" s="7" t="n">
        <f aca="false">ROUND(MIN(IF(OR(O128=TRUE(),O128="TRUE",O128="Yes"),59,100),(I128*Rubric!$C$2+J128*Rubric!$C$3+K128*Rubric!$C$4+L128*Rubric!$C$5+M128*Rubric!$C$6+N128*Rubric!$C$7)/5),1)</f>
        <v>76</v>
      </c>
      <c r="U128" s="8" t="str">
        <f aca="false">LOOKUP(T128,Bands!$A$2:$A$6,Bands!$B$2:$B$6)</f>
        <v>Meets Expectations</v>
      </c>
      <c r="V128" s="8" t="n">
        <f aca="false">IF(Q128="","",ROUND((Q128-B128)*24,1))</f>
        <v>288</v>
      </c>
    </row>
    <row r="129" customFormat="false" ht="15" hidden="false" customHeight="false" outlineLevel="0" collapsed="false">
      <c r="A129" s="3" t="s">
        <v>384</v>
      </c>
      <c r="B129" s="5" t="n">
        <v>46127.6666666667</v>
      </c>
      <c r="C129" s="3" t="s">
        <v>30</v>
      </c>
      <c r="D129" s="3" t="s">
        <v>228</v>
      </c>
      <c r="E129" s="3" t="s">
        <v>229</v>
      </c>
      <c r="F129" s="3" t="s">
        <v>65</v>
      </c>
      <c r="G129" s="3" t="s">
        <v>54</v>
      </c>
      <c r="H129" s="3" t="s">
        <v>385</v>
      </c>
      <c r="I129" s="3" t="n">
        <v>3</v>
      </c>
      <c r="J129" s="3" t="n">
        <v>4</v>
      </c>
      <c r="K129" s="3" t="n">
        <v>3</v>
      </c>
      <c r="L129" s="3" t="n">
        <v>3</v>
      </c>
      <c r="M129" s="3" t="n">
        <v>4</v>
      </c>
      <c r="N129" s="3" t="n">
        <v>2</v>
      </c>
      <c r="O129" s="6" t="b">
        <f aca="false">FALSE()</f>
        <v>0</v>
      </c>
      <c r="P129" s="3" t="s">
        <v>36</v>
      </c>
      <c r="Q129" s="5" t="n">
        <v>46136.6666666667</v>
      </c>
      <c r="R129" s="5" t="n">
        <v>46136.7194444445</v>
      </c>
      <c r="S129" s="3" t="s">
        <v>37</v>
      </c>
      <c r="T129" s="7" t="n">
        <f aca="false">ROUND(MIN(IF(OR(O129=TRUE(),O129="TRUE",O129="Yes"),59,100),(I129*Rubric!$C$2+J129*Rubric!$C$3+K129*Rubric!$C$4+L129*Rubric!$C$5+M129*Rubric!$C$6+N129*Rubric!$C$7)/5),1)</f>
        <v>64</v>
      </c>
      <c r="U129" s="8" t="str">
        <f aca="false">LOOKUP(T129,Bands!$A$2:$A$6,Bands!$B$2:$B$6)</f>
        <v>Needs Improvement</v>
      </c>
      <c r="V129" s="8" t="n">
        <f aca="false">IF(Q129="","",ROUND((Q129-B129)*24,1))</f>
        <v>216</v>
      </c>
    </row>
    <row r="130" customFormat="false" ht="15" hidden="false" customHeight="false" outlineLevel="0" collapsed="false">
      <c r="A130" s="3" t="s">
        <v>386</v>
      </c>
      <c r="B130" s="5" t="n">
        <v>46127.5694444445</v>
      </c>
      <c r="C130" s="3" t="s">
        <v>30</v>
      </c>
      <c r="D130" s="3" t="s">
        <v>198</v>
      </c>
      <c r="E130" s="3" t="s">
        <v>199</v>
      </c>
      <c r="F130" s="3" t="s">
        <v>33</v>
      </c>
      <c r="G130" s="3" t="s">
        <v>54</v>
      </c>
      <c r="H130" s="3" t="s">
        <v>387</v>
      </c>
      <c r="I130" s="3" t="n">
        <v>4</v>
      </c>
      <c r="J130" s="3" t="n">
        <v>3</v>
      </c>
      <c r="K130" s="3" t="n">
        <v>4</v>
      </c>
      <c r="L130" s="3" t="n">
        <v>4</v>
      </c>
      <c r="M130" s="3" t="n">
        <v>3</v>
      </c>
      <c r="N130" s="3" t="n">
        <v>4</v>
      </c>
      <c r="O130" s="6" t="b">
        <f aca="false">FALSE()</f>
        <v>0</v>
      </c>
      <c r="P130" s="3"/>
      <c r="Q130" s="5" t="n">
        <v>46131.5694444445</v>
      </c>
      <c r="R130" s="5" t="n">
        <v>46137.6180555556</v>
      </c>
      <c r="S130" s="3" t="s">
        <v>37</v>
      </c>
      <c r="T130" s="7" t="n">
        <f aca="false">ROUND(MIN(IF(OR(O130=TRUE(),O130="TRUE",O130="Yes"),59,100),(I130*Rubric!$C$2+J130*Rubric!$C$3+K130*Rubric!$C$4+L130*Rubric!$C$5+M130*Rubric!$C$6+N130*Rubric!$C$7)/5),1)</f>
        <v>73</v>
      </c>
      <c r="U130" s="8" t="str">
        <f aca="false">LOOKUP(T130,Bands!$A$2:$A$6,Bands!$B$2:$B$6)</f>
        <v>Meets Expectations</v>
      </c>
      <c r="V130" s="8" t="n">
        <f aca="false">IF(Q130="","",ROUND((Q130-B130)*24,1))</f>
        <v>96</v>
      </c>
    </row>
    <row r="131" customFormat="false" ht="15" hidden="false" customHeight="false" outlineLevel="0" collapsed="false">
      <c r="A131" s="3" t="s">
        <v>388</v>
      </c>
      <c r="B131" s="5" t="n">
        <v>46127.4416666667</v>
      </c>
      <c r="C131" s="3" t="s">
        <v>68</v>
      </c>
      <c r="D131" s="3" t="s">
        <v>100</v>
      </c>
      <c r="E131" s="3" t="s">
        <v>101</v>
      </c>
      <c r="F131" s="3" t="s">
        <v>33</v>
      </c>
      <c r="G131" s="3" t="s">
        <v>54</v>
      </c>
      <c r="H131" s="3" t="s">
        <v>389</v>
      </c>
      <c r="I131" s="3" t="n">
        <v>4</v>
      </c>
      <c r="J131" s="3" t="n">
        <v>5</v>
      </c>
      <c r="K131" s="3" t="n">
        <v>5</v>
      </c>
      <c r="L131" s="3" t="n">
        <v>4</v>
      </c>
      <c r="M131" s="3" t="n">
        <v>3</v>
      </c>
      <c r="N131" s="3" t="n">
        <v>4</v>
      </c>
      <c r="O131" s="6" t="b">
        <f aca="false">FALSE()</f>
        <v>0</v>
      </c>
      <c r="P131" s="3"/>
      <c r="Q131" s="5" t="n">
        <v>46134.4416666667</v>
      </c>
      <c r="R131" s="5" t="n">
        <v>46134.9652777778</v>
      </c>
      <c r="S131" s="3" t="s">
        <v>37</v>
      </c>
      <c r="T131" s="7" t="n">
        <f aca="false">ROUND(MIN(IF(OR(O131=TRUE(),O131="TRUE",O131="Yes"),59,100),(I131*Rubric!$C$2+J131*Rubric!$C$3+K131*Rubric!$C$4+L131*Rubric!$C$5+M131*Rubric!$C$6+N131*Rubric!$C$7)/5),1)</f>
        <v>87</v>
      </c>
      <c r="U131" s="8" t="str">
        <f aca="false">LOOKUP(T131,Bands!$A$2:$A$6,Bands!$B$2:$B$6)</f>
        <v>Solid Performance</v>
      </c>
      <c r="V131" s="8" t="n">
        <f aca="false">IF(Q131="","",ROUND((Q131-B131)*24,1))</f>
        <v>168</v>
      </c>
    </row>
    <row r="132" customFormat="false" ht="15" hidden="false" customHeight="false" outlineLevel="0" collapsed="false">
      <c r="A132" s="3" t="s">
        <v>390</v>
      </c>
      <c r="B132" s="5" t="n">
        <v>46127.3965277778</v>
      </c>
      <c r="C132" s="3" t="s">
        <v>68</v>
      </c>
      <c r="D132" s="3" t="s">
        <v>133</v>
      </c>
      <c r="E132" s="3" t="s">
        <v>134</v>
      </c>
      <c r="F132" s="3" t="s">
        <v>33</v>
      </c>
      <c r="G132" s="3" t="s">
        <v>34</v>
      </c>
      <c r="H132" s="3" t="s">
        <v>391</v>
      </c>
      <c r="I132" s="3" t="n">
        <v>5</v>
      </c>
      <c r="J132" s="3" t="n">
        <v>3</v>
      </c>
      <c r="K132" s="3" t="n">
        <v>4</v>
      </c>
      <c r="L132" s="3" t="n">
        <v>4</v>
      </c>
      <c r="M132" s="3" t="n">
        <v>5</v>
      </c>
      <c r="N132" s="3" t="n">
        <v>5</v>
      </c>
      <c r="O132" s="6" t="b">
        <f aca="false">FALSE()</f>
        <v>0</v>
      </c>
      <c r="P132" s="3"/>
      <c r="Q132" s="5" t="n">
        <v>46136.3965277778</v>
      </c>
      <c r="R132" s="5" t="n">
        <v>46137.3638888889</v>
      </c>
      <c r="S132" s="3" t="s">
        <v>37</v>
      </c>
      <c r="T132" s="7" t="n">
        <f aca="false">ROUND(MIN(IF(OR(O132=TRUE(),O132="TRUE",O132="Yes"),59,100),(I132*Rubric!$C$2+J132*Rubric!$C$3+K132*Rubric!$C$4+L132*Rubric!$C$5+M132*Rubric!$C$6+N132*Rubric!$C$7)/5),1)</f>
        <v>83</v>
      </c>
      <c r="U132" s="8" t="str">
        <f aca="false">LOOKUP(T132,Bands!$A$2:$A$6,Bands!$B$2:$B$6)</f>
        <v>Solid Performance</v>
      </c>
      <c r="V132" s="8" t="n">
        <f aca="false">IF(Q132="","",ROUND((Q132-B132)*24,1))</f>
        <v>216</v>
      </c>
    </row>
    <row r="133" customFormat="false" ht="15" hidden="false" customHeight="false" outlineLevel="0" collapsed="false">
      <c r="A133" s="3" t="s">
        <v>392</v>
      </c>
      <c r="B133" s="5" t="n">
        <v>46127.4236111111</v>
      </c>
      <c r="C133" s="3" t="s">
        <v>68</v>
      </c>
      <c r="D133" s="3" t="s">
        <v>137</v>
      </c>
      <c r="E133" s="3" t="s">
        <v>138</v>
      </c>
      <c r="F133" s="3" t="s">
        <v>65</v>
      </c>
      <c r="G133" s="3" t="s">
        <v>54</v>
      </c>
      <c r="H133" s="3" t="s">
        <v>393</v>
      </c>
      <c r="I133" s="3" t="n">
        <v>3</v>
      </c>
      <c r="J133" s="3" t="n">
        <v>5</v>
      </c>
      <c r="K133" s="3" t="n">
        <v>5</v>
      </c>
      <c r="L133" s="3" t="n">
        <v>5</v>
      </c>
      <c r="M133" s="3" t="n">
        <v>5</v>
      </c>
      <c r="N133" s="3" t="n">
        <v>5</v>
      </c>
      <c r="O133" s="6" t="b">
        <f aca="false">FALSE()</f>
        <v>0</v>
      </c>
      <c r="P133" s="3"/>
      <c r="Q133" s="5" t="n">
        <v>46132.4236111111</v>
      </c>
      <c r="R133" s="5" t="n">
        <v>46133.4743055556</v>
      </c>
      <c r="S133" s="3" t="s">
        <v>37</v>
      </c>
      <c r="T133" s="7" t="n">
        <f aca="false">ROUND(MIN(IF(OR(O133=TRUE(),O133="TRUE",O133="Yes"),59,100),(I133*Rubric!$C$2+J133*Rubric!$C$3+K133*Rubric!$C$4+L133*Rubric!$C$5+M133*Rubric!$C$6+N133*Rubric!$C$7)/5),1)</f>
        <v>94</v>
      </c>
      <c r="U133" s="8" t="str">
        <f aca="false">LOOKUP(T133,Bands!$A$2:$A$6,Bands!$B$2:$B$6)</f>
        <v>Outstanding</v>
      </c>
      <c r="V133" s="8" t="n">
        <f aca="false">IF(Q133="","",ROUND((Q133-B133)*24,1))</f>
        <v>120</v>
      </c>
    </row>
    <row r="134" customFormat="false" ht="15" hidden="false" customHeight="false" outlineLevel="0" collapsed="false">
      <c r="A134" s="3" t="s">
        <v>394</v>
      </c>
      <c r="B134" s="5" t="n">
        <v>46128.5256944444</v>
      </c>
      <c r="C134" s="3" t="s">
        <v>39</v>
      </c>
      <c r="D134" s="3" t="s">
        <v>133</v>
      </c>
      <c r="E134" s="3" t="s">
        <v>134</v>
      </c>
      <c r="F134" s="3" t="s">
        <v>33</v>
      </c>
      <c r="G134" s="3" t="s">
        <v>34</v>
      </c>
      <c r="H134" s="3" t="s">
        <v>395</v>
      </c>
      <c r="I134" s="3" t="n">
        <v>5</v>
      </c>
      <c r="J134" s="3" t="n">
        <v>3</v>
      </c>
      <c r="K134" s="3" t="n">
        <v>5</v>
      </c>
      <c r="L134" s="3" t="n">
        <v>4</v>
      </c>
      <c r="M134" s="3" t="n">
        <v>5</v>
      </c>
      <c r="N134" s="3" t="n">
        <v>4</v>
      </c>
      <c r="O134" s="6" t="b">
        <f aca="false">FALSE()</f>
        <v>0</v>
      </c>
      <c r="P134" s="3"/>
      <c r="Q134" s="5" t="n">
        <v>46140.5256944444</v>
      </c>
      <c r="R134" s="5" t="n">
        <v>46143.7388888889</v>
      </c>
      <c r="S134" s="3" t="s">
        <v>37</v>
      </c>
      <c r="T134" s="7" t="n">
        <f aca="false">ROUND(MIN(IF(OR(O134=TRUE(),O134="TRUE",O134="Yes"),59,100),(I134*Rubric!$C$2+J134*Rubric!$C$3+K134*Rubric!$C$4+L134*Rubric!$C$5+M134*Rubric!$C$6+N134*Rubric!$C$7)/5),1)</f>
        <v>84</v>
      </c>
      <c r="U134" s="8" t="str">
        <f aca="false">LOOKUP(T134,Bands!$A$2:$A$6,Bands!$B$2:$B$6)</f>
        <v>Solid Performance</v>
      </c>
      <c r="V134" s="8" t="n">
        <f aca="false">IF(Q134="","",ROUND((Q134-B134)*24,1))</f>
        <v>288</v>
      </c>
    </row>
    <row r="135" customFormat="false" ht="15" hidden="false" customHeight="false" outlineLevel="0" collapsed="false">
      <c r="A135" s="3" t="s">
        <v>396</v>
      </c>
      <c r="B135" s="5" t="n">
        <v>46128.6305555556</v>
      </c>
      <c r="C135" s="3" t="s">
        <v>39</v>
      </c>
      <c r="D135" s="3" t="s">
        <v>194</v>
      </c>
      <c r="E135" s="3" t="s">
        <v>195</v>
      </c>
      <c r="F135" s="3" t="s">
        <v>53</v>
      </c>
      <c r="G135" s="3" t="s">
        <v>54</v>
      </c>
      <c r="H135" s="3" t="s">
        <v>397</v>
      </c>
      <c r="I135" s="3" t="n">
        <v>4</v>
      </c>
      <c r="J135" s="3" t="n">
        <v>4</v>
      </c>
      <c r="K135" s="3" t="n">
        <v>5</v>
      </c>
      <c r="L135" s="3" t="n">
        <v>2</v>
      </c>
      <c r="M135" s="3" t="n">
        <v>4</v>
      </c>
      <c r="N135" s="3" t="n">
        <v>4</v>
      </c>
      <c r="O135" s="6" t="b">
        <f aca="false">FALSE()</f>
        <v>0</v>
      </c>
      <c r="P135" s="3" t="s">
        <v>44</v>
      </c>
      <c r="Q135" s="5" t="n">
        <v>46132.6305555556</v>
      </c>
      <c r="R135" s="5" t="n">
        <v>46133.6333333333</v>
      </c>
      <c r="S135" s="3" t="s">
        <v>37</v>
      </c>
      <c r="T135" s="7" t="n">
        <f aca="false">ROUND(MIN(IF(OR(O135=TRUE(),O135="TRUE",O135="Yes"),59,100),(I135*Rubric!$C$2+J135*Rubric!$C$3+K135*Rubric!$C$4+L135*Rubric!$C$5+M135*Rubric!$C$6+N135*Rubric!$C$7)/5),1)</f>
        <v>78</v>
      </c>
      <c r="U135" s="8" t="str">
        <f aca="false">LOOKUP(T135,Bands!$A$2:$A$6,Bands!$B$2:$B$6)</f>
        <v>Meets Expectations</v>
      </c>
      <c r="V135" s="8" t="n">
        <f aca="false">IF(Q135="","",ROUND((Q135-B135)*24,1))</f>
        <v>96</v>
      </c>
    </row>
    <row r="136" customFormat="false" ht="15" hidden="false" customHeight="false" outlineLevel="0" collapsed="false">
      <c r="A136" s="3" t="s">
        <v>398</v>
      </c>
      <c r="B136" s="5" t="n">
        <v>46128.5625</v>
      </c>
      <c r="C136" s="3" t="s">
        <v>39</v>
      </c>
      <c r="D136" s="3" t="s">
        <v>73</v>
      </c>
      <c r="E136" s="3" t="s">
        <v>74</v>
      </c>
      <c r="F136" s="3" t="s">
        <v>33</v>
      </c>
      <c r="G136" s="3" t="s">
        <v>54</v>
      </c>
      <c r="H136" s="3" t="s">
        <v>399</v>
      </c>
      <c r="I136" s="3" t="n">
        <v>4</v>
      </c>
      <c r="J136" s="3" t="n">
        <v>5</v>
      </c>
      <c r="K136" s="3" t="n">
        <v>5</v>
      </c>
      <c r="L136" s="3" t="n">
        <v>5</v>
      </c>
      <c r="M136" s="3" t="n">
        <v>5</v>
      </c>
      <c r="N136" s="3" t="n">
        <v>2</v>
      </c>
      <c r="O136" s="6" t="b">
        <f aca="false">FALSE()</f>
        <v>0</v>
      </c>
      <c r="P136" s="3" t="s">
        <v>36</v>
      </c>
      <c r="Q136" s="5" t="n">
        <v>46135.5625</v>
      </c>
      <c r="R136" s="5" t="n">
        <v>46139.9895833333</v>
      </c>
      <c r="S136" s="3" t="s">
        <v>37</v>
      </c>
      <c r="T136" s="7" t="n">
        <f aca="false">ROUND(MIN(IF(OR(O136=TRUE(),O136="TRUE",O136="Yes"),59,100),(I136*Rubric!$C$2+J136*Rubric!$C$3+K136*Rubric!$C$4+L136*Rubric!$C$5+M136*Rubric!$C$6+N136*Rubric!$C$7)/5),1)</f>
        <v>88</v>
      </c>
      <c r="U136" s="8" t="str">
        <f aca="false">LOOKUP(T136,Bands!$A$2:$A$6,Bands!$B$2:$B$6)</f>
        <v>Solid Performance</v>
      </c>
      <c r="V136" s="8" t="n">
        <f aca="false">IF(Q136="","",ROUND((Q136-B136)*24,1))</f>
        <v>168</v>
      </c>
    </row>
    <row r="137" customFormat="false" ht="15" hidden="false" customHeight="false" outlineLevel="0" collapsed="false">
      <c r="A137" s="3" t="s">
        <v>400</v>
      </c>
      <c r="B137" s="5" t="n">
        <v>46128.4569444444</v>
      </c>
      <c r="C137" s="3" t="s">
        <v>30</v>
      </c>
      <c r="D137" s="3" t="s">
        <v>125</v>
      </c>
      <c r="E137" s="3" t="s">
        <v>126</v>
      </c>
      <c r="F137" s="3" t="s">
        <v>53</v>
      </c>
      <c r="G137" s="3" t="s">
        <v>42</v>
      </c>
      <c r="H137" s="3" t="s">
        <v>401</v>
      </c>
      <c r="I137" s="3" t="n">
        <v>5</v>
      </c>
      <c r="J137" s="3" t="n">
        <v>4</v>
      </c>
      <c r="K137" s="3" t="n">
        <v>5</v>
      </c>
      <c r="L137" s="3" t="n">
        <v>3</v>
      </c>
      <c r="M137" s="3" t="n">
        <v>5</v>
      </c>
      <c r="N137" s="3" t="n">
        <v>5</v>
      </c>
      <c r="O137" s="6" t="b">
        <f aca="false">FALSE()</f>
        <v>0</v>
      </c>
      <c r="P137" s="3"/>
      <c r="Q137" s="5" t="n">
        <v>46135.4569444444</v>
      </c>
      <c r="R137" s="5" t="n">
        <v>46135.5409722222</v>
      </c>
      <c r="S137" s="3" t="s">
        <v>37</v>
      </c>
      <c r="T137" s="7" t="n">
        <f aca="false">ROUND(MIN(IF(OR(O137=TRUE(),O137="TRUE",O137="Yes"),59,100),(I137*Rubric!$C$2+J137*Rubric!$C$3+K137*Rubric!$C$4+L137*Rubric!$C$5+M137*Rubric!$C$6+N137*Rubric!$C$7)/5),1)</f>
        <v>89</v>
      </c>
      <c r="U137" s="8" t="str">
        <f aca="false">LOOKUP(T137,Bands!$A$2:$A$6,Bands!$B$2:$B$6)</f>
        <v>Solid Performance</v>
      </c>
      <c r="V137" s="8" t="n">
        <f aca="false">IF(Q137="","",ROUND((Q137-B137)*24,1))</f>
        <v>168</v>
      </c>
    </row>
    <row r="138" customFormat="false" ht="15" hidden="false" customHeight="false" outlineLevel="0" collapsed="false">
      <c r="A138" s="3" t="s">
        <v>402</v>
      </c>
      <c r="B138" s="5" t="n">
        <v>46128.4340277778</v>
      </c>
      <c r="C138" s="3" t="s">
        <v>68</v>
      </c>
      <c r="D138" s="3" t="s">
        <v>40</v>
      </c>
      <c r="E138" s="3" t="s">
        <v>41</v>
      </c>
      <c r="F138" s="3" t="s">
        <v>33</v>
      </c>
      <c r="G138" s="3" t="s">
        <v>54</v>
      </c>
      <c r="H138" s="3" t="s">
        <v>403</v>
      </c>
      <c r="I138" s="3" t="n">
        <v>4</v>
      </c>
      <c r="J138" s="3" t="n">
        <v>3</v>
      </c>
      <c r="K138" s="3" t="n">
        <v>4</v>
      </c>
      <c r="L138" s="3" t="n">
        <v>1</v>
      </c>
      <c r="M138" s="3" t="n">
        <v>4</v>
      </c>
      <c r="N138" s="3" t="n">
        <v>4</v>
      </c>
      <c r="O138" s="6" t="b">
        <f aca="false">FALSE()</f>
        <v>0</v>
      </c>
      <c r="P138" s="3" t="s">
        <v>44</v>
      </c>
      <c r="Q138" s="5" t="n">
        <v>46131.4340277778</v>
      </c>
      <c r="R138" s="5" t="n">
        <v>46132.5138888889</v>
      </c>
      <c r="S138" s="3" t="s">
        <v>37</v>
      </c>
      <c r="T138" s="7" t="n">
        <f aca="false">ROUND(MIN(IF(OR(O138=TRUE(),O138="TRUE",O138="Yes"),59,100),(I138*Rubric!$C$2+J138*Rubric!$C$3+K138*Rubric!$C$4+L138*Rubric!$C$5+M138*Rubric!$C$6+N138*Rubric!$C$7)/5),1)</f>
        <v>66</v>
      </c>
      <c r="U138" s="8" t="str">
        <f aca="false">LOOKUP(T138,Bands!$A$2:$A$6,Bands!$B$2:$B$6)</f>
        <v>Needs Improvement</v>
      </c>
      <c r="V138" s="8" t="n">
        <f aca="false">IF(Q138="","",ROUND((Q138-B138)*24,1))</f>
        <v>72</v>
      </c>
    </row>
    <row r="139" customFormat="false" ht="15" hidden="false" customHeight="false" outlineLevel="0" collapsed="false">
      <c r="A139" s="3" t="s">
        <v>404</v>
      </c>
      <c r="B139" s="5" t="n">
        <v>46128.5041666667</v>
      </c>
      <c r="C139" s="3" t="s">
        <v>30</v>
      </c>
      <c r="D139" s="3" t="s">
        <v>212</v>
      </c>
      <c r="E139" s="3" t="s">
        <v>213</v>
      </c>
      <c r="F139" s="3" t="s">
        <v>33</v>
      </c>
      <c r="G139" s="3" t="s">
        <v>34</v>
      </c>
      <c r="H139" s="3" t="s">
        <v>405</v>
      </c>
      <c r="I139" s="3" t="n">
        <v>4</v>
      </c>
      <c r="J139" s="3" t="n">
        <v>4</v>
      </c>
      <c r="K139" s="3" t="n">
        <v>2</v>
      </c>
      <c r="L139" s="3" t="n">
        <v>4</v>
      </c>
      <c r="M139" s="3" t="n">
        <v>3</v>
      </c>
      <c r="N139" s="3" t="n">
        <v>5</v>
      </c>
      <c r="O139" s="6" t="b">
        <f aca="false">FALSE()</f>
        <v>0</v>
      </c>
      <c r="P139" s="3" t="s">
        <v>49</v>
      </c>
      <c r="Q139" s="5" t="n">
        <v>46134.5041666667</v>
      </c>
      <c r="R139" s="5" t="n">
        <v>46136.4347222222</v>
      </c>
      <c r="S139" s="3" t="s">
        <v>37</v>
      </c>
      <c r="T139" s="7" t="n">
        <f aca="false">ROUND(MIN(IF(OR(O139=TRUE(),O139="TRUE",O139="Yes"),59,100),(I139*Rubric!$C$2+J139*Rubric!$C$3+K139*Rubric!$C$4+L139*Rubric!$C$5+M139*Rubric!$C$6+N139*Rubric!$C$7)/5),1)</f>
        <v>73</v>
      </c>
      <c r="U139" s="8" t="str">
        <f aca="false">LOOKUP(T139,Bands!$A$2:$A$6,Bands!$B$2:$B$6)</f>
        <v>Meets Expectations</v>
      </c>
      <c r="V139" s="8" t="n">
        <f aca="false">IF(Q139="","",ROUND((Q139-B139)*24,1))</f>
        <v>144</v>
      </c>
    </row>
    <row r="140" customFormat="false" ht="15" hidden="false" customHeight="false" outlineLevel="0" collapsed="false">
      <c r="A140" s="3" t="s">
        <v>406</v>
      </c>
      <c r="B140" s="5" t="n">
        <v>46128.5930555556</v>
      </c>
      <c r="C140" s="3" t="s">
        <v>30</v>
      </c>
      <c r="D140" s="3" t="s">
        <v>119</v>
      </c>
      <c r="E140" s="3" t="s">
        <v>120</v>
      </c>
      <c r="F140" s="3" t="s">
        <v>33</v>
      </c>
      <c r="G140" s="3" t="s">
        <v>42</v>
      </c>
      <c r="H140" s="3" t="s">
        <v>407</v>
      </c>
      <c r="I140" s="3" t="n">
        <v>4</v>
      </c>
      <c r="J140" s="3" t="n">
        <v>3</v>
      </c>
      <c r="K140" s="3" t="n">
        <v>5</v>
      </c>
      <c r="L140" s="3" t="n">
        <v>4</v>
      </c>
      <c r="M140" s="3" t="n">
        <v>4</v>
      </c>
      <c r="N140" s="3" t="n">
        <v>2</v>
      </c>
      <c r="O140" s="6" t="b">
        <f aca="false">FALSE()</f>
        <v>0</v>
      </c>
      <c r="P140" s="3" t="s">
        <v>36</v>
      </c>
      <c r="Q140" s="5" t="n">
        <v>46134.5930555556</v>
      </c>
      <c r="R140" s="5" t="n">
        <v>46136.3472222222</v>
      </c>
      <c r="S140" s="3" t="s">
        <v>37</v>
      </c>
      <c r="T140" s="7" t="n">
        <f aca="false">ROUND(MIN(IF(OR(O140=TRUE(),O140="TRUE",O140="Yes"),59,100),(I140*Rubric!$C$2+J140*Rubric!$C$3+K140*Rubric!$C$4+L140*Rubric!$C$5+M140*Rubric!$C$6+N140*Rubric!$C$7)/5),1)</f>
        <v>73</v>
      </c>
      <c r="U140" s="8" t="str">
        <f aca="false">LOOKUP(T140,Bands!$A$2:$A$6,Bands!$B$2:$B$6)</f>
        <v>Meets Expectations</v>
      </c>
      <c r="V140" s="8" t="n">
        <f aca="false">IF(Q140="","",ROUND((Q140-B140)*24,1))</f>
        <v>144</v>
      </c>
    </row>
    <row r="141" customFormat="false" ht="15" hidden="false" customHeight="false" outlineLevel="0" collapsed="false">
      <c r="A141" s="3" t="s">
        <v>408</v>
      </c>
      <c r="B141" s="5" t="n">
        <v>46128.6833333333</v>
      </c>
      <c r="C141" s="3" t="s">
        <v>68</v>
      </c>
      <c r="D141" s="3" t="s">
        <v>51</v>
      </c>
      <c r="E141" s="3" t="s">
        <v>52</v>
      </c>
      <c r="F141" s="3" t="s">
        <v>53</v>
      </c>
      <c r="G141" s="3" t="s">
        <v>54</v>
      </c>
      <c r="H141" s="3" t="s">
        <v>409</v>
      </c>
      <c r="I141" s="3" t="n">
        <v>4</v>
      </c>
      <c r="J141" s="3" t="n">
        <v>3</v>
      </c>
      <c r="K141" s="3" t="n">
        <v>4</v>
      </c>
      <c r="L141" s="3" t="n">
        <v>4</v>
      </c>
      <c r="M141" s="3" t="n">
        <v>4</v>
      </c>
      <c r="N141" s="3" t="n">
        <v>5</v>
      </c>
      <c r="O141" s="6" t="b">
        <f aca="false">FALSE()</f>
        <v>0</v>
      </c>
      <c r="P141" s="3"/>
      <c r="Q141" s="5" t="n">
        <v>46135.6833333333</v>
      </c>
      <c r="R141" s="5" t="n">
        <v>46138.475</v>
      </c>
      <c r="S141" s="3" t="s">
        <v>37</v>
      </c>
      <c r="T141" s="7" t="n">
        <f aca="false">ROUND(MIN(IF(OR(O141=TRUE(),O141="TRUE",O141="Yes"),59,100),(I141*Rubric!$C$2+J141*Rubric!$C$3+K141*Rubric!$C$4+L141*Rubric!$C$5+M141*Rubric!$C$6+N141*Rubric!$C$7)/5),1)</f>
        <v>78</v>
      </c>
      <c r="U141" s="8" t="str">
        <f aca="false">LOOKUP(T141,Bands!$A$2:$A$6,Bands!$B$2:$B$6)</f>
        <v>Meets Expectations</v>
      </c>
      <c r="V141" s="8" t="n">
        <f aca="false">IF(Q141="","",ROUND((Q141-B141)*24,1))</f>
        <v>168</v>
      </c>
    </row>
    <row r="142" customFormat="false" ht="15" hidden="false" customHeight="false" outlineLevel="0" collapsed="false">
      <c r="A142" s="3" t="s">
        <v>410</v>
      </c>
      <c r="B142" s="5" t="n">
        <v>46128.5243055556</v>
      </c>
      <c r="C142" s="3" t="s">
        <v>39</v>
      </c>
      <c r="D142" s="3" t="s">
        <v>238</v>
      </c>
      <c r="E142" s="3" t="s">
        <v>239</v>
      </c>
      <c r="F142" s="3" t="s">
        <v>33</v>
      </c>
      <c r="G142" s="3" t="s">
        <v>54</v>
      </c>
      <c r="H142" s="3" t="s">
        <v>411</v>
      </c>
      <c r="I142" s="3" t="n">
        <v>4</v>
      </c>
      <c r="J142" s="3" t="n">
        <v>3</v>
      </c>
      <c r="K142" s="3" t="n">
        <v>4</v>
      </c>
      <c r="L142" s="3" t="n">
        <v>5</v>
      </c>
      <c r="M142" s="3" t="n">
        <v>2</v>
      </c>
      <c r="N142" s="3" t="n">
        <v>3</v>
      </c>
      <c r="O142" s="6" t="b">
        <f aca="false">FALSE()</f>
        <v>0</v>
      </c>
      <c r="P142" s="3" t="s">
        <v>103</v>
      </c>
      <c r="Q142" s="5" t="n">
        <v>46132.5243055556</v>
      </c>
      <c r="R142" s="5" t="n">
        <v>46132.75625</v>
      </c>
      <c r="S142" s="3" t="s">
        <v>37</v>
      </c>
      <c r="T142" s="7" t="n">
        <f aca="false">ROUND(MIN(IF(OR(O142=TRUE(),O142="TRUE",O142="Yes"),59,100),(I142*Rubric!$C$2+J142*Rubric!$C$3+K142*Rubric!$C$4+L142*Rubric!$C$5+M142*Rubric!$C$6+N142*Rubric!$C$7)/5),1)</f>
        <v>71</v>
      </c>
      <c r="U142" s="8" t="str">
        <f aca="false">LOOKUP(T142,Bands!$A$2:$A$6,Bands!$B$2:$B$6)</f>
        <v>Meets Expectations</v>
      </c>
      <c r="V142" s="8" t="n">
        <f aca="false">IF(Q142="","",ROUND((Q142-B142)*24,1))</f>
        <v>96</v>
      </c>
    </row>
    <row r="143" customFormat="false" ht="15" hidden="false" customHeight="false" outlineLevel="0" collapsed="false">
      <c r="A143" s="3" t="s">
        <v>412</v>
      </c>
      <c r="B143" s="5" t="n">
        <v>46128.5361111111</v>
      </c>
      <c r="C143" s="3" t="s">
        <v>68</v>
      </c>
      <c r="D143" s="3" t="s">
        <v>222</v>
      </c>
      <c r="E143" s="3" t="s">
        <v>223</v>
      </c>
      <c r="F143" s="3" t="s">
        <v>53</v>
      </c>
      <c r="G143" s="3" t="s">
        <v>54</v>
      </c>
      <c r="H143" s="3" t="s">
        <v>413</v>
      </c>
      <c r="I143" s="3" t="n">
        <v>5</v>
      </c>
      <c r="J143" s="3" t="n">
        <v>5</v>
      </c>
      <c r="K143" s="3" t="n">
        <v>4</v>
      </c>
      <c r="L143" s="3" t="n">
        <v>4</v>
      </c>
      <c r="M143" s="3" t="n">
        <v>4</v>
      </c>
      <c r="N143" s="3" t="n">
        <v>3</v>
      </c>
      <c r="O143" s="6" t="b">
        <f aca="false">FALSE()</f>
        <v>0</v>
      </c>
      <c r="P143" s="3"/>
      <c r="Q143" s="5" t="n">
        <v>46133.5361111111</v>
      </c>
      <c r="R143" s="5" t="n">
        <v>46134.2138888889</v>
      </c>
      <c r="S143" s="3" t="s">
        <v>37</v>
      </c>
      <c r="T143" s="7" t="n">
        <f aca="false">ROUND(MIN(IF(OR(O143=TRUE(),O143="TRUE",O143="Yes"),59,100),(I143*Rubric!$C$2+J143*Rubric!$C$3+K143*Rubric!$C$4+L143*Rubric!$C$5+M143*Rubric!$C$6+N143*Rubric!$C$7)/5),1)</f>
        <v>85</v>
      </c>
      <c r="U143" s="8" t="str">
        <f aca="false">LOOKUP(T143,Bands!$A$2:$A$6,Bands!$B$2:$B$6)</f>
        <v>Solid Performance</v>
      </c>
      <c r="V143" s="8" t="n">
        <f aca="false">IF(Q143="","",ROUND((Q143-B143)*24,1))</f>
        <v>120</v>
      </c>
    </row>
    <row r="144" customFormat="false" ht="15" hidden="false" customHeight="false" outlineLevel="0" collapsed="false">
      <c r="A144" s="3" t="s">
        <v>414</v>
      </c>
      <c r="B144" s="5" t="n">
        <v>46128.5895833333</v>
      </c>
      <c r="C144" s="3" t="s">
        <v>30</v>
      </c>
      <c r="D144" s="3" t="s">
        <v>167</v>
      </c>
      <c r="E144" s="3" t="s">
        <v>168</v>
      </c>
      <c r="F144" s="3" t="s">
        <v>33</v>
      </c>
      <c r="G144" s="3" t="s">
        <v>42</v>
      </c>
      <c r="H144" s="3" t="s">
        <v>415</v>
      </c>
      <c r="I144" s="3" t="n">
        <v>4</v>
      </c>
      <c r="J144" s="3" t="n">
        <v>1</v>
      </c>
      <c r="K144" s="3" t="n">
        <v>3</v>
      </c>
      <c r="L144" s="3" t="n">
        <v>3</v>
      </c>
      <c r="M144" s="3" t="n">
        <v>3</v>
      </c>
      <c r="N144" s="3" t="n">
        <v>3</v>
      </c>
      <c r="O144" s="6" t="b">
        <f aca="false">FALSE()</f>
        <v>0</v>
      </c>
      <c r="P144" s="3" t="s">
        <v>56</v>
      </c>
      <c r="Q144" s="5" t="n">
        <v>46137.5895833333</v>
      </c>
      <c r="R144" s="5" t="n">
        <v>46137.7201388889</v>
      </c>
      <c r="S144" s="3" t="s">
        <v>37</v>
      </c>
      <c r="T144" s="7" t="n">
        <f aca="false">ROUND(MIN(IF(OR(O144=TRUE(),O144="TRUE",O144="Yes"),59,100),(I144*Rubric!$C$2+J144*Rubric!$C$3+K144*Rubric!$C$4+L144*Rubric!$C$5+M144*Rubric!$C$6+N144*Rubric!$C$7)/5),1)</f>
        <v>53</v>
      </c>
      <c r="U144" s="8" t="str">
        <f aca="false">LOOKUP(T144,Bands!$A$2:$A$6,Bands!$B$2:$B$6)</f>
        <v>Critical</v>
      </c>
      <c r="V144" s="8" t="n">
        <f aca="false">IF(Q144="","",ROUND((Q144-B144)*24,1))</f>
        <v>216</v>
      </c>
    </row>
    <row r="145" customFormat="false" ht="15" hidden="false" customHeight="false" outlineLevel="0" collapsed="false">
      <c r="A145" s="3" t="s">
        <v>416</v>
      </c>
      <c r="B145" s="5" t="n">
        <v>46128.6652777778</v>
      </c>
      <c r="C145" s="3" t="s">
        <v>68</v>
      </c>
      <c r="D145" s="3" t="s">
        <v>161</v>
      </c>
      <c r="E145" s="3" t="s">
        <v>162</v>
      </c>
      <c r="F145" s="3" t="s">
        <v>33</v>
      </c>
      <c r="G145" s="3" t="s">
        <v>42</v>
      </c>
      <c r="H145" s="3" t="s">
        <v>417</v>
      </c>
      <c r="I145" s="3" t="n">
        <v>5</v>
      </c>
      <c r="J145" s="3" t="n">
        <v>3</v>
      </c>
      <c r="K145" s="3" t="n">
        <v>3</v>
      </c>
      <c r="L145" s="3" t="n">
        <v>4</v>
      </c>
      <c r="M145" s="3" t="n">
        <v>3</v>
      </c>
      <c r="N145" s="3" t="n">
        <v>5</v>
      </c>
      <c r="O145" s="6" t="b">
        <f aca="false">FALSE()</f>
        <v>0</v>
      </c>
      <c r="P145" s="3"/>
      <c r="Q145" s="5" t="n">
        <v>46132.6652777778</v>
      </c>
      <c r="R145" s="5" t="n">
        <v>46133.0666666667</v>
      </c>
      <c r="S145" s="3" t="s">
        <v>37</v>
      </c>
      <c r="T145" s="7" t="n">
        <f aca="false">ROUND(MIN(IF(OR(O145=TRUE(),O145="TRUE",O145="Yes"),59,100),(I145*Rubric!$C$2+J145*Rubric!$C$3+K145*Rubric!$C$4+L145*Rubric!$C$5+M145*Rubric!$C$6+N145*Rubric!$C$7)/5),1)</f>
        <v>75</v>
      </c>
      <c r="U145" s="8" t="str">
        <f aca="false">LOOKUP(T145,Bands!$A$2:$A$6,Bands!$B$2:$B$6)</f>
        <v>Meets Expectations</v>
      </c>
      <c r="V145" s="8" t="n">
        <f aca="false">IF(Q145="","",ROUND((Q145-B145)*24,1))</f>
        <v>96</v>
      </c>
    </row>
    <row r="146" customFormat="false" ht="15" hidden="false" customHeight="false" outlineLevel="0" collapsed="false">
      <c r="A146" s="3" t="s">
        <v>418</v>
      </c>
      <c r="B146" s="5" t="n">
        <v>46129.4159722222</v>
      </c>
      <c r="C146" s="3" t="s">
        <v>68</v>
      </c>
      <c r="D146" s="3" t="s">
        <v>125</v>
      </c>
      <c r="E146" s="3" t="s">
        <v>126</v>
      </c>
      <c r="F146" s="3" t="s">
        <v>53</v>
      </c>
      <c r="G146" s="3" t="s">
        <v>54</v>
      </c>
      <c r="H146" s="3" t="s">
        <v>419</v>
      </c>
      <c r="I146" s="3" t="n">
        <v>5</v>
      </c>
      <c r="J146" s="3" t="n">
        <v>4</v>
      </c>
      <c r="K146" s="3" t="n">
        <v>5</v>
      </c>
      <c r="L146" s="3" t="n">
        <v>2</v>
      </c>
      <c r="M146" s="3" t="n">
        <v>5</v>
      </c>
      <c r="N146" s="3" t="n">
        <v>5</v>
      </c>
      <c r="O146" s="6" t="b">
        <f aca="false">FALSE()</f>
        <v>0</v>
      </c>
      <c r="P146" s="3" t="s">
        <v>44</v>
      </c>
      <c r="Q146" s="5" t="n">
        <v>46132.4159722222</v>
      </c>
      <c r="R146" s="5" t="n">
        <v>46133.5034722222</v>
      </c>
      <c r="S146" s="3" t="s">
        <v>37</v>
      </c>
      <c r="T146" s="7" t="n">
        <f aca="false">ROUND(MIN(IF(OR(O146=TRUE(),O146="TRUE",O146="Yes"),59,100),(I146*Rubric!$C$2+J146*Rubric!$C$3+K146*Rubric!$C$4+L146*Rubric!$C$5+M146*Rubric!$C$6+N146*Rubric!$C$7)/5),1)</f>
        <v>86</v>
      </c>
      <c r="U146" s="8" t="str">
        <f aca="false">LOOKUP(T146,Bands!$A$2:$A$6,Bands!$B$2:$B$6)</f>
        <v>Solid Performance</v>
      </c>
      <c r="V146" s="8" t="n">
        <f aca="false">IF(Q146="","",ROUND((Q146-B146)*24,1))</f>
        <v>72</v>
      </c>
    </row>
    <row r="147" customFormat="false" ht="15" hidden="false" customHeight="false" outlineLevel="0" collapsed="false">
      <c r="A147" s="3" t="s">
        <v>420</v>
      </c>
      <c r="B147" s="5" t="n">
        <v>46129.7069444444</v>
      </c>
      <c r="C147" s="3" t="s">
        <v>68</v>
      </c>
      <c r="D147" s="3" t="s">
        <v>40</v>
      </c>
      <c r="E147" s="3" t="s">
        <v>41</v>
      </c>
      <c r="F147" s="3" t="s">
        <v>33</v>
      </c>
      <c r="G147" s="3" t="s">
        <v>42</v>
      </c>
      <c r="H147" s="3" t="s">
        <v>421</v>
      </c>
      <c r="I147" s="3" t="n">
        <v>4</v>
      </c>
      <c r="J147" s="3" t="n">
        <v>3</v>
      </c>
      <c r="K147" s="3" t="n">
        <v>4</v>
      </c>
      <c r="L147" s="3" t="n">
        <v>2</v>
      </c>
      <c r="M147" s="3" t="n">
        <v>4</v>
      </c>
      <c r="N147" s="3" t="n">
        <v>4</v>
      </c>
      <c r="O147" s="6" t="b">
        <f aca="false">FALSE()</f>
        <v>0</v>
      </c>
      <c r="P147" s="3" t="s">
        <v>44</v>
      </c>
      <c r="Q147" s="5" t="n">
        <v>46141.7069444444</v>
      </c>
      <c r="R147" s="5" t="n">
        <v>46142.5333333333</v>
      </c>
      <c r="S147" s="3" t="s">
        <v>37</v>
      </c>
      <c r="T147" s="7" t="n">
        <f aca="false">ROUND(MIN(IF(OR(O147=TRUE(),O147="TRUE",O147="Yes"),59,100),(I147*Rubric!$C$2+J147*Rubric!$C$3+K147*Rubric!$C$4+L147*Rubric!$C$5+M147*Rubric!$C$6+N147*Rubric!$C$7)/5),1)</f>
        <v>69</v>
      </c>
      <c r="U147" s="8" t="str">
        <f aca="false">LOOKUP(T147,Bands!$A$2:$A$6,Bands!$B$2:$B$6)</f>
        <v>Needs Improvement</v>
      </c>
      <c r="V147" s="8" t="n">
        <f aca="false">IF(Q147="","",ROUND((Q147-B147)*24,1))</f>
        <v>288</v>
      </c>
    </row>
    <row r="148" customFormat="false" ht="15" hidden="false" customHeight="false" outlineLevel="0" collapsed="false">
      <c r="A148" s="3" t="s">
        <v>422</v>
      </c>
      <c r="B148" s="5" t="n">
        <v>46129.5965277778</v>
      </c>
      <c r="C148" s="3" t="s">
        <v>30</v>
      </c>
      <c r="D148" s="3" t="s">
        <v>222</v>
      </c>
      <c r="E148" s="3" t="s">
        <v>223</v>
      </c>
      <c r="F148" s="3" t="s">
        <v>53</v>
      </c>
      <c r="G148" s="3" t="s">
        <v>54</v>
      </c>
      <c r="H148" s="3" t="s">
        <v>423</v>
      </c>
      <c r="I148" s="3" t="n">
        <v>4</v>
      </c>
      <c r="J148" s="3" t="n">
        <v>4</v>
      </c>
      <c r="K148" s="3" t="n">
        <v>3</v>
      </c>
      <c r="L148" s="3" t="n">
        <v>4</v>
      </c>
      <c r="M148" s="3" t="n">
        <v>4</v>
      </c>
      <c r="N148" s="3" t="n">
        <v>1</v>
      </c>
      <c r="O148" s="6" t="b">
        <f aca="false">TRUE()</f>
        <v>1</v>
      </c>
      <c r="P148" s="3" t="s">
        <v>36</v>
      </c>
      <c r="Q148" s="5" t="n">
        <v>46133.5965277778</v>
      </c>
      <c r="R148" s="5" t="n">
        <v>46134.81875</v>
      </c>
      <c r="S148" s="3" t="s">
        <v>37</v>
      </c>
      <c r="T148" s="7" t="n">
        <f aca="false">ROUND(MIN(IF(OR(O148=TRUE(),O148="TRUE",O148="Yes"),59,100),(I148*Rubric!$C$2+J148*Rubric!$C$3+K148*Rubric!$C$4+L148*Rubric!$C$5+M148*Rubric!$C$6+N148*Rubric!$C$7)/5),1)</f>
        <v>59</v>
      </c>
      <c r="U148" s="8" t="str">
        <f aca="false">LOOKUP(T148,Bands!$A$2:$A$6,Bands!$B$2:$B$6)</f>
        <v>Critical</v>
      </c>
      <c r="V148" s="8" t="n">
        <f aca="false">IF(Q148="","",ROUND((Q148-B148)*24,1))</f>
        <v>96</v>
      </c>
    </row>
    <row r="149" customFormat="false" ht="15" hidden="false" customHeight="false" outlineLevel="0" collapsed="false">
      <c r="A149" s="3" t="s">
        <v>424</v>
      </c>
      <c r="B149" s="5" t="n">
        <v>46129.5111111111</v>
      </c>
      <c r="C149" s="3" t="s">
        <v>30</v>
      </c>
      <c r="D149" s="3" t="s">
        <v>51</v>
      </c>
      <c r="E149" s="3" t="s">
        <v>52</v>
      </c>
      <c r="F149" s="3" t="s">
        <v>53</v>
      </c>
      <c r="G149" s="3" t="s">
        <v>54</v>
      </c>
      <c r="H149" s="3" t="s">
        <v>425</v>
      </c>
      <c r="I149" s="3" t="n">
        <v>4</v>
      </c>
      <c r="J149" s="3" t="n">
        <v>2</v>
      </c>
      <c r="K149" s="3" t="n">
        <v>3</v>
      </c>
      <c r="L149" s="3" t="n">
        <v>4</v>
      </c>
      <c r="M149" s="3" t="n">
        <v>4</v>
      </c>
      <c r="N149" s="3" t="n">
        <v>4</v>
      </c>
      <c r="O149" s="6" t="b">
        <f aca="false">FALSE()</f>
        <v>0</v>
      </c>
      <c r="P149" s="3" t="s">
        <v>56</v>
      </c>
      <c r="Q149" s="5" t="n">
        <v>46134.5111111111</v>
      </c>
      <c r="R149" s="5" t="n">
        <v>46135.2451388889</v>
      </c>
      <c r="S149" s="3" t="s">
        <v>37</v>
      </c>
      <c r="T149" s="7" t="n">
        <f aca="false">ROUND(MIN(IF(OR(O149=TRUE(),O149="TRUE",O149="Yes"),59,100),(I149*Rubric!$C$2+J149*Rubric!$C$3+K149*Rubric!$C$4+L149*Rubric!$C$5+M149*Rubric!$C$6+N149*Rubric!$C$7)/5),1)</f>
        <v>66</v>
      </c>
      <c r="U149" s="8" t="str">
        <f aca="false">LOOKUP(T149,Bands!$A$2:$A$6,Bands!$B$2:$B$6)</f>
        <v>Needs Improvement</v>
      </c>
      <c r="V149" s="8" t="n">
        <f aca="false">IF(Q149="","",ROUND((Q149-B149)*24,1))</f>
        <v>120</v>
      </c>
    </row>
    <row r="150" customFormat="false" ht="15" hidden="false" customHeight="false" outlineLevel="0" collapsed="false">
      <c r="A150" s="3" t="s">
        <v>426</v>
      </c>
      <c r="B150" s="5" t="n">
        <v>46129.6340277778</v>
      </c>
      <c r="C150" s="3" t="s">
        <v>39</v>
      </c>
      <c r="D150" s="3" t="s">
        <v>100</v>
      </c>
      <c r="E150" s="3" t="s">
        <v>101</v>
      </c>
      <c r="F150" s="3" t="s">
        <v>33</v>
      </c>
      <c r="G150" s="3" t="s">
        <v>54</v>
      </c>
      <c r="H150" s="3" t="s">
        <v>427</v>
      </c>
      <c r="I150" s="3" t="n">
        <v>4</v>
      </c>
      <c r="J150" s="3" t="n">
        <v>4</v>
      </c>
      <c r="K150" s="3" t="n">
        <v>4</v>
      </c>
      <c r="L150" s="3" t="n">
        <v>5</v>
      </c>
      <c r="M150" s="3" t="n">
        <v>3</v>
      </c>
      <c r="N150" s="3" t="n">
        <v>4</v>
      </c>
      <c r="O150" s="6" t="b">
        <f aca="false">FALSE()</f>
        <v>0</v>
      </c>
      <c r="P150" s="3"/>
      <c r="Q150" s="5" t="n">
        <v>46136.6340277778</v>
      </c>
      <c r="R150" s="5" t="n">
        <v>46139.4604166667</v>
      </c>
      <c r="S150" s="3" t="s">
        <v>37</v>
      </c>
      <c r="T150" s="7" t="n">
        <f aca="false">ROUND(MIN(IF(OR(O150=TRUE(),O150="TRUE",O150="Yes"),59,100),(I150*Rubric!$C$2+J150*Rubric!$C$3+K150*Rubric!$C$4+L150*Rubric!$C$5+M150*Rubric!$C$6+N150*Rubric!$C$7)/5),1)</f>
        <v>81</v>
      </c>
      <c r="U150" s="8" t="str">
        <f aca="false">LOOKUP(T150,Bands!$A$2:$A$6,Bands!$B$2:$B$6)</f>
        <v>Solid Performance</v>
      </c>
      <c r="V150" s="8" t="n">
        <f aca="false">IF(Q150="","",ROUND((Q150-B150)*24,1))</f>
        <v>168</v>
      </c>
    </row>
    <row r="151" customFormat="false" ht="15" hidden="false" customHeight="false" outlineLevel="0" collapsed="false">
      <c r="A151" s="3" t="s">
        <v>428</v>
      </c>
      <c r="B151" s="5" t="n">
        <v>46129.5444444444</v>
      </c>
      <c r="C151" s="3" t="s">
        <v>30</v>
      </c>
      <c r="D151" s="3" t="s">
        <v>58</v>
      </c>
      <c r="E151" s="3" t="s">
        <v>59</v>
      </c>
      <c r="F151" s="3" t="s">
        <v>53</v>
      </c>
      <c r="G151" s="3" t="s">
        <v>42</v>
      </c>
      <c r="H151" s="3" t="s">
        <v>429</v>
      </c>
      <c r="I151" s="3" t="n">
        <v>3</v>
      </c>
      <c r="J151" s="3" t="n">
        <v>3</v>
      </c>
      <c r="K151" s="3" t="n">
        <v>2</v>
      </c>
      <c r="L151" s="3" t="n">
        <v>3</v>
      </c>
      <c r="M151" s="3" t="n">
        <v>3</v>
      </c>
      <c r="N151" s="3" t="n">
        <v>4</v>
      </c>
      <c r="O151" s="6" t="b">
        <f aca="false">FALSE()</f>
        <v>0</v>
      </c>
      <c r="P151" s="3" t="s">
        <v>49</v>
      </c>
      <c r="Q151" s="5" t="n">
        <v>46136.5444444444</v>
      </c>
      <c r="R151" s="5" t="n">
        <v>46137.0486111111</v>
      </c>
      <c r="S151" s="3" t="s">
        <v>37</v>
      </c>
      <c r="T151" s="7" t="n">
        <f aca="false">ROUND(MIN(IF(OR(O151=TRUE(),O151="TRUE",O151="Yes"),59,100),(I151*Rubric!$C$2+J151*Rubric!$C$3+K151*Rubric!$C$4+L151*Rubric!$C$5+M151*Rubric!$C$6+N151*Rubric!$C$7)/5),1)</f>
        <v>59</v>
      </c>
      <c r="U151" s="8" t="str">
        <f aca="false">LOOKUP(T151,Bands!$A$2:$A$6,Bands!$B$2:$B$6)</f>
        <v>Critical</v>
      </c>
      <c r="V151" s="8" t="n">
        <f aca="false">IF(Q151="","",ROUND((Q151-B151)*24,1))</f>
        <v>168</v>
      </c>
    </row>
    <row r="152" customFormat="false" ht="15" hidden="false" customHeight="false" outlineLevel="0" collapsed="false">
      <c r="A152" s="3" t="s">
        <v>430</v>
      </c>
      <c r="B152" s="5" t="n">
        <v>46129.4013888889</v>
      </c>
      <c r="C152" s="3" t="s">
        <v>68</v>
      </c>
      <c r="D152" s="3" t="s">
        <v>73</v>
      </c>
      <c r="E152" s="3" t="s">
        <v>74</v>
      </c>
      <c r="F152" s="3" t="s">
        <v>33</v>
      </c>
      <c r="G152" s="3" t="s">
        <v>42</v>
      </c>
      <c r="H152" s="3" t="s">
        <v>431</v>
      </c>
      <c r="I152" s="3" t="n">
        <v>4</v>
      </c>
      <c r="J152" s="3" t="n">
        <v>4</v>
      </c>
      <c r="K152" s="3" t="n">
        <v>4</v>
      </c>
      <c r="L152" s="3" t="n">
        <v>4</v>
      </c>
      <c r="M152" s="3" t="n">
        <v>5</v>
      </c>
      <c r="N152" s="3" t="n">
        <v>4</v>
      </c>
      <c r="O152" s="6" t="b">
        <f aca="false">FALSE()</f>
        <v>0</v>
      </c>
      <c r="P152" s="3"/>
      <c r="Q152" s="5" t="n">
        <v>46133.4013888889</v>
      </c>
      <c r="R152" s="5" t="n">
        <v>46134.3993055556</v>
      </c>
      <c r="S152" s="3" t="s">
        <v>37</v>
      </c>
      <c r="T152" s="7" t="n">
        <f aca="false">ROUND(MIN(IF(OR(O152=TRUE(),O152="TRUE",O152="Yes"),59,100),(I152*Rubric!$C$2+J152*Rubric!$C$3+K152*Rubric!$C$4+L152*Rubric!$C$5+M152*Rubric!$C$6+N152*Rubric!$C$7)/5),1)</f>
        <v>82</v>
      </c>
      <c r="U152" s="8" t="str">
        <f aca="false">LOOKUP(T152,Bands!$A$2:$A$6,Bands!$B$2:$B$6)</f>
        <v>Solid Performance</v>
      </c>
      <c r="V152" s="8" t="n">
        <f aca="false">IF(Q152="","",ROUND((Q152-B152)*24,1))</f>
        <v>96</v>
      </c>
    </row>
    <row r="153" customFormat="false" ht="15" hidden="false" customHeight="false" outlineLevel="0" collapsed="false">
      <c r="A153" s="3" t="s">
        <v>432</v>
      </c>
      <c r="B153" s="5" t="n">
        <v>46129.4097222222</v>
      </c>
      <c r="C153" s="3" t="s">
        <v>39</v>
      </c>
      <c r="D153" s="3" t="s">
        <v>81</v>
      </c>
      <c r="E153" s="3" t="s">
        <v>82</v>
      </c>
      <c r="F153" s="3" t="s">
        <v>65</v>
      </c>
      <c r="G153" s="3" t="s">
        <v>54</v>
      </c>
      <c r="H153" s="3" t="s">
        <v>433</v>
      </c>
      <c r="I153" s="3" t="n">
        <v>3</v>
      </c>
      <c r="J153" s="3" t="n">
        <v>3</v>
      </c>
      <c r="K153" s="3" t="n">
        <v>3</v>
      </c>
      <c r="L153" s="3" t="n">
        <v>4</v>
      </c>
      <c r="M153" s="3" t="n">
        <v>5</v>
      </c>
      <c r="N153" s="3" t="n">
        <v>5</v>
      </c>
      <c r="O153" s="6" t="b">
        <f aca="false">FALSE()</f>
        <v>0</v>
      </c>
      <c r="P153" s="3"/>
      <c r="Q153" s="5" t="n">
        <v>46132.4097222222</v>
      </c>
      <c r="R153" s="5" t="n">
        <v>46132.43125</v>
      </c>
      <c r="S153" s="3" t="s">
        <v>37</v>
      </c>
      <c r="T153" s="7" t="n">
        <f aca="false">ROUND(MIN(IF(OR(O153=TRUE(),O153="TRUE",O153="Yes"),59,100),(I153*Rubric!$C$2+J153*Rubric!$C$3+K153*Rubric!$C$4+L153*Rubric!$C$5+M153*Rubric!$C$6+N153*Rubric!$C$7)/5),1)</f>
        <v>73</v>
      </c>
      <c r="U153" s="8" t="str">
        <f aca="false">LOOKUP(T153,Bands!$A$2:$A$6,Bands!$B$2:$B$6)</f>
        <v>Meets Expectations</v>
      </c>
      <c r="V153" s="8" t="n">
        <f aca="false">IF(Q153="","",ROUND((Q153-B153)*24,1))</f>
        <v>72</v>
      </c>
    </row>
    <row r="154" customFormat="false" ht="15" hidden="false" customHeight="false" outlineLevel="0" collapsed="false">
      <c r="A154" s="3" t="s">
        <v>434</v>
      </c>
      <c r="B154" s="5" t="n">
        <v>46129.5798611111</v>
      </c>
      <c r="C154" s="3" t="s">
        <v>30</v>
      </c>
      <c r="D154" s="3" t="s">
        <v>198</v>
      </c>
      <c r="E154" s="3" t="s">
        <v>199</v>
      </c>
      <c r="F154" s="3" t="s">
        <v>33</v>
      </c>
      <c r="G154" s="3" t="s">
        <v>34</v>
      </c>
      <c r="H154" s="3" t="s">
        <v>435</v>
      </c>
      <c r="I154" s="3" t="n">
        <v>4</v>
      </c>
      <c r="J154" s="3" t="n">
        <v>1</v>
      </c>
      <c r="K154" s="3" t="n">
        <v>4</v>
      </c>
      <c r="L154" s="3" t="n">
        <v>5</v>
      </c>
      <c r="M154" s="3" t="n">
        <v>4</v>
      </c>
      <c r="N154" s="3" t="n">
        <v>5</v>
      </c>
      <c r="O154" s="6" t="b">
        <f aca="false">FALSE()</f>
        <v>0</v>
      </c>
      <c r="P154" s="3" t="s">
        <v>56</v>
      </c>
      <c r="Q154" s="5" t="n">
        <v>46132.5798611111</v>
      </c>
      <c r="R154" s="5" t="n">
        <v>46133.0076388889</v>
      </c>
      <c r="S154" s="3" t="s">
        <v>37</v>
      </c>
      <c r="T154" s="7" t="n">
        <f aca="false">ROUND(MIN(IF(OR(O154=TRUE(),O154="TRUE",O154="Yes"),59,100),(I154*Rubric!$C$2+J154*Rubric!$C$3+K154*Rubric!$C$4+L154*Rubric!$C$5+M154*Rubric!$C$6+N154*Rubric!$C$7)/5),1)</f>
        <v>71</v>
      </c>
      <c r="U154" s="8" t="str">
        <f aca="false">LOOKUP(T154,Bands!$A$2:$A$6,Bands!$B$2:$B$6)</f>
        <v>Meets Expectations</v>
      </c>
      <c r="V154" s="8" t="n">
        <f aca="false">IF(Q154="","",ROUND((Q154-B154)*24,1))</f>
        <v>72</v>
      </c>
    </row>
    <row r="155" customFormat="false" ht="15" hidden="false" customHeight="false" outlineLevel="0" collapsed="false">
      <c r="A155" s="3" t="s">
        <v>436</v>
      </c>
      <c r="B155" s="5" t="n">
        <v>46129.5208333333</v>
      </c>
      <c r="C155" s="3" t="s">
        <v>68</v>
      </c>
      <c r="D155" s="3" t="s">
        <v>167</v>
      </c>
      <c r="E155" s="3" t="s">
        <v>168</v>
      </c>
      <c r="F155" s="3" t="s">
        <v>33</v>
      </c>
      <c r="G155" s="3" t="s">
        <v>54</v>
      </c>
      <c r="H155" s="3" t="s">
        <v>437</v>
      </c>
      <c r="I155" s="3" t="n">
        <v>4</v>
      </c>
      <c r="J155" s="3" t="n">
        <v>2</v>
      </c>
      <c r="K155" s="3" t="n">
        <v>4</v>
      </c>
      <c r="L155" s="3" t="n">
        <v>4</v>
      </c>
      <c r="M155" s="3" t="n">
        <v>3</v>
      </c>
      <c r="N155" s="3" t="n">
        <v>2</v>
      </c>
      <c r="O155" s="6" t="b">
        <f aca="false">FALSE()</f>
        <v>0</v>
      </c>
      <c r="P155" s="3" t="s">
        <v>438</v>
      </c>
      <c r="Q155" s="5" t="n">
        <v>46134.5208333333</v>
      </c>
      <c r="R155" s="5" t="n">
        <v>46134.6756944444</v>
      </c>
      <c r="S155" s="3" t="s">
        <v>37</v>
      </c>
      <c r="T155" s="7" t="n">
        <f aca="false">ROUND(MIN(IF(OR(O155=TRUE(),O155="TRUE",O155="Yes"),59,100),(I155*Rubric!$C$2+J155*Rubric!$C$3+K155*Rubric!$C$4+L155*Rubric!$C$5+M155*Rubric!$C$6+N155*Rubric!$C$7)/5),1)</f>
        <v>62</v>
      </c>
      <c r="U155" s="8" t="str">
        <f aca="false">LOOKUP(T155,Bands!$A$2:$A$6,Bands!$B$2:$B$6)</f>
        <v>Needs Improvement</v>
      </c>
      <c r="V155" s="8" t="n">
        <f aca="false">IF(Q155="","",ROUND((Q155-B155)*24,1))</f>
        <v>120</v>
      </c>
    </row>
    <row r="156" customFormat="false" ht="15" hidden="false" customHeight="false" outlineLevel="0" collapsed="false">
      <c r="A156" s="3" t="s">
        <v>439</v>
      </c>
      <c r="B156" s="5" t="n">
        <v>46129.5354166667</v>
      </c>
      <c r="C156" s="3" t="s">
        <v>39</v>
      </c>
      <c r="D156" s="3" t="s">
        <v>366</v>
      </c>
      <c r="E156" s="3" t="s">
        <v>367</v>
      </c>
      <c r="F156" s="3" t="s">
        <v>53</v>
      </c>
      <c r="G156" s="3" t="s">
        <v>54</v>
      </c>
      <c r="H156" s="3" t="s">
        <v>440</v>
      </c>
      <c r="I156" s="3" t="n">
        <v>4</v>
      </c>
      <c r="J156" s="3" t="n">
        <v>4</v>
      </c>
      <c r="K156" s="3" t="n">
        <v>1</v>
      </c>
      <c r="L156" s="3" t="n">
        <v>3</v>
      </c>
      <c r="M156" s="3" t="n">
        <v>4</v>
      </c>
      <c r="N156" s="3" t="n">
        <v>5</v>
      </c>
      <c r="O156" s="6" t="b">
        <f aca="false">FALSE()</f>
        <v>0</v>
      </c>
      <c r="P156" s="3" t="s">
        <v>49</v>
      </c>
      <c r="Q156" s="5" t="n">
        <v>46133.5354166667</v>
      </c>
      <c r="R156" s="5" t="n">
        <v>46135.4840277778</v>
      </c>
      <c r="S156" s="3" t="s">
        <v>37</v>
      </c>
      <c r="T156" s="7" t="n">
        <f aca="false">ROUND(MIN(IF(OR(O156=TRUE(),O156="TRUE",O156="Yes"),59,100),(I156*Rubric!$C$2+J156*Rubric!$C$3+K156*Rubric!$C$4+L156*Rubric!$C$5+M156*Rubric!$C$6+N156*Rubric!$C$7)/5),1)</f>
        <v>68</v>
      </c>
      <c r="U156" s="8" t="str">
        <f aca="false">LOOKUP(T156,Bands!$A$2:$A$6,Bands!$B$2:$B$6)</f>
        <v>Needs Improvement</v>
      </c>
      <c r="V156" s="8" t="n">
        <f aca="false">IF(Q156="","",ROUND((Q156-B156)*24,1))</f>
        <v>96</v>
      </c>
    </row>
    <row r="157" customFormat="false" ht="15" hidden="false" customHeight="false" outlineLevel="0" collapsed="false">
      <c r="A157" s="3" t="s">
        <v>441</v>
      </c>
      <c r="B157" s="5" t="n">
        <v>46129.3986111111</v>
      </c>
      <c r="C157" s="3" t="s">
        <v>39</v>
      </c>
      <c r="D157" s="3" t="s">
        <v>137</v>
      </c>
      <c r="E157" s="3" t="s">
        <v>138</v>
      </c>
      <c r="F157" s="3" t="s">
        <v>65</v>
      </c>
      <c r="G157" s="3" t="s">
        <v>34</v>
      </c>
      <c r="H157" s="3" t="s">
        <v>442</v>
      </c>
      <c r="I157" s="3" t="n">
        <v>3</v>
      </c>
      <c r="J157" s="3" t="n">
        <v>5</v>
      </c>
      <c r="K157" s="3" t="n">
        <v>4</v>
      </c>
      <c r="L157" s="3" t="n">
        <v>4</v>
      </c>
      <c r="M157" s="3" t="n">
        <v>5</v>
      </c>
      <c r="N157" s="3" t="n">
        <v>5</v>
      </c>
      <c r="O157" s="6" t="b">
        <f aca="false">FALSE()</f>
        <v>0</v>
      </c>
      <c r="P157" s="3"/>
      <c r="Q157" s="5" t="n">
        <v>46133.3986111111</v>
      </c>
      <c r="R157" s="5" t="n">
        <v>46133.5763888889</v>
      </c>
      <c r="S157" s="3" t="s">
        <v>37</v>
      </c>
      <c r="T157" s="7" t="n">
        <f aca="false">ROUND(MIN(IF(OR(O157=TRUE(),O157="TRUE",O157="Yes"),59,100),(I157*Rubric!$C$2+J157*Rubric!$C$3+K157*Rubric!$C$4+L157*Rubric!$C$5+M157*Rubric!$C$6+N157*Rubric!$C$7)/5),1)</f>
        <v>87</v>
      </c>
      <c r="U157" s="8" t="str">
        <f aca="false">LOOKUP(T157,Bands!$A$2:$A$6,Bands!$B$2:$B$6)</f>
        <v>Solid Performance</v>
      </c>
      <c r="V157" s="8" t="n">
        <f aca="false">IF(Q157="","",ROUND((Q157-B157)*24,1))</f>
        <v>96</v>
      </c>
    </row>
    <row r="158" customFormat="false" ht="15" hidden="false" customHeight="false" outlineLevel="0" collapsed="false">
      <c r="A158" s="3" t="s">
        <v>443</v>
      </c>
      <c r="B158" s="5" t="n">
        <v>46132.55625</v>
      </c>
      <c r="C158" s="3" t="s">
        <v>39</v>
      </c>
      <c r="D158" s="3" t="s">
        <v>125</v>
      </c>
      <c r="E158" s="3" t="s">
        <v>126</v>
      </c>
      <c r="F158" s="3" t="s">
        <v>53</v>
      </c>
      <c r="G158" s="3" t="s">
        <v>54</v>
      </c>
      <c r="H158" s="3" t="s">
        <v>444</v>
      </c>
      <c r="I158" s="3" t="n">
        <v>4</v>
      </c>
      <c r="J158" s="3" t="n">
        <v>4</v>
      </c>
      <c r="K158" s="3" t="n">
        <v>5</v>
      </c>
      <c r="L158" s="3" t="n">
        <v>4</v>
      </c>
      <c r="M158" s="3" t="n">
        <v>5</v>
      </c>
      <c r="N158" s="3" t="n">
        <v>5</v>
      </c>
      <c r="O158" s="6" t="b">
        <f aca="false">FALSE()</f>
        <v>0</v>
      </c>
      <c r="P158" s="3"/>
      <c r="Q158" s="5" t="n">
        <v>46136.55625</v>
      </c>
      <c r="R158" s="5" t="n">
        <v>46138.6895833333</v>
      </c>
      <c r="S158" s="3" t="s">
        <v>37</v>
      </c>
      <c r="T158" s="7" t="n">
        <f aca="false">ROUND(MIN(IF(OR(O158=TRUE(),O158="TRUE",O158="Yes"),59,100),(I158*Rubric!$C$2+J158*Rubric!$C$3+K158*Rubric!$C$4+L158*Rubric!$C$5+M158*Rubric!$C$6+N158*Rubric!$C$7)/5),1)</f>
        <v>89</v>
      </c>
      <c r="U158" s="8" t="str">
        <f aca="false">LOOKUP(T158,Bands!$A$2:$A$6,Bands!$B$2:$B$6)</f>
        <v>Solid Performance</v>
      </c>
      <c r="V158" s="8" t="n">
        <f aca="false">IF(Q158="","",ROUND((Q158-B158)*24,1))</f>
        <v>96</v>
      </c>
    </row>
    <row r="159" customFormat="false" ht="15" hidden="false" customHeight="false" outlineLevel="0" collapsed="false">
      <c r="A159" s="3" t="s">
        <v>445</v>
      </c>
      <c r="B159" s="5" t="n">
        <v>46132.4180555556</v>
      </c>
      <c r="C159" s="3" t="s">
        <v>68</v>
      </c>
      <c r="D159" s="3" t="s">
        <v>212</v>
      </c>
      <c r="E159" s="3" t="s">
        <v>213</v>
      </c>
      <c r="F159" s="3" t="s">
        <v>33</v>
      </c>
      <c r="G159" s="3" t="s">
        <v>54</v>
      </c>
      <c r="H159" s="3" t="s">
        <v>446</v>
      </c>
      <c r="I159" s="3" t="n">
        <v>4</v>
      </c>
      <c r="J159" s="3" t="n">
        <v>3</v>
      </c>
      <c r="K159" s="3" t="n">
        <v>4</v>
      </c>
      <c r="L159" s="3" t="n">
        <v>3</v>
      </c>
      <c r="M159" s="3" t="n">
        <v>4</v>
      </c>
      <c r="N159" s="3" t="n">
        <v>3</v>
      </c>
      <c r="O159" s="6" t="b">
        <f aca="false">FALSE()</f>
        <v>0</v>
      </c>
      <c r="P159" s="3"/>
      <c r="Q159" s="5" t="n">
        <v>46138.4180555556</v>
      </c>
      <c r="R159" s="5" t="n">
        <v>46138.89375</v>
      </c>
      <c r="S159" s="3" t="s">
        <v>37</v>
      </c>
      <c r="T159" s="7" t="n">
        <f aca="false">ROUND(MIN(IF(OR(O159=TRUE(),O159="TRUE",O159="Yes"),59,100),(I159*Rubric!$C$2+J159*Rubric!$C$3+K159*Rubric!$C$4+L159*Rubric!$C$5+M159*Rubric!$C$6+N159*Rubric!$C$7)/5),1)</f>
        <v>69</v>
      </c>
      <c r="U159" s="8" t="str">
        <f aca="false">LOOKUP(T159,Bands!$A$2:$A$6,Bands!$B$2:$B$6)</f>
        <v>Needs Improvement</v>
      </c>
      <c r="V159" s="8" t="n">
        <f aca="false">IF(Q159="","",ROUND((Q159-B159)*24,1))</f>
        <v>144</v>
      </c>
    </row>
    <row r="160" customFormat="false" ht="15" hidden="false" customHeight="false" outlineLevel="0" collapsed="false">
      <c r="A160" s="3" t="s">
        <v>447</v>
      </c>
      <c r="B160" s="5" t="n">
        <v>46132.41875</v>
      </c>
      <c r="C160" s="3" t="s">
        <v>30</v>
      </c>
      <c r="D160" s="3" t="s">
        <v>145</v>
      </c>
      <c r="E160" s="3" t="s">
        <v>146</v>
      </c>
      <c r="F160" s="3" t="s">
        <v>33</v>
      </c>
      <c r="G160" s="3" t="s">
        <v>54</v>
      </c>
      <c r="H160" s="3" t="s">
        <v>448</v>
      </c>
      <c r="I160" s="3" t="n">
        <v>4</v>
      </c>
      <c r="J160" s="3" t="n">
        <v>3</v>
      </c>
      <c r="K160" s="3" t="n">
        <v>4</v>
      </c>
      <c r="L160" s="3" t="n">
        <v>4</v>
      </c>
      <c r="M160" s="3" t="n">
        <v>3</v>
      </c>
      <c r="N160" s="3" t="n">
        <v>5</v>
      </c>
      <c r="O160" s="6" t="b">
        <f aca="false">FALSE()</f>
        <v>0</v>
      </c>
      <c r="P160" s="3"/>
      <c r="Q160" s="5" t="n">
        <v>46137.41875</v>
      </c>
      <c r="R160" s="5" t="n">
        <v>46138.6118055556</v>
      </c>
      <c r="S160" s="3" t="s">
        <v>37</v>
      </c>
      <c r="T160" s="7" t="n">
        <f aca="false">ROUND(MIN(IF(OR(O160=TRUE(),O160="TRUE",O160="Yes"),59,100),(I160*Rubric!$C$2+J160*Rubric!$C$3+K160*Rubric!$C$4+L160*Rubric!$C$5+M160*Rubric!$C$6+N160*Rubric!$C$7)/5),1)</f>
        <v>76</v>
      </c>
      <c r="U160" s="8" t="str">
        <f aca="false">LOOKUP(T160,Bands!$A$2:$A$6,Bands!$B$2:$B$6)</f>
        <v>Meets Expectations</v>
      </c>
      <c r="V160" s="8" t="n">
        <f aca="false">IF(Q160="","",ROUND((Q160-B160)*24,1))</f>
        <v>120</v>
      </c>
    </row>
    <row r="161" customFormat="false" ht="15" hidden="false" customHeight="false" outlineLevel="0" collapsed="false">
      <c r="A161" s="3" t="s">
        <v>449</v>
      </c>
      <c r="B161" s="5" t="n">
        <v>46132.5333333333</v>
      </c>
      <c r="C161" s="3" t="s">
        <v>39</v>
      </c>
      <c r="D161" s="3" t="s">
        <v>133</v>
      </c>
      <c r="E161" s="3" t="s">
        <v>134</v>
      </c>
      <c r="F161" s="3" t="s">
        <v>33</v>
      </c>
      <c r="G161" s="3" t="s">
        <v>42</v>
      </c>
      <c r="H161" s="3" t="s">
        <v>450</v>
      </c>
      <c r="I161" s="3" t="n">
        <v>5</v>
      </c>
      <c r="J161" s="3" t="n">
        <v>3</v>
      </c>
      <c r="K161" s="3" t="n">
        <v>5</v>
      </c>
      <c r="L161" s="3" t="n">
        <v>5</v>
      </c>
      <c r="M161" s="3" t="n">
        <v>5</v>
      </c>
      <c r="N161" s="3" t="n">
        <v>5</v>
      </c>
      <c r="O161" s="6" t="b">
        <f aca="false">FALSE()</f>
        <v>0</v>
      </c>
      <c r="P161" s="3"/>
      <c r="Q161" s="5" t="n">
        <v>46138.5333333333</v>
      </c>
      <c r="R161" s="5" t="n">
        <v>46140.1368055556</v>
      </c>
      <c r="S161" s="3" t="s">
        <v>37</v>
      </c>
      <c r="T161" s="7" t="n">
        <f aca="false">ROUND(MIN(IF(OR(O161=TRUE(),O161="TRUE",O161="Yes"),59,100),(I161*Rubric!$C$2+J161*Rubric!$C$3+K161*Rubric!$C$4+L161*Rubric!$C$5+M161*Rubric!$C$6+N161*Rubric!$C$7)/5),1)</f>
        <v>90</v>
      </c>
      <c r="U161" s="8" t="str">
        <f aca="false">LOOKUP(T161,Bands!$A$2:$A$6,Bands!$B$2:$B$6)</f>
        <v>Outstanding</v>
      </c>
      <c r="V161" s="8" t="n">
        <f aca="false">IF(Q161="","",ROUND((Q161-B161)*24,1))</f>
        <v>144</v>
      </c>
    </row>
    <row r="162" customFormat="false" ht="15" hidden="false" customHeight="false" outlineLevel="0" collapsed="false">
      <c r="A162" s="3" t="s">
        <v>451</v>
      </c>
      <c r="B162" s="5" t="n">
        <v>46132.4520833333</v>
      </c>
      <c r="C162" s="3" t="s">
        <v>68</v>
      </c>
      <c r="D162" s="3" t="s">
        <v>58</v>
      </c>
      <c r="E162" s="3" t="s">
        <v>59</v>
      </c>
      <c r="F162" s="3" t="s">
        <v>53</v>
      </c>
      <c r="G162" s="3" t="s">
        <v>54</v>
      </c>
      <c r="H162" s="3" t="s">
        <v>452</v>
      </c>
      <c r="I162" s="3" t="n">
        <v>3</v>
      </c>
      <c r="J162" s="3" t="n">
        <v>3</v>
      </c>
      <c r="K162" s="3" t="n">
        <v>2</v>
      </c>
      <c r="L162" s="3" t="n">
        <v>3</v>
      </c>
      <c r="M162" s="3" t="n">
        <v>3</v>
      </c>
      <c r="N162" s="3" t="n">
        <v>3</v>
      </c>
      <c r="O162" s="6" t="b">
        <f aca="false">FALSE()</f>
        <v>0</v>
      </c>
      <c r="P162" s="3" t="s">
        <v>49</v>
      </c>
      <c r="Q162" s="5" t="n">
        <v>46137.4520833333</v>
      </c>
      <c r="R162" s="5" t="n">
        <v>46138.7861111111</v>
      </c>
      <c r="S162" s="3" t="s">
        <v>37</v>
      </c>
      <c r="T162" s="7" t="n">
        <f aca="false">ROUND(MIN(IF(OR(O162=TRUE(),O162="TRUE",O162="Yes"),59,100),(I162*Rubric!$C$2+J162*Rubric!$C$3+K162*Rubric!$C$4+L162*Rubric!$C$5+M162*Rubric!$C$6+N162*Rubric!$C$7)/5),1)</f>
        <v>56</v>
      </c>
      <c r="U162" s="8" t="str">
        <f aca="false">LOOKUP(T162,Bands!$A$2:$A$6,Bands!$B$2:$B$6)</f>
        <v>Critical</v>
      </c>
      <c r="V162" s="8" t="n">
        <f aca="false">IF(Q162="","",ROUND((Q162-B162)*24,1))</f>
        <v>120</v>
      </c>
    </row>
    <row r="163" customFormat="false" ht="15" hidden="false" customHeight="false" outlineLevel="0" collapsed="false">
      <c r="A163" s="3" t="s">
        <v>453</v>
      </c>
      <c r="B163" s="5" t="n">
        <v>46132.4708333333</v>
      </c>
      <c r="C163" s="3" t="s">
        <v>68</v>
      </c>
      <c r="D163" s="3" t="s">
        <v>293</v>
      </c>
      <c r="E163" s="3" t="s">
        <v>294</v>
      </c>
      <c r="F163" s="3" t="s">
        <v>65</v>
      </c>
      <c r="G163" s="3" t="s">
        <v>42</v>
      </c>
      <c r="H163" s="3" t="s">
        <v>454</v>
      </c>
      <c r="I163" s="3" t="n">
        <v>4</v>
      </c>
      <c r="J163" s="3" t="n">
        <v>5</v>
      </c>
      <c r="K163" s="3" t="n">
        <v>5</v>
      </c>
      <c r="L163" s="3" t="n">
        <v>2</v>
      </c>
      <c r="M163" s="3" t="n">
        <v>5</v>
      </c>
      <c r="N163" s="3" t="n">
        <v>5</v>
      </c>
      <c r="O163" s="6" t="b">
        <f aca="false">FALSE()</f>
        <v>0</v>
      </c>
      <c r="P163" s="3" t="s">
        <v>44</v>
      </c>
      <c r="Q163" s="5" t="n">
        <v>46138.4708333333</v>
      </c>
      <c r="R163" s="5" t="n">
        <v>46139.6368055556</v>
      </c>
      <c r="S163" s="3" t="s">
        <v>37</v>
      </c>
      <c r="T163" s="7" t="n">
        <f aca="false">ROUND(MIN(IF(OR(O163=TRUE(),O163="TRUE",O163="Yes"),59,100),(I163*Rubric!$C$2+J163*Rubric!$C$3+K163*Rubric!$C$4+L163*Rubric!$C$5+M163*Rubric!$C$6+N163*Rubric!$C$7)/5),1)</f>
        <v>88</v>
      </c>
      <c r="U163" s="8" t="str">
        <f aca="false">LOOKUP(T163,Bands!$A$2:$A$6,Bands!$B$2:$B$6)</f>
        <v>Solid Performance</v>
      </c>
      <c r="V163" s="8" t="n">
        <f aca="false">IF(Q163="","",ROUND((Q163-B163)*24,1))</f>
        <v>144</v>
      </c>
    </row>
    <row r="164" customFormat="false" ht="15" hidden="false" customHeight="false" outlineLevel="0" collapsed="false">
      <c r="A164" s="3" t="s">
        <v>455</v>
      </c>
      <c r="B164" s="5" t="n">
        <v>46132.4708333333</v>
      </c>
      <c r="C164" s="3" t="s">
        <v>30</v>
      </c>
      <c r="D164" s="3" t="s">
        <v>115</v>
      </c>
      <c r="E164" s="3" t="s">
        <v>116</v>
      </c>
      <c r="F164" s="3" t="s">
        <v>33</v>
      </c>
      <c r="G164" s="3" t="s">
        <v>54</v>
      </c>
      <c r="H164" s="3" t="s">
        <v>456</v>
      </c>
      <c r="I164" s="3" t="n">
        <v>3</v>
      </c>
      <c r="J164" s="3" t="n">
        <v>4</v>
      </c>
      <c r="K164" s="3" t="n">
        <v>4</v>
      </c>
      <c r="L164" s="3" t="n">
        <v>5</v>
      </c>
      <c r="M164" s="3" t="n">
        <v>2</v>
      </c>
      <c r="N164" s="3" t="n">
        <v>4</v>
      </c>
      <c r="O164" s="6" t="b">
        <f aca="false">FALSE()</f>
        <v>0</v>
      </c>
      <c r="P164" s="3" t="s">
        <v>103</v>
      </c>
      <c r="Q164" s="5" t="n">
        <v>46135.4708333333</v>
      </c>
      <c r="R164" s="5" t="n">
        <v>46137.7180555556</v>
      </c>
      <c r="S164" s="3" t="s">
        <v>37</v>
      </c>
      <c r="T164" s="7" t="n">
        <f aca="false">ROUND(MIN(IF(OR(O164=TRUE(),O164="TRUE",O164="Yes"),59,100),(I164*Rubric!$C$2+J164*Rubric!$C$3+K164*Rubric!$C$4+L164*Rubric!$C$5+M164*Rubric!$C$6+N164*Rubric!$C$7)/5),1)</f>
        <v>76</v>
      </c>
      <c r="U164" s="8" t="str">
        <f aca="false">LOOKUP(T164,Bands!$A$2:$A$6,Bands!$B$2:$B$6)</f>
        <v>Meets Expectations</v>
      </c>
      <c r="V164" s="8" t="n">
        <f aca="false">IF(Q164="","",ROUND((Q164-B164)*24,1))</f>
        <v>72</v>
      </c>
    </row>
    <row r="165" customFormat="false" ht="15" hidden="false" customHeight="false" outlineLevel="0" collapsed="false">
      <c r="A165" s="3" t="s">
        <v>457</v>
      </c>
      <c r="B165" s="5" t="n">
        <v>46132.4291666667</v>
      </c>
      <c r="C165" s="3" t="s">
        <v>30</v>
      </c>
      <c r="D165" s="3" t="s">
        <v>81</v>
      </c>
      <c r="E165" s="3" t="s">
        <v>82</v>
      </c>
      <c r="F165" s="3" t="s">
        <v>65</v>
      </c>
      <c r="G165" s="3" t="s">
        <v>54</v>
      </c>
      <c r="H165" s="3" t="s">
        <v>458</v>
      </c>
      <c r="I165" s="3" t="n">
        <v>5</v>
      </c>
      <c r="J165" s="3" t="n">
        <v>3</v>
      </c>
      <c r="K165" s="3" t="n">
        <v>4</v>
      </c>
      <c r="L165" s="3" t="n">
        <v>5</v>
      </c>
      <c r="M165" s="3" t="n">
        <v>4</v>
      </c>
      <c r="N165" s="3" t="n">
        <v>5</v>
      </c>
      <c r="O165" s="6" t="b">
        <f aca="false">FALSE()</f>
        <v>0</v>
      </c>
      <c r="P165" s="3"/>
      <c r="Q165" s="5" t="n">
        <v>46137.4291666667</v>
      </c>
      <c r="R165" s="5" t="n">
        <v>46138.01875</v>
      </c>
      <c r="S165" s="3" t="s">
        <v>37</v>
      </c>
      <c r="T165" s="7" t="n">
        <f aca="false">ROUND(MIN(IF(OR(O165=TRUE(),O165="TRUE",O165="Yes"),59,100),(I165*Rubric!$C$2+J165*Rubric!$C$3+K165*Rubric!$C$4+L165*Rubric!$C$5+M165*Rubric!$C$6+N165*Rubric!$C$7)/5),1)</f>
        <v>84</v>
      </c>
      <c r="U165" s="8" t="str">
        <f aca="false">LOOKUP(T165,Bands!$A$2:$A$6,Bands!$B$2:$B$6)</f>
        <v>Solid Performance</v>
      </c>
      <c r="V165" s="8" t="n">
        <f aca="false">IF(Q165="","",ROUND((Q165-B165)*24,1))</f>
        <v>120</v>
      </c>
    </row>
    <row r="166" customFormat="false" ht="15" hidden="false" customHeight="false" outlineLevel="0" collapsed="false">
      <c r="A166" s="3" t="s">
        <v>459</v>
      </c>
      <c r="B166" s="5" t="n">
        <v>46132.5375</v>
      </c>
      <c r="C166" s="3" t="s">
        <v>68</v>
      </c>
      <c r="D166" s="3" t="s">
        <v>155</v>
      </c>
      <c r="E166" s="3" t="s">
        <v>156</v>
      </c>
      <c r="F166" s="3" t="s">
        <v>65</v>
      </c>
      <c r="G166" s="3" t="s">
        <v>42</v>
      </c>
      <c r="H166" s="3" t="s">
        <v>460</v>
      </c>
      <c r="I166" s="3" t="n">
        <v>3</v>
      </c>
      <c r="J166" s="3" t="n">
        <v>4</v>
      </c>
      <c r="K166" s="3" t="n">
        <v>4</v>
      </c>
      <c r="L166" s="3" t="n">
        <v>3</v>
      </c>
      <c r="M166" s="3" t="n">
        <v>4</v>
      </c>
      <c r="N166" s="3" t="n">
        <v>4</v>
      </c>
      <c r="O166" s="6" t="b">
        <f aca="false">FALSE()</f>
        <v>0</v>
      </c>
      <c r="P166" s="3"/>
      <c r="Q166" s="5" t="n">
        <v>46136.5375</v>
      </c>
      <c r="R166" s="5" t="n">
        <v>46136.9743055556</v>
      </c>
      <c r="S166" s="3" t="s">
        <v>37</v>
      </c>
      <c r="T166" s="7" t="n">
        <f aca="false">ROUND(MIN(IF(OR(O166=TRUE(),O166="TRUE",O166="Yes"),59,100),(I166*Rubric!$C$2+J166*Rubric!$C$3+K166*Rubric!$C$4+L166*Rubric!$C$5+M166*Rubric!$C$6+N166*Rubric!$C$7)/5),1)</f>
        <v>74</v>
      </c>
      <c r="U166" s="8" t="str">
        <f aca="false">LOOKUP(T166,Bands!$A$2:$A$6,Bands!$B$2:$B$6)</f>
        <v>Meets Expectations</v>
      </c>
      <c r="V166" s="8" t="n">
        <f aca="false">IF(Q166="","",ROUND((Q166-B166)*24,1))</f>
        <v>96</v>
      </c>
    </row>
    <row r="167" customFormat="false" ht="15" hidden="false" customHeight="false" outlineLevel="0" collapsed="false">
      <c r="A167" s="3" t="s">
        <v>461</v>
      </c>
      <c r="B167" s="5" t="n">
        <v>46132.4284722222</v>
      </c>
      <c r="C167" s="3" t="s">
        <v>30</v>
      </c>
      <c r="D167" s="3" t="s">
        <v>265</v>
      </c>
      <c r="E167" s="3" t="s">
        <v>266</v>
      </c>
      <c r="F167" s="3" t="s">
        <v>33</v>
      </c>
      <c r="G167" s="3" t="s">
        <v>54</v>
      </c>
      <c r="H167" s="3" t="s">
        <v>462</v>
      </c>
      <c r="I167" s="3" t="n">
        <v>4</v>
      </c>
      <c r="J167" s="3" t="n">
        <v>2</v>
      </c>
      <c r="K167" s="3" t="n">
        <v>3</v>
      </c>
      <c r="L167" s="3" t="n">
        <v>4</v>
      </c>
      <c r="M167" s="3" t="n">
        <v>4</v>
      </c>
      <c r="N167" s="3" t="n">
        <v>3</v>
      </c>
      <c r="O167" s="6" t="b">
        <f aca="false">FALSE()</f>
        <v>0</v>
      </c>
      <c r="P167" s="3" t="s">
        <v>56</v>
      </c>
      <c r="Q167" s="5" t="n">
        <v>46139.4284722222</v>
      </c>
      <c r="R167" s="5" t="n">
        <v>46142.9625</v>
      </c>
      <c r="S167" s="3" t="s">
        <v>37</v>
      </c>
      <c r="T167" s="7" t="n">
        <f aca="false">ROUND(MIN(IF(OR(O167=TRUE(),O167="TRUE",O167="Yes"),59,100),(I167*Rubric!$C$2+J167*Rubric!$C$3+K167*Rubric!$C$4+L167*Rubric!$C$5+M167*Rubric!$C$6+N167*Rubric!$C$7)/5),1)</f>
        <v>63</v>
      </c>
      <c r="U167" s="8" t="str">
        <f aca="false">LOOKUP(T167,Bands!$A$2:$A$6,Bands!$B$2:$B$6)</f>
        <v>Needs Improvement</v>
      </c>
      <c r="V167" s="8" t="n">
        <f aca="false">IF(Q167="","",ROUND((Q167-B167)*24,1))</f>
        <v>168</v>
      </c>
    </row>
    <row r="168" customFormat="false" ht="15" hidden="false" customHeight="false" outlineLevel="0" collapsed="false">
      <c r="A168" s="3" t="s">
        <v>463</v>
      </c>
      <c r="B168" s="5" t="n">
        <v>46132.425</v>
      </c>
      <c r="C168" s="3" t="s">
        <v>39</v>
      </c>
      <c r="D168" s="3" t="s">
        <v>111</v>
      </c>
      <c r="E168" s="3" t="s">
        <v>112</v>
      </c>
      <c r="F168" s="3" t="s">
        <v>33</v>
      </c>
      <c r="G168" s="3" t="s">
        <v>42</v>
      </c>
      <c r="H168" s="3" t="s">
        <v>464</v>
      </c>
      <c r="I168" s="3" t="n">
        <v>2</v>
      </c>
      <c r="J168" s="3" t="n">
        <v>5</v>
      </c>
      <c r="K168" s="3" t="n">
        <v>5</v>
      </c>
      <c r="L168" s="3" t="n">
        <v>4</v>
      </c>
      <c r="M168" s="3" t="n">
        <v>5</v>
      </c>
      <c r="N168" s="3" t="n">
        <v>4</v>
      </c>
      <c r="O168" s="6" t="b">
        <f aca="false">FALSE()</f>
        <v>0</v>
      </c>
      <c r="P168" s="3" t="s">
        <v>88</v>
      </c>
      <c r="Q168" s="5" t="n">
        <v>46139.425</v>
      </c>
      <c r="R168" s="5" t="n">
        <v>46141.7159722222</v>
      </c>
      <c r="S168" s="3" t="s">
        <v>37</v>
      </c>
      <c r="T168" s="7" t="n">
        <f aca="false">ROUND(MIN(IF(OR(O168=TRUE(),O168="TRUE",O168="Yes"),59,100),(I168*Rubric!$C$2+J168*Rubric!$C$3+K168*Rubric!$C$4+L168*Rubric!$C$5+M168*Rubric!$C$6+N168*Rubric!$C$7)/5),1)</f>
        <v>85</v>
      </c>
      <c r="U168" s="8" t="str">
        <f aca="false">LOOKUP(T168,Bands!$A$2:$A$6,Bands!$B$2:$B$6)</f>
        <v>Solid Performance</v>
      </c>
      <c r="V168" s="8" t="n">
        <f aca="false">IF(Q168="","",ROUND((Q168-B168)*24,1))</f>
        <v>168</v>
      </c>
    </row>
    <row r="169" customFormat="false" ht="15" hidden="false" customHeight="false" outlineLevel="0" collapsed="false">
      <c r="A169" s="3" t="s">
        <v>465</v>
      </c>
      <c r="B169" s="5" t="n">
        <v>46132.5875</v>
      </c>
      <c r="C169" s="3" t="s">
        <v>68</v>
      </c>
      <c r="D169" s="3" t="s">
        <v>51</v>
      </c>
      <c r="E169" s="3" t="s">
        <v>52</v>
      </c>
      <c r="F169" s="3" t="s">
        <v>53</v>
      </c>
      <c r="G169" s="3" t="s">
        <v>54</v>
      </c>
      <c r="H169" s="3" t="s">
        <v>466</v>
      </c>
      <c r="I169" s="3" t="n">
        <v>5</v>
      </c>
      <c r="J169" s="3" t="n">
        <v>2</v>
      </c>
      <c r="K169" s="3" t="n">
        <v>4</v>
      </c>
      <c r="L169" s="3" t="n">
        <v>5</v>
      </c>
      <c r="M169" s="3" t="n">
        <v>5</v>
      </c>
      <c r="N169" s="3" t="n">
        <v>3</v>
      </c>
      <c r="O169" s="6" t="b">
        <f aca="false">FALSE()</f>
        <v>0</v>
      </c>
      <c r="P169" s="3" t="s">
        <v>56</v>
      </c>
      <c r="Q169" s="5" t="n">
        <v>46141.5875</v>
      </c>
      <c r="R169" s="5" t="n">
        <v>46143.4083333333</v>
      </c>
      <c r="S169" s="3" t="s">
        <v>37</v>
      </c>
      <c r="T169" s="7" t="n">
        <f aca="false">ROUND(MIN(IF(OR(O169=TRUE(),O169="TRUE",O169="Yes"),59,100),(I169*Rubric!$C$2+J169*Rubric!$C$3+K169*Rubric!$C$4+L169*Rubric!$C$5+M169*Rubric!$C$6+N169*Rubric!$C$7)/5),1)</f>
        <v>75</v>
      </c>
      <c r="U169" s="8" t="str">
        <f aca="false">LOOKUP(T169,Bands!$A$2:$A$6,Bands!$B$2:$B$6)</f>
        <v>Meets Expectations</v>
      </c>
      <c r="V169" s="8" t="n">
        <f aca="false">IF(Q169="","",ROUND((Q169-B169)*24,1))</f>
        <v>216</v>
      </c>
    </row>
    <row r="170" customFormat="false" ht="15" hidden="false" customHeight="false" outlineLevel="0" collapsed="false">
      <c r="A170" s="3" t="s">
        <v>467</v>
      </c>
      <c r="B170" s="5" t="n">
        <v>46133.4506944444</v>
      </c>
      <c r="C170" s="3" t="s">
        <v>39</v>
      </c>
      <c r="D170" s="3" t="s">
        <v>58</v>
      </c>
      <c r="E170" s="3" t="s">
        <v>59</v>
      </c>
      <c r="F170" s="3" t="s">
        <v>53</v>
      </c>
      <c r="G170" s="3" t="s">
        <v>54</v>
      </c>
      <c r="H170" s="3" t="s">
        <v>468</v>
      </c>
      <c r="I170" s="3" t="n">
        <v>3</v>
      </c>
      <c r="J170" s="3" t="n">
        <v>3</v>
      </c>
      <c r="K170" s="3" t="n">
        <v>2</v>
      </c>
      <c r="L170" s="3" t="n">
        <v>3</v>
      </c>
      <c r="M170" s="3" t="n">
        <v>3</v>
      </c>
      <c r="N170" s="3" t="n">
        <v>3</v>
      </c>
      <c r="O170" s="6" t="b">
        <f aca="false">FALSE()</f>
        <v>0</v>
      </c>
      <c r="P170" s="3" t="s">
        <v>49</v>
      </c>
      <c r="Q170" s="5" t="n">
        <v>46137.4506944444</v>
      </c>
      <c r="R170" s="5" t="n">
        <v>46139.1666666667</v>
      </c>
      <c r="S170" s="3" t="s">
        <v>37</v>
      </c>
      <c r="T170" s="7" t="n">
        <f aca="false">ROUND(MIN(IF(OR(O170=TRUE(),O170="TRUE",O170="Yes"),59,100),(I170*Rubric!$C$2+J170*Rubric!$C$3+K170*Rubric!$C$4+L170*Rubric!$C$5+M170*Rubric!$C$6+N170*Rubric!$C$7)/5),1)</f>
        <v>56</v>
      </c>
      <c r="U170" s="8" t="str">
        <f aca="false">LOOKUP(T170,Bands!$A$2:$A$6,Bands!$B$2:$B$6)</f>
        <v>Critical</v>
      </c>
      <c r="V170" s="8" t="n">
        <f aca="false">IF(Q170="","",ROUND((Q170-B170)*24,1))</f>
        <v>96</v>
      </c>
    </row>
    <row r="171" customFormat="false" ht="15" hidden="false" customHeight="false" outlineLevel="0" collapsed="false">
      <c r="A171" s="3" t="s">
        <v>469</v>
      </c>
      <c r="B171" s="5" t="n">
        <v>46133.5256944444</v>
      </c>
      <c r="C171" s="3" t="s">
        <v>68</v>
      </c>
      <c r="D171" s="3" t="s">
        <v>119</v>
      </c>
      <c r="E171" s="3" t="s">
        <v>120</v>
      </c>
      <c r="F171" s="3" t="s">
        <v>33</v>
      </c>
      <c r="G171" s="3" t="s">
        <v>54</v>
      </c>
      <c r="H171" s="3" t="s">
        <v>470</v>
      </c>
      <c r="I171" s="3" t="n">
        <v>5</v>
      </c>
      <c r="J171" s="3" t="n">
        <v>3</v>
      </c>
      <c r="K171" s="3" t="n">
        <v>4</v>
      </c>
      <c r="L171" s="3" t="n">
        <v>3</v>
      </c>
      <c r="M171" s="3" t="n">
        <v>4</v>
      </c>
      <c r="N171" s="3" t="n">
        <v>2</v>
      </c>
      <c r="O171" s="6" t="b">
        <f aca="false">FALSE()</f>
        <v>0</v>
      </c>
      <c r="P171" s="3" t="s">
        <v>36</v>
      </c>
      <c r="Q171" s="5" t="n">
        <v>46139.5256944444</v>
      </c>
      <c r="R171" s="5" t="n">
        <v>46139.8576388889</v>
      </c>
      <c r="S171" s="3" t="s">
        <v>37</v>
      </c>
      <c r="T171" s="7" t="n">
        <f aca="false">ROUND(MIN(IF(OR(O171=TRUE(),O171="TRUE",O171="Yes"),59,100),(I171*Rubric!$C$2+J171*Rubric!$C$3+K171*Rubric!$C$4+L171*Rubric!$C$5+M171*Rubric!$C$6+N171*Rubric!$C$7)/5),1)</f>
        <v>69</v>
      </c>
      <c r="U171" s="8" t="str">
        <f aca="false">LOOKUP(T171,Bands!$A$2:$A$6,Bands!$B$2:$B$6)</f>
        <v>Needs Improvement</v>
      </c>
      <c r="V171" s="8" t="n">
        <f aca="false">IF(Q171="","",ROUND((Q171-B171)*24,1))</f>
        <v>144</v>
      </c>
    </row>
    <row r="172" customFormat="false" ht="15" hidden="false" customHeight="false" outlineLevel="0" collapsed="false">
      <c r="A172" s="3" t="s">
        <v>471</v>
      </c>
      <c r="B172" s="5" t="n">
        <v>46133.6777777778</v>
      </c>
      <c r="C172" s="3" t="s">
        <v>30</v>
      </c>
      <c r="D172" s="3" t="s">
        <v>212</v>
      </c>
      <c r="E172" s="3" t="s">
        <v>213</v>
      </c>
      <c r="F172" s="3" t="s">
        <v>33</v>
      </c>
      <c r="G172" s="3" t="s">
        <v>54</v>
      </c>
      <c r="H172" s="3" t="s">
        <v>472</v>
      </c>
      <c r="I172" s="3" t="n">
        <v>3</v>
      </c>
      <c r="J172" s="3" t="n">
        <v>3</v>
      </c>
      <c r="K172" s="3" t="n">
        <v>3</v>
      </c>
      <c r="L172" s="3" t="n">
        <v>4</v>
      </c>
      <c r="M172" s="3" t="n">
        <v>4</v>
      </c>
      <c r="N172" s="3" t="n">
        <v>4</v>
      </c>
      <c r="O172" s="6" t="b">
        <f aca="false">FALSE()</f>
        <v>0</v>
      </c>
      <c r="P172" s="3"/>
      <c r="Q172" s="5" t="n">
        <v>46140.6777777778</v>
      </c>
      <c r="R172" s="5" t="n">
        <v>46143.0611111111</v>
      </c>
      <c r="S172" s="3" t="s">
        <v>37</v>
      </c>
      <c r="T172" s="7" t="n">
        <f aca="false">ROUND(MIN(IF(OR(O172=TRUE(),O172="TRUE",O172="Yes"),59,100),(I172*Rubric!$C$2+J172*Rubric!$C$3+K172*Rubric!$C$4+L172*Rubric!$C$5+M172*Rubric!$C$6+N172*Rubric!$C$7)/5),1)</f>
        <v>68</v>
      </c>
      <c r="U172" s="8" t="str">
        <f aca="false">LOOKUP(T172,Bands!$A$2:$A$6,Bands!$B$2:$B$6)</f>
        <v>Needs Improvement</v>
      </c>
      <c r="V172" s="8" t="n">
        <f aca="false">IF(Q172="","",ROUND((Q172-B172)*24,1))</f>
        <v>168</v>
      </c>
    </row>
    <row r="173" customFormat="false" ht="15" hidden="false" customHeight="false" outlineLevel="0" collapsed="false">
      <c r="A173" s="3" t="s">
        <v>473</v>
      </c>
      <c r="B173" s="5" t="n">
        <v>46133.6590277778</v>
      </c>
      <c r="C173" s="3" t="s">
        <v>30</v>
      </c>
      <c r="D173" s="3" t="s">
        <v>90</v>
      </c>
      <c r="E173" s="3" t="s">
        <v>91</v>
      </c>
      <c r="F173" s="3" t="s">
        <v>65</v>
      </c>
      <c r="G173" s="3" t="s">
        <v>34</v>
      </c>
      <c r="H173" s="3" t="s">
        <v>474</v>
      </c>
      <c r="I173" s="3" t="n">
        <v>5</v>
      </c>
      <c r="J173" s="3" t="n">
        <v>4</v>
      </c>
      <c r="K173" s="3" t="n">
        <v>4</v>
      </c>
      <c r="L173" s="3" t="n">
        <v>3</v>
      </c>
      <c r="M173" s="3" t="n">
        <v>3</v>
      </c>
      <c r="N173" s="3" t="n">
        <v>3</v>
      </c>
      <c r="O173" s="6" t="b">
        <f aca="false">FALSE()</f>
        <v>0</v>
      </c>
      <c r="P173" s="3"/>
      <c r="Q173" s="5" t="n">
        <v>46140.6590277778</v>
      </c>
      <c r="R173" s="5" t="n">
        <v>46142.7444444444</v>
      </c>
      <c r="S173" s="3" t="s">
        <v>37</v>
      </c>
      <c r="T173" s="7" t="n">
        <f aca="false">ROUND(MIN(IF(OR(O173=TRUE(),O173="TRUE",O173="Yes"),59,100),(I173*Rubric!$C$2+J173*Rubric!$C$3+K173*Rubric!$C$4+L173*Rubric!$C$5+M173*Rubric!$C$6+N173*Rubric!$C$7)/5),1)</f>
        <v>75</v>
      </c>
      <c r="U173" s="8" t="str">
        <f aca="false">LOOKUP(T173,Bands!$A$2:$A$6,Bands!$B$2:$B$6)</f>
        <v>Meets Expectations</v>
      </c>
      <c r="V173" s="8" t="n">
        <f aca="false">IF(Q173="","",ROUND((Q173-B173)*24,1))</f>
        <v>168</v>
      </c>
    </row>
    <row r="174" customFormat="false" ht="15" hidden="false" customHeight="false" outlineLevel="0" collapsed="false">
      <c r="A174" s="3" t="s">
        <v>475</v>
      </c>
      <c r="B174" s="5" t="n">
        <v>46133.3923611111</v>
      </c>
      <c r="C174" s="3" t="s">
        <v>68</v>
      </c>
      <c r="D174" s="3" t="s">
        <v>155</v>
      </c>
      <c r="E174" s="3" t="s">
        <v>156</v>
      </c>
      <c r="F174" s="3" t="s">
        <v>65</v>
      </c>
      <c r="G174" s="3" t="s">
        <v>54</v>
      </c>
      <c r="H174" s="3" t="s">
        <v>476</v>
      </c>
      <c r="I174" s="3" t="n">
        <v>2</v>
      </c>
      <c r="J174" s="3" t="n">
        <v>4</v>
      </c>
      <c r="K174" s="3" t="n">
        <v>4</v>
      </c>
      <c r="L174" s="3" t="n">
        <v>4</v>
      </c>
      <c r="M174" s="3" t="n">
        <v>5</v>
      </c>
      <c r="N174" s="3" t="n">
        <v>3</v>
      </c>
      <c r="O174" s="6" t="b">
        <f aca="false">FALSE()</f>
        <v>0</v>
      </c>
      <c r="P174" s="3" t="s">
        <v>88</v>
      </c>
      <c r="Q174" s="5" t="n">
        <v>46138.3923611111</v>
      </c>
      <c r="R174" s="5" t="n">
        <v>46138.5145833333</v>
      </c>
      <c r="S174" s="3" t="s">
        <v>37</v>
      </c>
      <c r="T174" s="7" t="n">
        <f aca="false">ROUND(MIN(IF(OR(O174=TRUE(),O174="TRUE",O174="Yes"),59,100),(I174*Rubric!$C$2+J174*Rubric!$C$3+K174*Rubric!$C$4+L174*Rubric!$C$5+M174*Rubric!$C$6+N174*Rubric!$C$7)/5),1)</f>
        <v>73</v>
      </c>
      <c r="U174" s="8" t="str">
        <f aca="false">LOOKUP(T174,Bands!$A$2:$A$6,Bands!$B$2:$B$6)</f>
        <v>Meets Expectations</v>
      </c>
      <c r="V174" s="8" t="n">
        <f aca="false">IF(Q174="","",ROUND((Q174-B174)*24,1))</f>
        <v>120</v>
      </c>
    </row>
    <row r="175" customFormat="false" ht="15" hidden="false" customHeight="false" outlineLevel="0" collapsed="false">
      <c r="A175" s="3" t="s">
        <v>477</v>
      </c>
      <c r="B175" s="5" t="n">
        <v>46133.4041666667</v>
      </c>
      <c r="C175" s="3" t="s">
        <v>39</v>
      </c>
      <c r="D175" s="3" t="s">
        <v>222</v>
      </c>
      <c r="E175" s="3" t="s">
        <v>223</v>
      </c>
      <c r="F175" s="3" t="s">
        <v>53</v>
      </c>
      <c r="G175" s="3" t="s">
        <v>42</v>
      </c>
      <c r="H175" s="3" t="s">
        <v>478</v>
      </c>
      <c r="I175" s="3" t="n">
        <v>4</v>
      </c>
      <c r="J175" s="3" t="n">
        <v>4</v>
      </c>
      <c r="K175" s="3" t="n">
        <v>4</v>
      </c>
      <c r="L175" s="3" t="n">
        <v>4</v>
      </c>
      <c r="M175" s="3" t="n">
        <v>4</v>
      </c>
      <c r="N175" s="3" t="n">
        <v>3</v>
      </c>
      <c r="O175" s="6" t="b">
        <f aca="false">FALSE()</f>
        <v>0</v>
      </c>
      <c r="P175" s="3"/>
      <c r="Q175" s="5" t="n">
        <v>46142.4041666667</v>
      </c>
      <c r="R175" s="5" t="n">
        <v>46145.1902777778</v>
      </c>
      <c r="S175" s="3" t="s">
        <v>37</v>
      </c>
      <c r="T175" s="7" t="n">
        <f aca="false">ROUND(MIN(IF(OR(O175=TRUE(),O175="TRUE",O175="Yes"),59,100),(I175*Rubric!$C$2+J175*Rubric!$C$3+K175*Rubric!$C$4+L175*Rubric!$C$5+M175*Rubric!$C$6+N175*Rubric!$C$7)/5),1)</f>
        <v>77</v>
      </c>
      <c r="U175" s="8" t="str">
        <f aca="false">LOOKUP(T175,Bands!$A$2:$A$6,Bands!$B$2:$B$6)</f>
        <v>Meets Expectations</v>
      </c>
      <c r="V175" s="8" t="n">
        <f aca="false">IF(Q175="","",ROUND((Q175-B175)*24,1))</f>
        <v>216</v>
      </c>
    </row>
    <row r="176" customFormat="false" ht="15" hidden="false" customHeight="false" outlineLevel="0" collapsed="false">
      <c r="A176" s="3" t="s">
        <v>479</v>
      </c>
      <c r="B176" s="5" t="n">
        <v>46133.4770833333</v>
      </c>
      <c r="C176" s="3" t="s">
        <v>30</v>
      </c>
      <c r="D176" s="3" t="s">
        <v>161</v>
      </c>
      <c r="E176" s="3" t="s">
        <v>162</v>
      </c>
      <c r="F176" s="3" t="s">
        <v>33</v>
      </c>
      <c r="G176" s="3" t="s">
        <v>34</v>
      </c>
      <c r="H176" s="3" t="s">
        <v>480</v>
      </c>
      <c r="I176" s="3" t="n">
        <v>4</v>
      </c>
      <c r="J176" s="3" t="n">
        <v>4</v>
      </c>
      <c r="K176" s="3" t="n">
        <v>5</v>
      </c>
      <c r="L176" s="3" t="n">
        <v>5</v>
      </c>
      <c r="M176" s="3" t="n">
        <v>2</v>
      </c>
      <c r="N176" s="3" t="n">
        <v>5</v>
      </c>
      <c r="O176" s="6" t="b">
        <f aca="false">FALSE()</f>
        <v>0</v>
      </c>
      <c r="P176" s="3" t="s">
        <v>103</v>
      </c>
      <c r="Q176" s="5" t="n">
        <v>46140.4770833333</v>
      </c>
      <c r="R176" s="5" t="n">
        <v>46140.7034722222</v>
      </c>
      <c r="S176" s="3" t="s">
        <v>37</v>
      </c>
      <c r="T176" s="7" t="n">
        <f aca="false">ROUND(MIN(IF(OR(O176=TRUE(),O176="TRUE",O176="Yes"),59,100),(I176*Rubric!$C$2+J176*Rubric!$C$3+K176*Rubric!$C$4+L176*Rubric!$C$5+M176*Rubric!$C$6+N176*Rubric!$C$7)/5),1)</f>
        <v>86</v>
      </c>
      <c r="U176" s="8" t="str">
        <f aca="false">LOOKUP(T176,Bands!$A$2:$A$6,Bands!$B$2:$B$6)</f>
        <v>Solid Performance</v>
      </c>
      <c r="V176" s="8" t="n">
        <f aca="false">IF(Q176="","",ROUND((Q176-B176)*24,1))</f>
        <v>168</v>
      </c>
    </row>
    <row r="177" customFormat="false" ht="15" hidden="false" customHeight="false" outlineLevel="0" collapsed="false">
      <c r="A177" s="3" t="s">
        <v>481</v>
      </c>
      <c r="B177" s="5" t="n">
        <v>46133.4402777778</v>
      </c>
      <c r="C177" s="3" t="s">
        <v>30</v>
      </c>
      <c r="D177" s="3" t="s">
        <v>194</v>
      </c>
      <c r="E177" s="3" t="s">
        <v>195</v>
      </c>
      <c r="F177" s="3" t="s">
        <v>53</v>
      </c>
      <c r="G177" s="3" t="s">
        <v>34</v>
      </c>
      <c r="H177" s="3" t="s">
        <v>482</v>
      </c>
      <c r="I177" s="3" t="n">
        <v>4</v>
      </c>
      <c r="J177" s="3" t="n">
        <v>5</v>
      </c>
      <c r="K177" s="3" t="n">
        <v>4</v>
      </c>
      <c r="L177" s="3" t="n">
        <v>2</v>
      </c>
      <c r="M177" s="3" t="n">
        <v>4</v>
      </c>
      <c r="N177" s="3" t="n">
        <v>0</v>
      </c>
      <c r="O177" s="6" t="b">
        <f aca="false">TRUE()</f>
        <v>1</v>
      </c>
      <c r="P177" s="3" t="s">
        <v>128</v>
      </c>
      <c r="Q177" s="5" t="n">
        <v>46138.4402777778</v>
      </c>
      <c r="R177" s="5" t="n">
        <v>46138.7590277778</v>
      </c>
      <c r="S177" s="3" t="s">
        <v>37</v>
      </c>
      <c r="T177" s="7" t="n">
        <f aca="false">ROUND(MIN(IF(OR(O177=TRUE(),O177="TRUE",O177="Yes"),59,100),(I177*Rubric!$C$2+J177*Rubric!$C$3+K177*Rubric!$C$4+L177*Rubric!$C$5+M177*Rubric!$C$6+N177*Rubric!$C$7)/5),1)</f>
        <v>59</v>
      </c>
      <c r="U177" s="8" t="str">
        <f aca="false">LOOKUP(T177,Bands!$A$2:$A$6,Bands!$B$2:$B$6)</f>
        <v>Critical</v>
      </c>
      <c r="V177" s="8" t="n">
        <f aca="false">IF(Q177="","",ROUND((Q177-B177)*24,1))</f>
        <v>120</v>
      </c>
    </row>
    <row r="178" customFormat="false" ht="15" hidden="false" customHeight="false" outlineLevel="0" collapsed="false">
      <c r="A178" s="3" t="s">
        <v>483</v>
      </c>
      <c r="B178" s="5" t="n">
        <v>46133.5895833333</v>
      </c>
      <c r="C178" s="3" t="s">
        <v>39</v>
      </c>
      <c r="D178" s="3" t="s">
        <v>145</v>
      </c>
      <c r="E178" s="3" t="s">
        <v>146</v>
      </c>
      <c r="F178" s="3" t="s">
        <v>33</v>
      </c>
      <c r="G178" s="3" t="s">
        <v>42</v>
      </c>
      <c r="H178" s="3" t="s">
        <v>484</v>
      </c>
      <c r="I178" s="3" t="n">
        <v>4</v>
      </c>
      <c r="J178" s="3" t="n">
        <v>3</v>
      </c>
      <c r="K178" s="3" t="n">
        <v>4</v>
      </c>
      <c r="L178" s="3" t="n">
        <v>4</v>
      </c>
      <c r="M178" s="3" t="n">
        <v>4</v>
      </c>
      <c r="N178" s="3" t="n">
        <v>4</v>
      </c>
      <c r="O178" s="6" t="b">
        <f aca="false">FALSE()</f>
        <v>0</v>
      </c>
      <c r="P178" s="3"/>
      <c r="Q178" s="5" t="n">
        <v>46139.5895833333</v>
      </c>
      <c r="R178" s="5" t="n">
        <v>46140.1736111111</v>
      </c>
      <c r="S178" s="3" t="s">
        <v>37</v>
      </c>
      <c r="T178" s="7" t="n">
        <f aca="false">ROUND(MIN(IF(OR(O178=TRUE(),O178="TRUE",O178="Yes"),59,100),(I178*Rubric!$C$2+J178*Rubric!$C$3+K178*Rubric!$C$4+L178*Rubric!$C$5+M178*Rubric!$C$6+N178*Rubric!$C$7)/5),1)</f>
        <v>75</v>
      </c>
      <c r="U178" s="8" t="str">
        <f aca="false">LOOKUP(T178,Bands!$A$2:$A$6,Bands!$B$2:$B$6)</f>
        <v>Meets Expectations</v>
      </c>
      <c r="V178" s="8" t="n">
        <f aca="false">IF(Q178="","",ROUND((Q178-B178)*24,1))</f>
        <v>144</v>
      </c>
    </row>
    <row r="179" customFormat="false" ht="15" hidden="false" customHeight="false" outlineLevel="0" collapsed="false">
      <c r="A179" s="3" t="s">
        <v>485</v>
      </c>
      <c r="B179" s="5" t="n">
        <v>46133.4770833333</v>
      </c>
      <c r="C179" s="3" t="s">
        <v>39</v>
      </c>
      <c r="D179" s="3" t="s">
        <v>486</v>
      </c>
      <c r="E179" s="3" t="s">
        <v>487</v>
      </c>
      <c r="F179" s="3" t="s">
        <v>65</v>
      </c>
      <c r="G179" s="3" t="s">
        <v>42</v>
      </c>
      <c r="H179" s="3" t="s">
        <v>488</v>
      </c>
      <c r="I179" s="3" t="n">
        <v>5</v>
      </c>
      <c r="J179" s="3" t="n">
        <v>1</v>
      </c>
      <c r="K179" s="3" t="n">
        <v>5</v>
      </c>
      <c r="L179" s="3" t="n">
        <v>5</v>
      </c>
      <c r="M179" s="3" t="n">
        <v>5</v>
      </c>
      <c r="N179" s="3" t="n">
        <v>4</v>
      </c>
      <c r="O179" s="6" t="b">
        <f aca="false">FALSE()</f>
        <v>0</v>
      </c>
      <c r="P179" s="3" t="s">
        <v>56</v>
      </c>
      <c r="Q179" s="5" t="n">
        <v>46136.4770833333</v>
      </c>
      <c r="R179" s="5" t="n">
        <v>46140.1722222222</v>
      </c>
      <c r="S179" s="3" t="s">
        <v>37</v>
      </c>
      <c r="T179" s="7" t="n">
        <f aca="false">ROUND(MIN(IF(OR(O179=TRUE(),O179="TRUE",O179="Yes"),59,100),(I179*Rubric!$C$2+J179*Rubric!$C$3+K179*Rubric!$C$4+L179*Rubric!$C$5+M179*Rubric!$C$6+N179*Rubric!$C$7)/5),1)</f>
        <v>77</v>
      </c>
      <c r="U179" s="8" t="str">
        <f aca="false">LOOKUP(T179,Bands!$A$2:$A$6,Bands!$B$2:$B$6)</f>
        <v>Meets Expectations</v>
      </c>
      <c r="V179" s="8" t="n">
        <f aca="false">IF(Q179="","",ROUND((Q179-B179)*24,1))</f>
        <v>72</v>
      </c>
    </row>
    <row r="180" customFormat="false" ht="15" hidden="false" customHeight="false" outlineLevel="0" collapsed="false">
      <c r="A180" s="3" t="s">
        <v>489</v>
      </c>
      <c r="B180" s="5" t="n">
        <v>46133.6416666667</v>
      </c>
      <c r="C180" s="3" t="s">
        <v>39</v>
      </c>
      <c r="D180" s="3" t="s">
        <v>96</v>
      </c>
      <c r="E180" s="3" t="s">
        <v>97</v>
      </c>
      <c r="F180" s="3" t="s">
        <v>33</v>
      </c>
      <c r="G180" s="3" t="s">
        <v>54</v>
      </c>
      <c r="H180" s="3" t="s">
        <v>490</v>
      </c>
      <c r="I180" s="3" t="n">
        <v>4</v>
      </c>
      <c r="J180" s="3" t="n">
        <v>3</v>
      </c>
      <c r="K180" s="3" t="n">
        <v>4</v>
      </c>
      <c r="L180" s="3" t="n">
        <v>3</v>
      </c>
      <c r="M180" s="3" t="n">
        <v>4</v>
      </c>
      <c r="N180" s="3" t="n">
        <v>4</v>
      </c>
      <c r="O180" s="6" t="b">
        <f aca="false">FALSE()</f>
        <v>0</v>
      </c>
      <c r="P180" s="3"/>
      <c r="Q180" s="5" t="n">
        <v>46136.6416666667</v>
      </c>
      <c r="R180" s="5" t="n">
        <v>46138.9173611111</v>
      </c>
      <c r="S180" s="3" t="s">
        <v>37</v>
      </c>
      <c r="T180" s="7" t="n">
        <f aca="false">ROUND(MIN(IF(OR(O180=TRUE(),O180="TRUE",O180="Yes"),59,100),(I180*Rubric!$C$2+J180*Rubric!$C$3+K180*Rubric!$C$4+L180*Rubric!$C$5+M180*Rubric!$C$6+N180*Rubric!$C$7)/5),1)</f>
        <v>72</v>
      </c>
      <c r="U180" s="8" t="str">
        <f aca="false">LOOKUP(T180,Bands!$A$2:$A$6,Bands!$B$2:$B$6)</f>
        <v>Meets Expectations</v>
      </c>
      <c r="V180" s="8" t="n">
        <f aca="false">IF(Q180="","",ROUND((Q180-B180)*24,1))</f>
        <v>72</v>
      </c>
    </row>
    <row r="181" customFormat="false" ht="15" hidden="false" customHeight="false" outlineLevel="0" collapsed="false">
      <c r="A181" s="3" t="s">
        <v>491</v>
      </c>
      <c r="B181" s="5" t="n">
        <v>46133.4083333333</v>
      </c>
      <c r="C181" s="3" t="s">
        <v>68</v>
      </c>
      <c r="D181" s="3" t="s">
        <v>40</v>
      </c>
      <c r="E181" s="3" t="s">
        <v>41</v>
      </c>
      <c r="F181" s="3" t="s">
        <v>33</v>
      </c>
      <c r="G181" s="3" t="s">
        <v>42</v>
      </c>
      <c r="H181" s="3" t="s">
        <v>492</v>
      </c>
      <c r="I181" s="3" t="n">
        <v>4</v>
      </c>
      <c r="J181" s="3" t="n">
        <v>4</v>
      </c>
      <c r="K181" s="3" t="n">
        <v>5</v>
      </c>
      <c r="L181" s="3" t="n">
        <v>2</v>
      </c>
      <c r="M181" s="3" t="n">
        <v>4</v>
      </c>
      <c r="N181" s="3" t="n">
        <v>3</v>
      </c>
      <c r="O181" s="6" t="b">
        <f aca="false">FALSE()</f>
        <v>0</v>
      </c>
      <c r="P181" s="3" t="s">
        <v>44</v>
      </c>
      <c r="Q181" s="5" t="n">
        <v>46139.4083333333</v>
      </c>
      <c r="R181" s="5" t="n">
        <v>46139.8479166667</v>
      </c>
      <c r="S181" s="3" t="s">
        <v>37</v>
      </c>
      <c r="T181" s="7" t="n">
        <f aca="false">ROUND(MIN(IF(OR(O181=TRUE(),O181="TRUE",O181="Yes"),59,100),(I181*Rubric!$C$2+J181*Rubric!$C$3+K181*Rubric!$C$4+L181*Rubric!$C$5+M181*Rubric!$C$6+N181*Rubric!$C$7)/5),1)</f>
        <v>75</v>
      </c>
      <c r="U181" s="8" t="str">
        <f aca="false">LOOKUP(T181,Bands!$A$2:$A$6,Bands!$B$2:$B$6)</f>
        <v>Meets Expectations</v>
      </c>
      <c r="V181" s="8" t="n">
        <f aca="false">IF(Q181="","",ROUND((Q181-B181)*24,1))</f>
        <v>144</v>
      </c>
    </row>
    <row r="182" customFormat="false" ht="15" hidden="false" customHeight="false" outlineLevel="0" collapsed="false">
      <c r="A182" s="3" t="s">
        <v>493</v>
      </c>
      <c r="B182" s="5" t="n">
        <v>46134.4402777778</v>
      </c>
      <c r="C182" s="3" t="s">
        <v>39</v>
      </c>
      <c r="D182" s="3" t="s">
        <v>251</v>
      </c>
      <c r="E182" s="3" t="s">
        <v>252</v>
      </c>
      <c r="F182" s="3" t="s">
        <v>53</v>
      </c>
      <c r="G182" s="3" t="s">
        <v>42</v>
      </c>
      <c r="H182" s="3" t="s">
        <v>494</v>
      </c>
      <c r="I182" s="3" t="n">
        <v>4</v>
      </c>
      <c r="J182" s="3" t="n">
        <v>3</v>
      </c>
      <c r="K182" s="3" t="n">
        <v>4</v>
      </c>
      <c r="L182" s="3" t="n">
        <v>5</v>
      </c>
      <c r="M182" s="3" t="n">
        <v>2</v>
      </c>
      <c r="N182" s="3" t="n">
        <v>4</v>
      </c>
      <c r="O182" s="6" t="b">
        <f aca="false">FALSE()</f>
        <v>0</v>
      </c>
      <c r="P182" s="3" t="s">
        <v>103</v>
      </c>
      <c r="Q182" s="5" t="n">
        <v>46139.4402777778</v>
      </c>
      <c r="R182" s="5" t="n">
        <v>46141.3111111111</v>
      </c>
      <c r="S182" s="3" t="s">
        <v>37</v>
      </c>
      <c r="T182" s="7" t="n">
        <f aca="false">ROUND(MIN(IF(OR(O182=TRUE(),O182="TRUE",O182="Yes"),59,100),(I182*Rubric!$C$2+J182*Rubric!$C$3+K182*Rubric!$C$4+L182*Rubric!$C$5+M182*Rubric!$C$6+N182*Rubric!$C$7)/5),1)</f>
        <v>74</v>
      </c>
      <c r="U182" s="8" t="str">
        <f aca="false">LOOKUP(T182,Bands!$A$2:$A$6,Bands!$B$2:$B$6)</f>
        <v>Meets Expectations</v>
      </c>
      <c r="V182" s="8" t="n">
        <f aca="false">IF(Q182="","",ROUND((Q182-B182)*24,1))</f>
        <v>120</v>
      </c>
    </row>
    <row r="183" customFormat="false" ht="15" hidden="false" customHeight="false" outlineLevel="0" collapsed="false">
      <c r="A183" s="3" t="s">
        <v>495</v>
      </c>
      <c r="B183" s="5" t="n">
        <v>46134.6236111111</v>
      </c>
      <c r="C183" s="3" t="s">
        <v>39</v>
      </c>
      <c r="D183" s="3" t="s">
        <v>222</v>
      </c>
      <c r="E183" s="3" t="s">
        <v>223</v>
      </c>
      <c r="F183" s="3" t="s">
        <v>53</v>
      </c>
      <c r="G183" s="3" t="s">
        <v>42</v>
      </c>
      <c r="H183" s="3" t="s">
        <v>496</v>
      </c>
      <c r="I183" s="3" t="n">
        <v>5</v>
      </c>
      <c r="J183" s="3" t="n">
        <v>5</v>
      </c>
      <c r="K183" s="3" t="n">
        <v>4</v>
      </c>
      <c r="L183" s="3" t="n">
        <v>4</v>
      </c>
      <c r="M183" s="3" t="n">
        <v>4</v>
      </c>
      <c r="N183" s="3" t="n">
        <v>3</v>
      </c>
      <c r="O183" s="6" t="b">
        <f aca="false">FALSE()</f>
        <v>0</v>
      </c>
      <c r="P183" s="3"/>
      <c r="Q183" s="5" t="n">
        <v>46137.6236111111</v>
      </c>
      <c r="R183" s="5" t="n">
        <v>46138.1569444445</v>
      </c>
      <c r="S183" s="3" t="s">
        <v>37</v>
      </c>
      <c r="T183" s="7" t="n">
        <f aca="false">ROUND(MIN(IF(OR(O183=TRUE(),O183="TRUE",O183="Yes"),59,100),(I183*Rubric!$C$2+J183*Rubric!$C$3+K183*Rubric!$C$4+L183*Rubric!$C$5+M183*Rubric!$C$6+N183*Rubric!$C$7)/5),1)</f>
        <v>85</v>
      </c>
      <c r="U183" s="8" t="str">
        <f aca="false">LOOKUP(T183,Bands!$A$2:$A$6,Bands!$B$2:$B$6)</f>
        <v>Solid Performance</v>
      </c>
      <c r="V183" s="8" t="n">
        <f aca="false">IF(Q183="","",ROUND((Q183-B183)*24,1))</f>
        <v>72</v>
      </c>
    </row>
    <row r="184" customFormat="false" ht="15" hidden="false" customHeight="false" outlineLevel="0" collapsed="false">
      <c r="A184" s="3" t="s">
        <v>497</v>
      </c>
      <c r="B184" s="5" t="n">
        <v>46134.4930555556</v>
      </c>
      <c r="C184" s="3" t="s">
        <v>30</v>
      </c>
      <c r="D184" s="3" t="s">
        <v>238</v>
      </c>
      <c r="E184" s="3" t="s">
        <v>239</v>
      </c>
      <c r="F184" s="3" t="s">
        <v>33</v>
      </c>
      <c r="G184" s="3" t="s">
        <v>54</v>
      </c>
      <c r="H184" s="3" t="s">
        <v>498</v>
      </c>
      <c r="I184" s="3" t="n">
        <v>4</v>
      </c>
      <c r="J184" s="3" t="n">
        <v>4</v>
      </c>
      <c r="K184" s="3" t="n">
        <v>4</v>
      </c>
      <c r="L184" s="3" t="n">
        <v>4</v>
      </c>
      <c r="M184" s="3" t="n">
        <v>2</v>
      </c>
      <c r="N184" s="3" t="n">
        <v>4</v>
      </c>
      <c r="O184" s="6" t="b">
        <f aca="false">FALSE()</f>
        <v>0</v>
      </c>
      <c r="P184" s="3" t="s">
        <v>103</v>
      </c>
      <c r="Q184" s="5" t="n">
        <v>46137.4930555556</v>
      </c>
      <c r="R184" s="5" t="n">
        <v>46138.6465277778</v>
      </c>
      <c r="S184" s="3" t="s">
        <v>37</v>
      </c>
      <c r="T184" s="7" t="n">
        <f aca="false">ROUND(MIN(IF(OR(O184=TRUE(),O184="TRUE",O184="Yes"),59,100),(I184*Rubric!$C$2+J184*Rubric!$C$3+K184*Rubric!$C$4+L184*Rubric!$C$5+M184*Rubric!$C$6+N184*Rubric!$C$7)/5),1)</f>
        <v>76</v>
      </c>
      <c r="U184" s="8" t="str">
        <f aca="false">LOOKUP(T184,Bands!$A$2:$A$6,Bands!$B$2:$B$6)</f>
        <v>Meets Expectations</v>
      </c>
      <c r="V184" s="8" t="n">
        <f aca="false">IF(Q184="","",ROUND((Q184-B184)*24,1))</f>
        <v>72</v>
      </c>
    </row>
    <row r="185" customFormat="false" ht="15" hidden="false" customHeight="false" outlineLevel="0" collapsed="false">
      <c r="A185" s="3" t="s">
        <v>499</v>
      </c>
      <c r="B185" s="5" t="n">
        <v>46134.3972222222</v>
      </c>
      <c r="C185" s="3" t="s">
        <v>68</v>
      </c>
      <c r="D185" s="3" t="s">
        <v>77</v>
      </c>
      <c r="E185" s="3" t="s">
        <v>78</v>
      </c>
      <c r="F185" s="3" t="s">
        <v>33</v>
      </c>
      <c r="G185" s="3" t="s">
        <v>54</v>
      </c>
      <c r="H185" s="3" t="s">
        <v>500</v>
      </c>
      <c r="I185" s="3" t="n">
        <v>5</v>
      </c>
      <c r="J185" s="3" t="n">
        <v>5</v>
      </c>
      <c r="K185" s="3" t="n">
        <v>2</v>
      </c>
      <c r="L185" s="3" t="n">
        <v>5</v>
      </c>
      <c r="M185" s="3" t="n">
        <v>4</v>
      </c>
      <c r="N185" s="3" t="n">
        <v>5</v>
      </c>
      <c r="O185" s="6" t="b">
        <f aca="false">FALSE()</f>
        <v>0</v>
      </c>
      <c r="P185" s="3" t="s">
        <v>49</v>
      </c>
      <c r="Q185" s="5" t="n">
        <v>46141.3972222222</v>
      </c>
      <c r="R185" s="5" t="n">
        <v>46141.825</v>
      </c>
      <c r="S185" s="3" t="s">
        <v>37</v>
      </c>
      <c r="T185" s="7" t="n">
        <f aca="false">ROUND(MIN(IF(OR(O185=TRUE(),O185="TRUE",O185="Yes"),59,100),(I185*Rubric!$C$2+J185*Rubric!$C$3+K185*Rubric!$C$4+L185*Rubric!$C$5+M185*Rubric!$C$6+N185*Rubric!$C$7)/5),1)</f>
        <v>86</v>
      </c>
      <c r="U185" s="8" t="str">
        <f aca="false">LOOKUP(T185,Bands!$A$2:$A$6,Bands!$B$2:$B$6)</f>
        <v>Solid Performance</v>
      </c>
      <c r="V185" s="8" t="n">
        <f aca="false">IF(Q185="","",ROUND((Q185-B185)*24,1))</f>
        <v>168</v>
      </c>
    </row>
    <row r="186" customFormat="false" ht="15" hidden="false" customHeight="false" outlineLevel="0" collapsed="false">
      <c r="A186" s="3" t="s">
        <v>501</v>
      </c>
      <c r="B186" s="5" t="n">
        <v>46134.4486111111</v>
      </c>
      <c r="C186" s="3" t="s">
        <v>30</v>
      </c>
      <c r="D186" s="3" t="s">
        <v>46</v>
      </c>
      <c r="E186" s="3" t="s">
        <v>47</v>
      </c>
      <c r="F186" s="3" t="s">
        <v>33</v>
      </c>
      <c r="G186" s="3" t="s">
        <v>54</v>
      </c>
      <c r="H186" s="3" t="s">
        <v>502</v>
      </c>
      <c r="I186" s="3" t="n">
        <v>5</v>
      </c>
      <c r="J186" s="3" t="n">
        <v>5</v>
      </c>
      <c r="K186" s="3" t="n">
        <v>2</v>
      </c>
      <c r="L186" s="3" t="n">
        <v>5</v>
      </c>
      <c r="M186" s="3" t="n">
        <v>5</v>
      </c>
      <c r="N186" s="3" t="n">
        <v>5</v>
      </c>
      <c r="O186" s="6" t="b">
        <f aca="false">FALSE()</f>
        <v>0</v>
      </c>
      <c r="P186" s="3" t="s">
        <v>49</v>
      </c>
      <c r="Q186" s="5" t="n">
        <v>46146.4486111111</v>
      </c>
      <c r="R186" s="5" t="n">
        <v>46148.0125</v>
      </c>
      <c r="S186" s="3" t="s">
        <v>37</v>
      </c>
      <c r="T186" s="7" t="n">
        <f aca="false">ROUND(MIN(IF(OR(O186=TRUE(),O186="TRUE",O186="Yes"),59,100),(I186*Rubric!$C$2+J186*Rubric!$C$3+K186*Rubric!$C$4+L186*Rubric!$C$5+M186*Rubric!$C$6+N186*Rubric!$C$7)/5),1)</f>
        <v>88</v>
      </c>
      <c r="U186" s="8" t="str">
        <f aca="false">LOOKUP(T186,Bands!$A$2:$A$6,Bands!$B$2:$B$6)</f>
        <v>Solid Performance</v>
      </c>
      <c r="V186" s="8" t="n">
        <f aca="false">IF(Q186="","",ROUND((Q186-B186)*24,1))</f>
        <v>288</v>
      </c>
    </row>
    <row r="187" customFormat="false" ht="15" hidden="false" customHeight="false" outlineLevel="0" collapsed="false">
      <c r="A187" s="3" t="s">
        <v>503</v>
      </c>
      <c r="B187" s="5" t="n">
        <v>46134.6555555556</v>
      </c>
      <c r="C187" s="3" t="s">
        <v>39</v>
      </c>
      <c r="D187" s="3" t="s">
        <v>58</v>
      </c>
      <c r="E187" s="3" t="s">
        <v>59</v>
      </c>
      <c r="F187" s="3" t="s">
        <v>53</v>
      </c>
      <c r="G187" s="3" t="s">
        <v>42</v>
      </c>
      <c r="H187" s="3" t="s">
        <v>504</v>
      </c>
      <c r="I187" s="3" t="n">
        <v>4</v>
      </c>
      <c r="J187" s="3" t="n">
        <v>3</v>
      </c>
      <c r="K187" s="3" t="n">
        <v>2</v>
      </c>
      <c r="L187" s="3" t="n">
        <v>3</v>
      </c>
      <c r="M187" s="3" t="n">
        <v>4</v>
      </c>
      <c r="N187" s="3" t="n">
        <v>4</v>
      </c>
      <c r="O187" s="6" t="b">
        <f aca="false">FALSE()</f>
        <v>0</v>
      </c>
      <c r="P187" s="3" t="s">
        <v>49</v>
      </c>
      <c r="Q187" s="5" t="n">
        <v>46139.6555555556</v>
      </c>
      <c r="R187" s="5" t="n">
        <v>46140.5034722222</v>
      </c>
      <c r="S187" s="3" t="s">
        <v>37</v>
      </c>
      <c r="T187" s="7" t="n">
        <f aca="false">ROUND(MIN(IF(OR(O187=TRUE(),O187="TRUE",O187="Yes"),59,100),(I187*Rubric!$C$2+J187*Rubric!$C$3+K187*Rubric!$C$4+L187*Rubric!$C$5+M187*Rubric!$C$6+N187*Rubric!$C$7)/5),1)</f>
        <v>64</v>
      </c>
      <c r="U187" s="8" t="str">
        <f aca="false">LOOKUP(T187,Bands!$A$2:$A$6,Bands!$B$2:$B$6)</f>
        <v>Needs Improvement</v>
      </c>
      <c r="V187" s="8" t="n">
        <f aca="false">IF(Q187="","",ROUND((Q187-B187)*24,1))</f>
        <v>120</v>
      </c>
    </row>
    <row r="188" customFormat="false" ht="15" hidden="false" customHeight="false" outlineLevel="0" collapsed="false">
      <c r="A188" s="3" t="s">
        <v>505</v>
      </c>
      <c r="B188" s="5" t="n">
        <v>46134.3993055556</v>
      </c>
      <c r="C188" s="3" t="s">
        <v>39</v>
      </c>
      <c r="D188" s="3" t="s">
        <v>198</v>
      </c>
      <c r="E188" s="3" t="s">
        <v>199</v>
      </c>
      <c r="F188" s="3" t="s">
        <v>33</v>
      </c>
      <c r="G188" s="3" t="s">
        <v>42</v>
      </c>
      <c r="H188" s="3" t="s">
        <v>506</v>
      </c>
      <c r="I188" s="3" t="n">
        <v>4</v>
      </c>
      <c r="J188" s="3" t="n">
        <v>4</v>
      </c>
      <c r="K188" s="3" t="n">
        <v>5</v>
      </c>
      <c r="L188" s="3" t="n">
        <v>4</v>
      </c>
      <c r="M188" s="3" t="n">
        <v>5</v>
      </c>
      <c r="N188" s="3" t="n">
        <v>4</v>
      </c>
      <c r="O188" s="6" t="b">
        <f aca="false">FALSE()</f>
        <v>0</v>
      </c>
      <c r="P188" s="3"/>
      <c r="Q188" s="5" t="n">
        <v>46139.3993055556</v>
      </c>
      <c r="R188" s="5" t="n">
        <v>46140.2034722222</v>
      </c>
      <c r="S188" s="3" t="s">
        <v>37</v>
      </c>
      <c r="T188" s="7" t="n">
        <f aca="false">ROUND(MIN(IF(OR(O188=TRUE(),O188="TRUE",O188="Yes"),59,100),(I188*Rubric!$C$2+J188*Rubric!$C$3+K188*Rubric!$C$4+L188*Rubric!$C$5+M188*Rubric!$C$6+N188*Rubric!$C$7)/5),1)</f>
        <v>86</v>
      </c>
      <c r="U188" s="8" t="str">
        <f aca="false">LOOKUP(T188,Bands!$A$2:$A$6,Bands!$B$2:$B$6)</f>
        <v>Solid Performance</v>
      </c>
      <c r="V188" s="8" t="n">
        <f aca="false">IF(Q188="","",ROUND((Q188-B188)*24,1))</f>
        <v>120</v>
      </c>
    </row>
    <row r="189" customFormat="false" ht="15" hidden="false" customHeight="false" outlineLevel="0" collapsed="false">
      <c r="A189" s="3" t="s">
        <v>507</v>
      </c>
      <c r="B189" s="5" t="n">
        <v>46134.3777777778</v>
      </c>
      <c r="C189" s="3" t="s">
        <v>39</v>
      </c>
      <c r="D189" s="3" t="s">
        <v>63</v>
      </c>
      <c r="E189" s="3" t="s">
        <v>64</v>
      </c>
      <c r="F189" s="3" t="s">
        <v>65</v>
      </c>
      <c r="G189" s="3" t="s">
        <v>54</v>
      </c>
      <c r="H189" s="3" t="s">
        <v>508</v>
      </c>
      <c r="I189" s="3" t="n">
        <v>3</v>
      </c>
      <c r="J189" s="3" t="n">
        <v>5</v>
      </c>
      <c r="K189" s="3" t="n">
        <v>2</v>
      </c>
      <c r="L189" s="3" t="n">
        <v>4</v>
      </c>
      <c r="M189" s="3" t="n">
        <v>3</v>
      </c>
      <c r="N189" s="3" t="n">
        <v>3</v>
      </c>
      <c r="O189" s="6" t="b">
        <f aca="false">FALSE()</f>
        <v>0</v>
      </c>
      <c r="P189" s="3" t="s">
        <v>49</v>
      </c>
      <c r="Q189" s="5" t="n">
        <v>46143.3777777778</v>
      </c>
      <c r="R189" s="5" t="n">
        <v>46145.4541666667</v>
      </c>
      <c r="S189" s="3" t="s">
        <v>37</v>
      </c>
      <c r="T189" s="7" t="n">
        <f aca="false">ROUND(MIN(IF(OR(O189=TRUE(),O189="TRUE",O189="Yes"),59,100),(I189*Rubric!$C$2+J189*Rubric!$C$3+K189*Rubric!$C$4+L189*Rubric!$C$5+M189*Rubric!$C$6+N189*Rubric!$C$7)/5),1)</f>
        <v>69</v>
      </c>
      <c r="U189" s="8" t="str">
        <f aca="false">LOOKUP(T189,Bands!$A$2:$A$6,Bands!$B$2:$B$6)</f>
        <v>Needs Improvement</v>
      </c>
      <c r="V189" s="8" t="n">
        <f aca="false">IF(Q189="","",ROUND((Q189-B189)*24,1))</f>
        <v>216</v>
      </c>
    </row>
    <row r="190" customFormat="false" ht="15" hidden="false" customHeight="false" outlineLevel="0" collapsed="false">
      <c r="A190" s="3" t="s">
        <v>509</v>
      </c>
      <c r="B190" s="5" t="n">
        <v>46134.6791666667</v>
      </c>
      <c r="C190" s="3" t="s">
        <v>68</v>
      </c>
      <c r="D190" s="3" t="s">
        <v>151</v>
      </c>
      <c r="E190" s="3" t="s">
        <v>152</v>
      </c>
      <c r="F190" s="3" t="s">
        <v>33</v>
      </c>
      <c r="G190" s="3" t="s">
        <v>42</v>
      </c>
      <c r="H190" s="3" t="s">
        <v>510</v>
      </c>
      <c r="I190" s="3" t="n">
        <v>4</v>
      </c>
      <c r="J190" s="3" t="n">
        <v>1</v>
      </c>
      <c r="K190" s="3" t="n">
        <v>3</v>
      </c>
      <c r="L190" s="3" t="n">
        <v>5</v>
      </c>
      <c r="M190" s="3" t="n">
        <v>5</v>
      </c>
      <c r="N190" s="3" t="n">
        <v>4</v>
      </c>
      <c r="O190" s="6" t="b">
        <f aca="false">FALSE()</f>
        <v>0</v>
      </c>
      <c r="P190" s="3" t="s">
        <v>56</v>
      </c>
      <c r="Q190" s="5" t="n">
        <v>46140.6791666667</v>
      </c>
      <c r="R190" s="5" t="n">
        <v>46142.6340277778</v>
      </c>
      <c r="S190" s="3" t="s">
        <v>37</v>
      </c>
      <c r="T190" s="7" t="n">
        <f aca="false">ROUND(MIN(IF(OR(O190=TRUE(),O190="TRUE",O190="Yes"),59,100),(I190*Rubric!$C$2+J190*Rubric!$C$3+K190*Rubric!$C$4+L190*Rubric!$C$5+M190*Rubric!$C$6+N190*Rubric!$C$7)/5),1)</f>
        <v>66</v>
      </c>
      <c r="U190" s="8" t="str">
        <f aca="false">LOOKUP(T190,Bands!$A$2:$A$6,Bands!$B$2:$B$6)</f>
        <v>Needs Improvement</v>
      </c>
      <c r="V190" s="8" t="n">
        <f aca="false">IF(Q190="","",ROUND((Q190-B190)*24,1))</f>
        <v>144</v>
      </c>
    </row>
    <row r="191" customFormat="false" ht="15" hidden="false" customHeight="false" outlineLevel="0" collapsed="false">
      <c r="A191" s="3" t="s">
        <v>511</v>
      </c>
      <c r="B191" s="5" t="n">
        <v>46134.6861111111</v>
      </c>
      <c r="C191" s="3" t="s">
        <v>39</v>
      </c>
      <c r="D191" s="3" t="s">
        <v>259</v>
      </c>
      <c r="E191" s="3" t="s">
        <v>260</v>
      </c>
      <c r="F191" s="3" t="s">
        <v>33</v>
      </c>
      <c r="G191" s="3" t="s">
        <v>42</v>
      </c>
      <c r="H191" s="3" t="s">
        <v>512</v>
      </c>
      <c r="I191" s="3" t="n">
        <v>5</v>
      </c>
      <c r="J191" s="3" t="n">
        <v>5</v>
      </c>
      <c r="K191" s="3" t="n">
        <v>3</v>
      </c>
      <c r="L191" s="3" t="n">
        <v>5</v>
      </c>
      <c r="M191" s="3" t="n">
        <v>5</v>
      </c>
      <c r="N191" s="3" t="n">
        <v>5</v>
      </c>
      <c r="O191" s="6" t="b">
        <f aca="false">FALSE()</f>
        <v>0</v>
      </c>
      <c r="P191" s="3"/>
      <c r="Q191" s="5" t="n">
        <v>46137.6861111111</v>
      </c>
      <c r="R191" s="5" t="n">
        <v>46137.9180555556</v>
      </c>
      <c r="S191" s="3" t="s">
        <v>37</v>
      </c>
      <c r="T191" s="7" t="n">
        <f aca="false">ROUND(MIN(IF(OR(O191=TRUE(),O191="TRUE",O191="Yes"),59,100),(I191*Rubric!$C$2+J191*Rubric!$C$3+K191*Rubric!$C$4+L191*Rubric!$C$5+M191*Rubric!$C$6+N191*Rubric!$C$7)/5),1)</f>
        <v>92</v>
      </c>
      <c r="U191" s="8" t="str">
        <f aca="false">LOOKUP(T191,Bands!$A$2:$A$6,Bands!$B$2:$B$6)</f>
        <v>Outstanding</v>
      </c>
      <c r="V191" s="8" t="n">
        <f aca="false">IF(Q191="","",ROUND((Q191-B191)*24,1))</f>
        <v>72</v>
      </c>
    </row>
    <row r="192" customFormat="false" ht="15" hidden="false" customHeight="false" outlineLevel="0" collapsed="false">
      <c r="A192" s="3" t="s">
        <v>513</v>
      </c>
      <c r="B192" s="5" t="n">
        <v>46134.5090277778</v>
      </c>
      <c r="C192" s="3" t="s">
        <v>39</v>
      </c>
      <c r="D192" s="3" t="s">
        <v>105</v>
      </c>
      <c r="E192" s="3" t="s">
        <v>106</v>
      </c>
      <c r="F192" s="3" t="s">
        <v>65</v>
      </c>
      <c r="G192" s="3" t="s">
        <v>42</v>
      </c>
      <c r="H192" s="3" t="s">
        <v>514</v>
      </c>
      <c r="I192" s="3" t="n">
        <v>4</v>
      </c>
      <c r="J192" s="3" t="n">
        <v>3</v>
      </c>
      <c r="K192" s="3" t="n">
        <v>4</v>
      </c>
      <c r="L192" s="3" t="n">
        <v>3</v>
      </c>
      <c r="M192" s="3" t="n">
        <v>4</v>
      </c>
      <c r="N192" s="3" t="n">
        <v>4</v>
      </c>
      <c r="O192" s="6" t="b">
        <f aca="false">FALSE()</f>
        <v>0</v>
      </c>
      <c r="P192" s="3"/>
      <c r="Q192" s="5" t="n">
        <v>46138.5090277778</v>
      </c>
      <c r="R192" s="5" t="n">
        <v>46139.6465277778</v>
      </c>
      <c r="S192" s="3" t="s">
        <v>37</v>
      </c>
      <c r="T192" s="7" t="n">
        <f aca="false">ROUND(MIN(IF(OR(O192=TRUE(),O192="TRUE",O192="Yes"),59,100),(I192*Rubric!$C$2+J192*Rubric!$C$3+K192*Rubric!$C$4+L192*Rubric!$C$5+M192*Rubric!$C$6+N192*Rubric!$C$7)/5),1)</f>
        <v>72</v>
      </c>
      <c r="U192" s="8" t="str">
        <f aca="false">LOOKUP(T192,Bands!$A$2:$A$6,Bands!$B$2:$B$6)</f>
        <v>Meets Expectations</v>
      </c>
      <c r="V192" s="8" t="n">
        <f aca="false">IF(Q192="","",ROUND((Q192-B192)*24,1))</f>
        <v>96</v>
      </c>
    </row>
    <row r="193" customFormat="false" ht="15" hidden="false" customHeight="false" outlineLevel="0" collapsed="false">
      <c r="A193" s="3" t="s">
        <v>515</v>
      </c>
      <c r="B193" s="5" t="n">
        <v>46134.4201388889</v>
      </c>
      <c r="C193" s="3" t="s">
        <v>30</v>
      </c>
      <c r="D193" s="3" t="s">
        <v>81</v>
      </c>
      <c r="E193" s="3" t="s">
        <v>82</v>
      </c>
      <c r="F193" s="3" t="s">
        <v>65</v>
      </c>
      <c r="G193" s="3" t="s">
        <v>54</v>
      </c>
      <c r="H193" s="3" t="s">
        <v>516</v>
      </c>
      <c r="I193" s="3" t="n">
        <v>5</v>
      </c>
      <c r="J193" s="3" t="n">
        <v>3</v>
      </c>
      <c r="K193" s="3" t="n">
        <v>3</v>
      </c>
      <c r="L193" s="3" t="n">
        <v>4</v>
      </c>
      <c r="M193" s="3" t="n">
        <v>4</v>
      </c>
      <c r="N193" s="3" t="n">
        <v>5</v>
      </c>
      <c r="O193" s="6" t="b">
        <f aca="false">FALSE()</f>
        <v>0</v>
      </c>
      <c r="P193" s="3"/>
      <c r="Q193" s="5" t="n">
        <v>46141.4201388889</v>
      </c>
      <c r="R193" s="5" t="n">
        <v>46142.3104166667</v>
      </c>
      <c r="S193" s="3" t="s">
        <v>37</v>
      </c>
      <c r="T193" s="7" t="n">
        <f aca="false">ROUND(MIN(IF(OR(O193=TRUE(),O193="TRUE",O193="Yes"),59,100),(I193*Rubric!$C$2+J193*Rubric!$C$3+K193*Rubric!$C$4+L193*Rubric!$C$5+M193*Rubric!$C$6+N193*Rubric!$C$7)/5),1)</f>
        <v>77</v>
      </c>
      <c r="U193" s="8" t="str">
        <f aca="false">LOOKUP(T193,Bands!$A$2:$A$6,Bands!$B$2:$B$6)</f>
        <v>Meets Expectations</v>
      </c>
      <c r="V193" s="8" t="n">
        <f aca="false">IF(Q193="","",ROUND((Q193-B193)*24,1))</f>
        <v>168</v>
      </c>
    </row>
    <row r="194" customFormat="false" ht="15" hidden="false" customHeight="false" outlineLevel="0" collapsed="false">
      <c r="A194" s="3" t="s">
        <v>517</v>
      </c>
      <c r="B194" s="5" t="n">
        <v>46135.6805555556</v>
      </c>
      <c r="C194" s="3" t="s">
        <v>30</v>
      </c>
      <c r="D194" s="3" t="s">
        <v>69</v>
      </c>
      <c r="E194" s="3" t="s">
        <v>70</v>
      </c>
      <c r="F194" s="3" t="s">
        <v>65</v>
      </c>
      <c r="G194" s="3" t="s">
        <v>54</v>
      </c>
      <c r="H194" s="3" t="s">
        <v>518</v>
      </c>
      <c r="I194" s="3" t="n">
        <v>5</v>
      </c>
      <c r="J194" s="3" t="n">
        <v>5</v>
      </c>
      <c r="K194" s="3" t="n">
        <v>4</v>
      </c>
      <c r="L194" s="3" t="n">
        <v>4</v>
      </c>
      <c r="M194" s="3" t="n">
        <v>5</v>
      </c>
      <c r="N194" s="3" t="n">
        <v>2</v>
      </c>
      <c r="O194" s="6" t="b">
        <f aca="false">FALSE()</f>
        <v>0</v>
      </c>
      <c r="P194" s="3" t="s">
        <v>36</v>
      </c>
      <c r="Q194" s="5" t="n">
        <v>46139.6805555556</v>
      </c>
      <c r="R194" s="5" t="n">
        <v>46139.7548611111</v>
      </c>
      <c r="S194" s="3" t="s">
        <v>37</v>
      </c>
      <c r="T194" s="7" t="n">
        <f aca="false">ROUND(MIN(IF(OR(O194=TRUE(),O194="TRUE",O194="Yes"),59,100),(I194*Rubric!$C$2+J194*Rubric!$C$3+K194*Rubric!$C$4+L194*Rubric!$C$5+M194*Rubric!$C$6+N194*Rubric!$C$7)/5),1)</f>
        <v>84</v>
      </c>
      <c r="U194" s="8" t="str">
        <f aca="false">LOOKUP(T194,Bands!$A$2:$A$6,Bands!$B$2:$B$6)</f>
        <v>Solid Performance</v>
      </c>
      <c r="V194" s="8" t="n">
        <f aca="false">IF(Q194="","",ROUND((Q194-B194)*24,1))</f>
        <v>96</v>
      </c>
    </row>
    <row r="195" customFormat="false" ht="15" hidden="false" customHeight="false" outlineLevel="0" collapsed="false">
      <c r="A195" s="3" t="s">
        <v>519</v>
      </c>
      <c r="B195" s="5" t="n">
        <v>46135.6819444444</v>
      </c>
      <c r="C195" s="3" t="s">
        <v>68</v>
      </c>
      <c r="D195" s="3" t="s">
        <v>238</v>
      </c>
      <c r="E195" s="3" t="s">
        <v>239</v>
      </c>
      <c r="F195" s="3" t="s">
        <v>33</v>
      </c>
      <c r="G195" s="3" t="s">
        <v>54</v>
      </c>
      <c r="H195" s="3" t="s">
        <v>520</v>
      </c>
      <c r="I195" s="3" t="n">
        <v>5</v>
      </c>
      <c r="J195" s="3" t="n">
        <v>5</v>
      </c>
      <c r="K195" s="3" t="n">
        <v>2</v>
      </c>
      <c r="L195" s="3" t="n">
        <v>4</v>
      </c>
      <c r="M195" s="3" t="n">
        <v>2</v>
      </c>
      <c r="N195" s="3" t="n">
        <v>5</v>
      </c>
      <c r="O195" s="6" t="b">
        <f aca="false">FALSE()</f>
        <v>0</v>
      </c>
      <c r="P195" s="3" t="s">
        <v>131</v>
      </c>
      <c r="Q195" s="5" t="n">
        <v>46138.6819444444</v>
      </c>
      <c r="R195" s="5" t="n">
        <v>46140.04375</v>
      </c>
      <c r="S195" s="3" t="s">
        <v>37</v>
      </c>
      <c r="T195" s="7" t="n">
        <f aca="false">ROUND(MIN(IF(OR(O195=TRUE(),O195="TRUE",O195="Yes"),59,100),(I195*Rubric!$C$2+J195*Rubric!$C$3+K195*Rubric!$C$4+L195*Rubric!$C$5+M195*Rubric!$C$6+N195*Rubric!$C$7)/5),1)</f>
        <v>79</v>
      </c>
      <c r="U195" s="8" t="str">
        <f aca="false">LOOKUP(T195,Bands!$A$2:$A$6,Bands!$B$2:$B$6)</f>
        <v>Meets Expectations</v>
      </c>
      <c r="V195" s="8" t="n">
        <f aca="false">IF(Q195="","",ROUND((Q195-B195)*24,1))</f>
        <v>72</v>
      </c>
    </row>
    <row r="196" customFormat="false" ht="15" hidden="false" customHeight="false" outlineLevel="0" collapsed="false">
      <c r="A196" s="3" t="s">
        <v>521</v>
      </c>
      <c r="B196" s="5" t="n">
        <v>46135.3986111111</v>
      </c>
      <c r="C196" s="3" t="s">
        <v>30</v>
      </c>
      <c r="D196" s="3" t="s">
        <v>251</v>
      </c>
      <c r="E196" s="3" t="s">
        <v>252</v>
      </c>
      <c r="F196" s="3" t="s">
        <v>53</v>
      </c>
      <c r="G196" s="3" t="s">
        <v>54</v>
      </c>
      <c r="H196" s="3" t="s">
        <v>522</v>
      </c>
      <c r="I196" s="3" t="n">
        <v>4</v>
      </c>
      <c r="J196" s="3" t="n">
        <v>3</v>
      </c>
      <c r="K196" s="3" t="n">
        <v>4</v>
      </c>
      <c r="L196" s="3" t="n">
        <v>4</v>
      </c>
      <c r="M196" s="3" t="n">
        <v>2</v>
      </c>
      <c r="N196" s="3" t="n">
        <v>4</v>
      </c>
      <c r="O196" s="6" t="b">
        <f aca="false">FALSE()</f>
        <v>0</v>
      </c>
      <c r="P196" s="3" t="s">
        <v>103</v>
      </c>
      <c r="Q196" s="5" t="n">
        <v>46141.3986111111</v>
      </c>
      <c r="R196" s="5" t="n">
        <v>46142.6180555556</v>
      </c>
      <c r="S196" s="3" t="s">
        <v>37</v>
      </c>
      <c r="T196" s="7" t="n">
        <f aca="false">ROUND(MIN(IF(OR(O196=TRUE(),O196="TRUE",O196="Yes"),59,100),(I196*Rubric!$C$2+J196*Rubric!$C$3+K196*Rubric!$C$4+L196*Rubric!$C$5+M196*Rubric!$C$6+N196*Rubric!$C$7)/5),1)</f>
        <v>71</v>
      </c>
      <c r="U196" s="8" t="str">
        <f aca="false">LOOKUP(T196,Bands!$A$2:$A$6,Bands!$B$2:$B$6)</f>
        <v>Meets Expectations</v>
      </c>
      <c r="V196" s="8" t="n">
        <f aca="false">IF(Q196="","",ROUND((Q196-B196)*24,1))</f>
        <v>144</v>
      </c>
    </row>
    <row r="197" customFormat="false" ht="15" hidden="false" customHeight="false" outlineLevel="0" collapsed="false">
      <c r="A197" s="3" t="s">
        <v>523</v>
      </c>
      <c r="B197" s="5" t="n">
        <v>46135.4472222222</v>
      </c>
      <c r="C197" s="3" t="s">
        <v>30</v>
      </c>
      <c r="D197" s="3" t="s">
        <v>259</v>
      </c>
      <c r="E197" s="3" t="s">
        <v>260</v>
      </c>
      <c r="F197" s="3" t="s">
        <v>33</v>
      </c>
      <c r="G197" s="3" t="s">
        <v>42</v>
      </c>
      <c r="H197" s="3" t="s">
        <v>524</v>
      </c>
      <c r="I197" s="3" t="n">
        <v>4</v>
      </c>
      <c r="J197" s="3" t="n">
        <v>5</v>
      </c>
      <c r="K197" s="3" t="n">
        <v>2</v>
      </c>
      <c r="L197" s="3" t="n">
        <v>5</v>
      </c>
      <c r="M197" s="3" t="n">
        <v>5</v>
      </c>
      <c r="N197" s="3" t="n">
        <v>5</v>
      </c>
      <c r="O197" s="6" t="b">
        <f aca="false">FALSE()</f>
        <v>0</v>
      </c>
      <c r="P197" s="3" t="s">
        <v>49</v>
      </c>
      <c r="Q197" s="5" t="n">
        <v>46140.4472222222</v>
      </c>
      <c r="R197" s="5" t="n">
        <v>46141.6520833333</v>
      </c>
      <c r="S197" s="3" t="s">
        <v>37</v>
      </c>
      <c r="T197" s="7" t="n">
        <f aca="false">ROUND(MIN(IF(OR(O197=TRUE(),O197="TRUE",O197="Yes"),59,100),(I197*Rubric!$C$2+J197*Rubric!$C$3+K197*Rubric!$C$4+L197*Rubric!$C$5+M197*Rubric!$C$6+N197*Rubric!$C$7)/5),1)</f>
        <v>85</v>
      </c>
      <c r="U197" s="8" t="str">
        <f aca="false">LOOKUP(T197,Bands!$A$2:$A$6,Bands!$B$2:$B$6)</f>
        <v>Solid Performance</v>
      </c>
      <c r="V197" s="8" t="n">
        <f aca="false">IF(Q197="","",ROUND((Q197-B197)*24,1))</f>
        <v>120</v>
      </c>
    </row>
    <row r="198" customFormat="false" ht="15" hidden="false" customHeight="false" outlineLevel="0" collapsed="false">
      <c r="A198" s="3" t="s">
        <v>525</v>
      </c>
      <c r="B198" s="5" t="n">
        <v>46135.4388888889</v>
      </c>
      <c r="C198" s="3" t="s">
        <v>30</v>
      </c>
      <c r="D198" s="3" t="s">
        <v>100</v>
      </c>
      <c r="E198" s="3" t="s">
        <v>101</v>
      </c>
      <c r="F198" s="3" t="s">
        <v>33</v>
      </c>
      <c r="G198" s="3" t="s">
        <v>54</v>
      </c>
      <c r="H198" s="3" t="s">
        <v>526</v>
      </c>
      <c r="I198" s="3" t="n">
        <v>5</v>
      </c>
      <c r="J198" s="3" t="n">
        <v>4</v>
      </c>
      <c r="K198" s="3" t="n">
        <v>5</v>
      </c>
      <c r="L198" s="3" t="n">
        <v>5</v>
      </c>
      <c r="M198" s="3" t="n">
        <v>2</v>
      </c>
      <c r="N198" s="3" t="n">
        <v>5</v>
      </c>
      <c r="O198" s="6" t="b">
        <f aca="false">FALSE()</f>
        <v>0</v>
      </c>
      <c r="P198" s="3" t="s">
        <v>103</v>
      </c>
      <c r="Q198" s="5" t="n">
        <v>46140.4388888889</v>
      </c>
      <c r="R198" s="5" t="n">
        <v>46140.6125</v>
      </c>
      <c r="S198" s="3" t="s">
        <v>37</v>
      </c>
      <c r="T198" s="7" t="n">
        <f aca="false">ROUND(MIN(IF(OR(O198=TRUE(),O198="TRUE",O198="Yes"),59,100),(I198*Rubric!$C$2+J198*Rubric!$C$3+K198*Rubric!$C$4+L198*Rubric!$C$5+M198*Rubric!$C$6+N198*Rubric!$C$7)/5),1)</f>
        <v>89</v>
      </c>
      <c r="U198" s="8" t="str">
        <f aca="false">LOOKUP(T198,Bands!$A$2:$A$6,Bands!$B$2:$B$6)</f>
        <v>Solid Performance</v>
      </c>
      <c r="V198" s="8" t="n">
        <f aca="false">IF(Q198="","",ROUND((Q198-B198)*24,1))</f>
        <v>120</v>
      </c>
    </row>
    <row r="199" customFormat="false" ht="15" hidden="false" customHeight="false" outlineLevel="0" collapsed="false">
      <c r="A199" s="3" t="s">
        <v>527</v>
      </c>
      <c r="B199" s="5" t="n">
        <v>46135.6027777778</v>
      </c>
      <c r="C199" s="3" t="s">
        <v>68</v>
      </c>
      <c r="D199" s="3" t="s">
        <v>90</v>
      </c>
      <c r="E199" s="3" t="s">
        <v>91</v>
      </c>
      <c r="F199" s="3" t="s">
        <v>65</v>
      </c>
      <c r="G199" s="3" t="s">
        <v>54</v>
      </c>
      <c r="H199" s="3" t="s">
        <v>528</v>
      </c>
      <c r="I199" s="3" t="n">
        <v>5</v>
      </c>
      <c r="J199" s="3" t="n">
        <v>4</v>
      </c>
      <c r="K199" s="3" t="n">
        <v>5</v>
      </c>
      <c r="L199" s="3" t="n">
        <v>3</v>
      </c>
      <c r="M199" s="3" t="n">
        <v>5</v>
      </c>
      <c r="N199" s="3" t="n">
        <v>3</v>
      </c>
      <c r="O199" s="6" t="b">
        <f aca="false">FALSE()</f>
        <v>0</v>
      </c>
      <c r="P199" s="3"/>
      <c r="Q199" s="5" t="n">
        <v>46138.6027777778</v>
      </c>
      <c r="R199" s="5" t="n">
        <v>46145.7097222222</v>
      </c>
      <c r="S199" s="3" t="s">
        <v>37</v>
      </c>
      <c r="T199" s="7" t="n">
        <f aca="false">ROUND(MIN(IF(OR(O199=TRUE(),O199="TRUE",O199="Yes"),59,100),(I199*Rubric!$C$2+J199*Rubric!$C$3+K199*Rubric!$C$4+L199*Rubric!$C$5+M199*Rubric!$C$6+N199*Rubric!$C$7)/5),1)</f>
        <v>83</v>
      </c>
      <c r="U199" s="8" t="str">
        <f aca="false">LOOKUP(T199,Bands!$A$2:$A$6,Bands!$B$2:$B$6)</f>
        <v>Solid Performance</v>
      </c>
      <c r="V199" s="8" t="n">
        <f aca="false">IF(Q199="","",ROUND((Q199-B199)*24,1))</f>
        <v>72</v>
      </c>
    </row>
    <row r="200" customFormat="false" ht="15" hidden="false" customHeight="false" outlineLevel="0" collapsed="false">
      <c r="A200" s="3" t="s">
        <v>529</v>
      </c>
      <c r="B200" s="5" t="n">
        <v>46135.43125</v>
      </c>
      <c r="C200" s="3" t="s">
        <v>68</v>
      </c>
      <c r="D200" s="3" t="s">
        <v>293</v>
      </c>
      <c r="E200" s="3" t="s">
        <v>294</v>
      </c>
      <c r="F200" s="3" t="s">
        <v>65</v>
      </c>
      <c r="G200" s="3" t="s">
        <v>34</v>
      </c>
      <c r="H200" s="3" t="s">
        <v>530</v>
      </c>
      <c r="I200" s="3" t="n">
        <v>5</v>
      </c>
      <c r="J200" s="3" t="n">
        <v>5</v>
      </c>
      <c r="K200" s="3" t="n">
        <v>5</v>
      </c>
      <c r="L200" s="3" t="n">
        <v>2</v>
      </c>
      <c r="M200" s="3" t="n">
        <v>5</v>
      </c>
      <c r="N200" s="3" t="n">
        <v>4</v>
      </c>
      <c r="O200" s="6" t="b">
        <f aca="false">FALSE()</f>
        <v>0</v>
      </c>
      <c r="P200" s="3" t="s">
        <v>44</v>
      </c>
      <c r="Q200" s="5" t="n">
        <v>46140.43125</v>
      </c>
      <c r="R200" s="5" t="n">
        <v>46142.0798611111</v>
      </c>
      <c r="S200" s="3" t="s">
        <v>37</v>
      </c>
      <c r="T200" s="7" t="n">
        <f aca="false">ROUND(MIN(IF(OR(O200=TRUE(),O200="TRUE",O200="Yes"),59,100),(I200*Rubric!$C$2+J200*Rubric!$C$3+K200*Rubric!$C$4+L200*Rubric!$C$5+M200*Rubric!$C$6+N200*Rubric!$C$7)/5),1)</f>
        <v>88</v>
      </c>
      <c r="U200" s="8" t="str">
        <f aca="false">LOOKUP(T200,Bands!$A$2:$A$6,Bands!$B$2:$B$6)</f>
        <v>Solid Performance</v>
      </c>
      <c r="V200" s="8" t="n">
        <f aca="false">IF(Q200="","",ROUND((Q200-B200)*24,1))</f>
        <v>120</v>
      </c>
    </row>
    <row r="201" customFormat="false" ht="15" hidden="false" customHeight="false" outlineLevel="0" collapsed="false">
      <c r="A201" s="3" t="s">
        <v>531</v>
      </c>
      <c r="B201" s="5" t="n">
        <v>46135.4125</v>
      </c>
      <c r="C201" s="3" t="s">
        <v>68</v>
      </c>
      <c r="D201" s="3" t="s">
        <v>111</v>
      </c>
      <c r="E201" s="3" t="s">
        <v>112</v>
      </c>
      <c r="F201" s="3" t="s">
        <v>33</v>
      </c>
      <c r="G201" s="3" t="s">
        <v>34</v>
      </c>
      <c r="H201" s="3" t="s">
        <v>532</v>
      </c>
      <c r="I201" s="3" t="n">
        <v>3</v>
      </c>
      <c r="J201" s="3" t="n">
        <v>4</v>
      </c>
      <c r="K201" s="3" t="n">
        <v>5</v>
      </c>
      <c r="L201" s="3" t="n">
        <v>5</v>
      </c>
      <c r="M201" s="3" t="n">
        <v>5</v>
      </c>
      <c r="N201" s="3" t="n">
        <v>4</v>
      </c>
      <c r="O201" s="6" t="b">
        <f aca="false">FALSE()</f>
        <v>0</v>
      </c>
      <c r="P201" s="3"/>
      <c r="Q201" s="5" t="n">
        <v>46141.4125</v>
      </c>
      <c r="R201" s="5" t="n">
        <v>46143.1888888889</v>
      </c>
      <c r="S201" s="3" t="s">
        <v>37</v>
      </c>
      <c r="T201" s="7" t="n">
        <f aca="false">ROUND(MIN(IF(OR(O201=TRUE(),O201="TRUE",O201="Yes"),59,100),(I201*Rubric!$C$2+J201*Rubric!$C$3+K201*Rubric!$C$4+L201*Rubric!$C$5+M201*Rubric!$C$6+N201*Rubric!$C$7)/5),1)</f>
        <v>86</v>
      </c>
      <c r="U201" s="8" t="str">
        <f aca="false">LOOKUP(T201,Bands!$A$2:$A$6,Bands!$B$2:$B$6)</f>
        <v>Solid Performance</v>
      </c>
      <c r="V201" s="8" t="n">
        <f aca="false">IF(Q201="","",ROUND((Q201-B201)*24,1))</f>
        <v>144</v>
      </c>
    </row>
    <row r="202" customFormat="false" ht="15" hidden="false" customHeight="false" outlineLevel="0" collapsed="false">
      <c r="A202" s="3" t="s">
        <v>533</v>
      </c>
      <c r="B202" s="5" t="n">
        <v>46135.6111111111</v>
      </c>
      <c r="C202" s="3" t="s">
        <v>39</v>
      </c>
      <c r="D202" s="3" t="s">
        <v>202</v>
      </c>
      <c r="E202" s="3" t="s">
        <v>203</v>
      </c>
      <c r="F202" s="3" t="s">
        <v>53</v>
      </c>
      <c r="G202" s="3" t="s">
        <v>54</v>
      </c>
      <c r="H202" s="3" t="s">
        <v>534</v>
      </c>
      <c r="I202" s="3" t="n">
        <v>4</v>
      </c>
      <c r="J202" s="3" t="n">
        <v>4</v>
      </c>
      <c r="K202" s="3" t="n">
        <v>5</v>
      </c>
      <c r="L202" s="3" t="n">
        <v>3</v>
      </c>
      <c r="M202" s="3" t="n">
        <v>3</v>
      </c>
      <c r="N202" s="3" t="n">
        <v>4</v>
      </c>
      <c r="O202" s="6" t="b">
        <f aca="false">FALSE()</f>
        <v>0</v>
      </c>
      <c r="P202" s="3"/>
      <c r="Q202" s="5" t="n">
        <v>46140.6111111111</v>
      </c>
      <c r="R202" s="5" t="n">
        <v>46142.1680555556</v>
      </c>
      <c r="S202" s="3" t="s">
        <v>37</v>
      </c>
      <c r="T202" s="7" t="n">
        <f aca="false">ROUND(MIN(IF(OR(O202=TRUE(),O202="TRUE",O202="Yes"),59,100),(I202*Rubric!$C$2+J202*Rubric!$C$3+K202*Rubric!$C$4+L202*Rubric!$C$5+M202*Rubric!$C$6+N202*Rubric!$C$7)/5),1)</f>
        <v>79</v>
      </c>
      <c r="U202" s="8" t="str">
        <f aca="false">LOOKUP(T202,Bands!$A$2:$A$6,Bands!$B$2:$B$6)</f>
        <v>Meets Expectations</v>
      </c>
      <c r="V202" s="8" t="n">
        <f aca="false">IF(Q202="","",ROUND((Q202-B202)*24,1))</f>
        <v>120</v>
      </c>
    </row>
    <row r="203" customFormat="false" ht="15" hidden="false" customHeight="false" outlineLevel="0" collapsed="false">
      <c r="A203" s="3" t="s">
        <v>535</v>
      </c>
      <c r="B203" s="5" t="n">
        <v>46135.6951388889</v>
      </c>
      <c r="C203" s="3" t="s">
        <v>68</v>
      </c>
      <c r="D203" s="3" t="s">
        <v>115</v>
      </c>
      <c r="E203" s="3" t="s">
        <v>116</v>
      </c>
      <c r="F203" s="3" t="s">
        <v>33</v>
      </c>
      <c r="G203" s="3" t="s">
        <v>54</v>
      </c>
      <c r="H203" s="3" t="s">
        <v>536</v>
      </c>
      <c r="I203" s="3" t="n">
        <v>5</v>
      </c>
      <c r="J203" s="3" t="n">
        <v>4</v>
      </c>
      <c r="K203" s="3" t="n">
        <v>5</v>
      </c>
      <c r="L203" s="3" t="n">
        <v>5</v>
      </c>
      <c r="M203" s="3" t="n">
        <v>2</v>
      </c>
      <c r="N203" s="3" t="n">
        <v>5</v>
      </c>
      <c r="O203" s="6" t="b">
        <f aca="false">FALSE()</f>
        <v>0</v>
      </c>
      <c r="P203" s="3" t="s">
        <v>103</v>
      </c>
      <c r="Q203" s="5" t="n">
        <v>46140.6951388889</v>
      </c>
      <c r="R203" s="5" t="n">
        <v>46141.3069444444</v>
      </c>
      <c r="S203" s="3" t="s">
        <v>37</v>
      </c>
      <c r="T203" s="7" t="n">
        <f aca="false">ROUND(MIN(IF(OR(O203=TRUE(),O203="TRUE",O203="Yes"),59,100),(I203*Rubric!$C$2+J203*Rubric!$C$3+K203*Rubric!$C$4+L203*Rubric!$C$5+M203*Rubric!$C$6+N203*Rubric!$C$7)/5),1)</f>
        <v>89</v>
      </c>
      <c r="U203" s="8" t="str">
        <f aca="false">LOOKUP(T203,Bands!$A$2:$A$6,Bands!$B$2:$B$6)</f>
        <v>Solid Performance</v>
      </c>
      <c r="V203" s="8" t="n">
        <f aca="false">IF(Q203="","",ROUND((Q203-B203)*24,1))</f>
        <v>120</v>
      </c>
    </row>
    <row r="204" customFormat="false" ht="15" hidden="false" customHeight="false" outlineLevel="0" collapsed="false">
      <c r="A204" s="3" t="s">
        <v>537</v>
      </c>
      <c r="B204" s="5" t="n">
        <v>46135.5805555556</v>
      </c>
      <c r="C204" s="3" t="s">
        <v>30</v>
      </c>
      <c r="D204" s="3" t="s">
        <v>77</v>
      </c>
      <c r="E204" s="3" t="s">
        <v>78</v>
      </c>
      <c r="F204" s="3" t="s">
        <v>33</v>
      </c>
      <c r="G204" s="3" t="s">
        <v>42</v>
      </c>
      <c r="H204" s="3" t="s">
        <v>538</v>
      </c>
      <c r="I204" s="3" t="n">
        <v>5</v>
      </c>
      <c r="J204" s="3" t="n">
        <v>5</v>
      </c>
      <c r="K204" s="3" t="n">
        <v>2</v>
      </c>
      <c r="L204" s="3" t="n">
        <v>5</v>
      </c>
      <c r="M204" s="3" t="n">
        <v>5</v>
      </c>
      <c r="N204" s="3" t="n">
        <v>5</v>
      </c>
      <c r="O204" s="6" t="b">
        <f aca="false">FALSE()</f>
        <v>0</v>
      </c>
      <c r="P204" s="3" t="s">
        <v>49</v>
      </c>
      <c r="Q204" s="5" t="n">
        <v>46141.5805555556</v>
      </c>
      <c r="R204" s="5" t="n">
        <v>46143.14375</v>
      </c>
      <c r="S204" s="3" t="s">
        <v>37</v>
      </c>
      <c r="T204" s="7" t="n">
        <f aca="false">ROUND(MIN(IF(OR(O204=TRUE(),O204="TRUE",O204="Yes"),59,100),(I204*Rubric!$C$2+J204*Rubric!$C$3+K204*Rubric!$C$4+L204*Rubric!$C$5+M204*Rubric!$C$6+N204*Rubric!$C$7)/5),1)</f>
        <v>88</v>
      </c>
      <c r="U204" s="8" t="str">
        <f aca="false">LOOKUP(T204,Bands!$A$2:$A$6,Bands!$B$2:$B$6)</f>
        <v>Solid Performance</v>
      </c>
      <c r="V204" s="8" t="n">
        <f aca="false">IF(Q204="","",ROUND((Q204-B204)*24,1))</f>
        <v>144</v>
      </c>
    </row>
    <row r="205" customFormat="false" ht="15" hidden="false" customHeight="false" outlineLevel="0" collapsed="false">
      <c r="A205" s="3" t="s">
        <v>539</v>
      </c>
      <c r="B205" s="5" t="n">
        <v>46135.3868055556</v>
      </c>
      <c r="C205" s="3" t="s">
        <v>30</v>
      </c>
      <c r="D205" s="3" t="s">
        <v>194</v>
      </c>
      <c r="E205" s="3" t="s">
        <v>195</v>
      </c>
      <c r="F205" s="3" t="s">
        <v>53</v>
      </c>
      <c r="G205" s="3" t="s">
        <v>42</v>
      </c>
      <c r="H205" s="3" t="s">
        <v>540</v>
      </c>
      <c r="I205" s="3" t="n">
        <v>5</v>
      </c>
      <c r="J205" s="3" t="n">
        <v>4</v>
      </c>
      <c r="K205" s="3" t="n">
        <v>4</v>
      </c>
      <c r="L205" s="3" t="n">
        <v>1</v>
      </c>
      <c r="M205" s="3" t="n">
        <v>4</v>
      </c>
      <c r="N205" s="3" t="n">
        <v>4</v>
      </c>
      <c r="O205" s="6" t="b">
        <f aca="false">FALSE()</f>
        <v>0</v>
      </c>
      <c r="P205" s="3" t="s">
        <v>44</v>
      </c>
      <c r="Q205" s="5" t="n">
        <v>46140.3868055556</v>
      </c>
      <c r="R205" s="5" t="n">
        <v>46145.16875</v>
      </c>
      <c r="S205" s="3" t="s">
        <v>37</v>
      </c>
      <c r="T205" s="7" t="n">
        <f aca="false">ROUND(MIN(IF(OR(O205=TRUE(),O205="TRUE",O205="Yes"),59,100),(I205*Rubric!$C$2+J205*Rubric!$C$3+K205*Rubric!$C$4+L205*Rubric!$C$5+M205*Rubric!$C$6+N205*Rubric!$C$7)/5),1)</f>
        <v>74</v>
      </c>
      <c r="U205" s="8" t="str">
        <f aca="false">LOOKUP(T205,Bands!$A$2:$A$6,Bands!$B$2:$B$6)</f>
        <v>Meets Expectations</v>
      </c>
      <c r="V205" s="8" t="n">
        <f aca="false">IF(Q205="","",ROUND((Q205-B205)*24,1))</f>
        <v>120</v>
      </c>
    </row>
    <row r="206" customFormat="false" ht="15" hidden="false" customHeight="false" outlineLevel="0" collapsed="false">
      <c r="A206" s="3" t="s">
        <v>541</v>
      </c>
      <c r="B206" s="5" t="n">
        <v>46136.5416666667</v>
      </c>
      <c r="C206" s="3" t="s">
        <v>30</v>
      </c>
      <c r="D206" s="3" t="s">
        <v>85</v>
      </c>
      <c r="E206" s="3" t="s">
        <v>86</v>
      </c>
      <c r="F206" s="3" t="s">
        <v>33</v>
      </c>
      <c r="G206" s="3" t="s">
        <v>42</v>
      </c>
      <c r="H206" s="3" t="s">
        <v>542</v>
      </c>
      <c r="I206" s="3" t="n">
        <v>2</v>
      </c>
      <c r="J206" s="3" t="n">
        <v>5</v>
      </c>
      <c r="K206" s="3" t="n">
        <v>4</v>
      </c>
      <c r="L206" s="3" t="n">
        <v>5</v>
      </c>
      <c r="M206" s="3" t="n">
        <v>5</v>
      </c>
      <c r="N206" s="3" t="n">
        <v>4</v>
      </c>
      <c r="O206" s="6" t="b">
        <f aca="false">FALSE()</f>
        <v>0</v>
      </c>
      <c r="P206" s="3" t="s">
        <v>88</v>
      </c>
      <c r="Q206" s="5" t="n">
        <v>46141.5416666667</v>
      </c>
      <c r="R206" s="5" t="n">
        <v>46141.7027777778</v>
      </c>
      <c r="S206" s="3" t="s">
        <v>37</v>
      </c>
      <c r="T206" s="7" t="n">
        <f aca="false">ROUND(MIN(IF(OR(O206=TRUE(),O206="TRUE",O206="Yes"),59,100),(I206*Rubric!$C$2+J206*Rubric!$C$3+K206*Rubric!$C$4+L206*Rubric!$C$5+M206*Rubric!$C$6+N206*Rubric!$C$7)/5),1)</f>
        <v>84</v>
      </c>
      <c r="U206" s="8" t="str">
        <f aca="false">LOOKUP(T206,Bands!$A$2:$A$6,Bands!$B$2:$B$6)</f>
        <v>Solid Performance</v>
      </c>
      <c r="V206" s="8" t="n">
        <f aca="false">IF(Q206="","",ROUND((Q206-B206)*24,1))</f>
        <v>120</v>
      </c>
    </row>
    <row r="207" customFormat="false" ht="15" hidden="false" customHeight="false" outlineLevel="0" collapsed="false">
      <c r="A207" s="3" t="s">
        <v>543</v>
      </c>
      <c r="B207" s="5" t="n">
        <v>46136.59375</v>
      </c>
      <c r="C207" s="3" t="s">
        <v>39</v>
      </c>
      <c r="D207" s="3" t="s">
        <v>167</v>
      </c>
      <c r="E207" s="3" t="s">
        <v>168</v>
      </c>
      <c r="F207" s="3" t="s">
        <v>33</v>
      </c>
      <c r="G207" s="3" t="s">
        <v>54</v>
      </c>
      <c r="H207" s="3" t="s">
        <v>544</v>
      </c>
      <c r="I207" s="3" t="n">
        <v>4</v>
      </c>
      <c r="J207" s="3" t="n">
        <v>2</v>
      </c>
      <c r="K207" s="3" t="n">
        <v>4</v>
      </c>
      <c r="L207" s="3" t="n">
        <v>4</v>
      </c>
      <c r="M207" s="3" t="n">
        <v>4</v>
      </c>
      <c r="N207" s="3" t="n">
        <v>4</v>
      </c>
      <c r="O207" s="6" t="b">
        <f aca="false">FALSE()</f>
        <v>0</v>
      </c>
      <c r="P207" s="3" t="s">
        <v>56</v>
      </c>
      <c r="Q207" s="5" t="n">
        <v>46140.59375</v>
      </c>
      <c r="R207" s="5" t="n">
        <v>46142.1201388889</v>
      </c>
      <c r="S207" s="3" t="s">
        <v>37</v>
      </c>
      <c r="T207" s="7" t="n">
        <f aca="false">ROUND(MIN(IF(OR(O207=TRUE(),O207="TRUE",O207="Yes"),59,100),(I207*Rubric!$C$2+J207*Rubric!$C$3+K207*Rubric!$C$4+L207*Rubric!$C$5+M207*Rubric!$C$6+N207*Rubric!$C$7)/5),1)</f>
        <v>70</v>
      </c>
      <c r="U207" s="8" t="str">
        <f aca="false">LOOKUP(T207,Bands!$A$2:$A$6,Bands!$B$2:$B$6)</f>
        <v>Meets Expectations</v>
      </c>
      <c r="V207" s="8" t="n">
        <f aca="false">IF(Q207="","",ROUND((Q207-B207)*24,1))</f>
        <v>96</v>
      </c>
    </row>
    <row r="208" customFormat="false" ht="15" hidden="false" customHeight="false" outlineLevel="0" collapsed="false">
      <c r="A208" s="3" t="s">
        <v>545</v>
      </c>
      <c r="B208" s="5" t="n">
        <v>46136.6215277778</v>
      </c>
      <c r="C208" s="3" t="s">
        <v>39</v>
      </c>
      <c r="D208" s="3" t="s">
        <v>58</v>
      </c>
      <c r="E208" s="3" t="s">
        <v>59</v>
      </c>
      <c r="F208" s="3" t="s">
        <v>53</v>
      </c>
      <c r="G208" s="3" t="s">
        <v>54</v>
      </c>
      <c r="H208" s="3" t="s">
        <v>546</v>
      </c>
      <c r="I208" s="3" t="n">
        <v>3</v>
      </c>
      <c r="J208" s="3" t="n">
        <v>3</v>
      </c>
      <c r="K208" s="3" t="n">
        <v>2</v>
      </c>
      <c r="L208" s="3" t="n">
        <v>3</v>
      </c>
      <c r="M208" s="3" t="n">
        <v>4</v>
      </c>
      <c r="N208" s="3" t="n">
        <v>3</v>
      </c>
      <c r="O208" s="6" t="b">
        <f aca="false">FALSE()</f>
        <v>0</v>
      </c>
      <c r="P208" s="3" t="s">
        <v>49</v>
      </c>
      <c r="Q208" s="5" t="n">
        <v>46142.6215277778</v>
      </c>
      <c r="R208" s="5" t="n">
        <v>46143.6409722222</v>
      </c>
      <c r="S208" s="3" t="s">
        <v>37</v>
      </c>
      <c r="T208" s="7" t="n">
        <f aca="false">ROUND(MIN(IF(OR(O208=TRUE(),O208="TRUE",O208="Yes"),59,100),(I208*Rubric!$C$2+J208*Rubric!$C$3+K208*Rubric!$C$4+L208*Rubric!$C$5+M208*Rubric!$C$6+N208*Rubric!$C$7)/5),1)</f>
        <v>58</v>
      </c>
      <c r="U208" s="8" t="str">
        <f aca="false">LOOKUP(T208,Bands!$A$2:$A$6,Bands!$B$2:$B$6)</f>
        <v>Critical</v>
      </c>
      <c r="V208" s="8" t="n">
        <f aca="false">IF(Q208="","",ROUND((Q208-B208)*24,1))</f>
        <v>144</v>
      </c>
    </row>
    <row r="209" customFormat="false" ht="15" hidden="false" customHeight="false" outlineLevel="0" collapsed="false">
      <c r="A209" s="3" t="s">
        <v>547</v>
      </c>
      <c r="B209" s="5" t="n">
        <v>46136.4881944444</v>
      </c>
      <c r="C209" s="3" t="s">
        <v>39</v>
      </c>
      <c r="D209" s="3" t="s">
        <v>259</v>
      </c>
      <c r="E209" s="3" t="s">
        <v>260</v>
      </c>
      <c r="F209" s="3" t="s">
        <v>33</v>
      </c>
      <c r="G209" s="3" t="s">
        <v>54</v>
      </c>
      <c r="H209" s="3" t="s">
        <v>548</v>
      </c>
      <c r="I209" s="3" t="n">
        <v>4</v>
      </c>
      <c r="J209" s="3" t="n">
        <v>5</v>
      </c>
      <c r="K209" s="3" t="n">
        <v>2</v>
      </c>
      <c r="L209" s="3" t="n">
        <v>5</v>
      </c>
      <c r="M209" s="3" t="n">
        <v>4</v>
      </c>
      <c r="N209" s="3" t="n">
        <v>5</v>
      </c>
      <c r="O209" s="6" t="b">
        <f aca="false">FALSE()</f>
        <v>0</v>
      </c>
      <c r="P209" s="3" t="s">
        <v>49</v>
      </c>
      <c r="Q209" s="5" t="n">
        <v>46143.4881944444</v>
      </c>
      <c r="R209" s="5" t="n">
        <v>46143.99375</v>
      </c>
      <c r="S209" s="3" t="s">
        <v>37</v>
      </c>
      <c r="T209" s="7" t="n">
        <f aca="false">ROUND(MIN(IF(OR(O209=TRUE(),O209="TRUE",O209="Yes"),59,100),(I209*Rubric!$C$2+J209*Rubric!$C$3+K209*Rubric!$C$4+L209*Rubric!$C$5+M209*Rubric!$C$6+N209*Rubric!$C$7)/5),1)</f>
        <v>83</v>
      </c>
      <c r="U209" s="8" t="str">
        <f aca="false">LOOKUP(T209,Bands!$A$2:$A$6,Bands!$B$2:$B$6)</f>
        <v>Solid Performance</v>
      </c>
      <c r="V209" s="8" t="n">
        <f aca="false">IF(Q209="","",ROUND((Q209-B209)*24,1))</f>
        <v>168</v>
      </c>
    </row>
    <row r="210" customFormat="false" ht="15" hidden="false" customHeight="false" outlineLevel="0" collapsed="false">
      <c r="A210" s="3" t="s">
        <v>549</v>
      </c>
      <c r="B210" s="5" t="n">
        <v>46136.4486111111</v>
      </c>
      <c r="C210" s="3" t="s">
        <v>68</v>
      </c>
      <c r="D210" s="3" t="s">
        <v>194</v>
      </c>
      <c r="E210" s="3" t="s">
        <v>195</v>
      </c>
      <c r="F210" s="3" t="s">
        <v>53</v>
      </c>
      <c r="G210" s="3" t="s">
        <v>42</v>
      </c>
      <c r="H210" s="3" t="s">
        <v>550</v>
      </c>
      <c r="I210" s="3" t="n">
        <v>4</v>
      </c>
      <c r="J210" s="3" t="n">
        <v>5</v>
      </c>
      <c r="K210" s="3" t="n">
        <v>5</v>
      </c>
      <c r="L210" s="3" t="n">
        <v>2</v>
      </c>
      <c r="M210" s="3" t="n">
        <v>4</v>
      </c>
      <c r="N210" s="3" t="n">
        <v>5</v>
      </c>
      <c r="O210" s="6" t="b">
        <f aca="false">FALSE()</f>
        <v>0</v>
      </c>
      <c r="P210" s="3" t="s">
        <v>44</v>
      </c>
      <c r="Q210" s="5" t="n">
        <v>46141.4486111111</v>
      </c>
      <c r="R210" s="5" t="n">
        <v>46142.6388888889</v>
      </c>
      <c r="S210" s="3" t="s">
        <v>37</v>
      </c>
      <c r="T210" s="7" t="n">
        <f aca="false">ROUND(MIN(IF(OR(O210=TRUE(),O210="TRUE",O210="Yes"),59,100),(I210*Rubric!$C$2+J210*Rubric!$C$3+K210*Rubric!$C$4+L210*Rubric!$C$5+M210*Rubric!$C$6+N210*Rubric!$C$7)/5),1)</f>
        <v>86</v>
      </c>
      <c r="U210" s="8" t="str">
        <f aca="false">LOOKUP(T210,Bands!$A$2:$A$6,Bands!$B$2:$B$6)</f>
        <v>Solid Performance</v>
      </c>
      <c r="V210" s="8" t="n">
        <f aca="false">IF(Q210="","",ROUND((Q210-B210)*24,1))</f>
        <v>120</v>
      </c>
    </row>
    <row r="211" customFormat="false" ht="15" hidden="false" customHeight="false" outlineLevel="0" collapsed="false">
      <c r="A211" s="3" t="s">
        <v>551</v>
      </c>
      <c r="B211" s="5" t="n">
        <v>46136.6611111111</v>
      </c>
      <c r="C211" s="3" t="s">
        <v>68</v>
      </c>
      <c r="D211" s="3" t="s">
        <v>155</v>
      </c>
      <c r="E211" s="3" t="s">
        <v>156</v>
      </c>
      <c r="F211" s="3" t="s">
        <v>65</v>
      </c>
      <c r="G211" s="3" t="s">
        <v>54</v>
      </c>
      <c r="H211" s="3" t="s">
        <v>552</v>
      </c>
      <c r="I211" s="3" t="n">
        <v>2</v>
      </c>
      <c r="J211" s="3" t="n">
        <v>4</v>
      </c>
      <c r="K211" s="3" t="n">
        <v>4</v>
      </c>
      <c r="L211" s="3" t="n">
        <v>4</v>
      </c>
      <c r="M211" s="3" t="n">
        <v>5</v>
      </c>
      <c r="N211" s="3" t="n">
        <v>0</v>
      </c>
      <c r="O211" s="6" t="b">
        <f aca="false">TRUE()</f>
        <v>1</v>
      </c>
      <c r="P211" s="3" t="s">
        <v>245</v>
      </c>
      <c r="Q211" s="5" t="n">
        <v>46140.6611111111</v>
      </c>
      <c r="R211" s="5" t="n">
        <v>46141.7881944445</v>
      </c>
      <c r="S211" s="3" t="s">
        <v>37</v>
      </c>
      <c r="T211" s="7" t="n">
        <f aca="false">ROUND(MIN(IF(OR(O211=TRUE(),O211="TRUE",O211="Yes"),59,100),(I211*Rubric!$C$2+J211*Rubric!$C$3+K211*Rubric!$C$4+L211*Rubric!$C$5+M211*Rubric!$C$6+N211*Rubric!$C$7)/5),1)</f>
        <v>59</v>
      </c>
      <c r="U211" s="8" t="str">
        <f aca="false">LOOKUP(T211,Bands!$A$2:$A$6,Bands!$B$2:$B$6)</f>
        <v>Critical</v>
      </c>
      <c r="V211" s="8" t="n">
        <f aca="false">IF(Q211="","",ROUND((Q211-B211)*24,1))</f>
        <v>96</v>
      </c>
    </row>
    <row r="212" customFormat="false" ht="15" hidden="false" customHeight="false" outlineLevel="0" collapsed="false">
      <c r="A212" s="3" t="s">
        <v>553</v>
      </c>
      <c r="B212" s="5" t="n">
        <v>46136.4430555556</v>
      </c>
      <c r="C212" s="3" t="s">
        <v>30</v>
      </c>
      <c r="D212" s="3" t="s">
        <v>73</v>
      </c>
      <c r="E212" s="3" t="s">
        <v>74</v>
      </c>
      <c r="F212" s="3" t="s">
        <v>33</v>
      </c>
      <c r="G212" s="3" t="s">
        <v>42</v>
      </c>
      <c r="H212" s="3" t="s">
        <v>554</v>
      </c>
      <c r="I212" s="3" t="n">
        <v>4</v>
      </c>
      <c r="J212" s="3" t="n">
        <v>5</v>
      </c>
      <c r="K212" s="3" t="n">
        <v>4</v>
      </c>
      <c r="L212" s="3" t="n">
        <v>5</v>
      </c>
      <c r="M212" s="3" t="n">
        <v>4</v>
      </c>
      <c r="N212" s="3" t="n">
        <v>2</v>
      </c>
      <c r="O212" s="6" t="b">
        <f aca="false">FALSE()</f>
        <v>0</v>
      </c>
      <c r="P212" s="3" t="s">
        <v>36</v>
      </c>
      <c r="Q212" s="5" t="n">
        <v>46143.4430555556</v>
      </c>
      <c r="R212" s="5" t="n">
        <v>46145.6270833333</v>
      </c>
      <c r="S212" s="3" t="s">
        <v>37</v>
      </c>
      <c r="T212" s="7" t="n">
        <f aca="false">ROUND(MIN(IF(OR(O212=TRUE(),O212="TRUE",O212="Yes"),59,100),(I212*Rubric!$C$2+J212*Rubric!$C$3+K212*Rubric!$C$4+L212*Rubric!$C$5+M212*Rubric!$C$6+N212*Rubric!$C$7)/5),1)</f>
        <v>82</v>
      </c>
      <c r="U212" s="8" t="str">
        <f aca="false">LOOKUP(T212,Bands!$A$2:$A$6,Bands!$B$2:$B$6)</f>
        <v>Solid Performance</v>
      </c>
      <c r="V212" s="8" t="n">
        <f aca="false">IF(Q212="","",ROUND((Q212-B212)*24,1))</f>
        <v>168</v>
      </c>
    </row>
    <row r="213" customFormat="false" ht="15" hidden="false" customHeight="false" outlineLevel="0" collapsed="false">
      <c r="A213" s="3" t="s">
        <v>555</v>
      </c>
      <c r="B213" s="5" t="n">
        <v>46136.5055555556</v>
      </c>
      <c r="C213" s="3" t="s">
        <v>39</v>
      </c>
      <c r="D213" s="3" t="s">
        <v>63</v>
      </c>
      <c r="E213" s="3" t="s">
        <v>64</v>
      </c>
      <c r="F213" s="3" t="s">
        <v>65</v>
      </c>
      <c r="G213" s="3" t="s">
        <v>42</v>
      </c>
      <c r="H213" s="3" t="s">
        <v>556</v>
      </c>
      <c r="I213" s="3" t="n">
        <v>3</v>
      </c>
      <c r="J213" s="3" t="n">
        <v>5</v>
      </c>
      <c r="K213" s="3" t="n">
        <v>4</v>
      </c>
      <c r="L213" s="3" t="n">
        <v>5</v>
      </c>
      <c r="M213" s="3" t="n">
        <v>4</v>
      </c>
      <c r="N213" s="3" t="n">
        <v>4</v>
      </c>
      <c r="O213" s="6" t="b">
        <f aca="false">FALSE()</f>
        <v>0</v>
      </c>
      <c r="P213" s="3"/>
      <c r="Q213" s="5" t="n">
        <v>46141.5055555556</v>
      </c>
      <c r="R213" s="5" t="n">
        <v>46142.7597222222</v>
      </c>
      <c r="S213" s="3" t="s">
        <v>37</v>
      </c>
      <c r="T213" s="7" t="n">
        <f aca="false">ROUND(MIN(IF(OR(O213=TRUE(),O213="TRUE",O213="Yes"),59,100),(I213*Rubric!$C$2+J213*Rubric!$C$3+K213*Rubric!$C$4+L213*Rubric!$C$5+M213*Rubric!$C$6+N213*Rubric!$C$7)/5),1)</f>
        <v>85</v>
      </c>
      <c r="U213" s="8" t="str">
        <f aca="false">LOOKUP(T213,Bands!$A$2:$A$6,Bands!$B$2:$B$6)</f>
        <v>Solid Performance</v>
      </c>
      <c r="V213" s="8" t="n">
        <f aca="false">IF(Q213="","",ROUND((Q213-B213)*24,1))</f>
        <v>120</v>
      </c>
    </row>
    <row r="214" customFormat="false" ht="15" hidden="false" customHeight="false" outlineLevel="0" collapsed="false">
      <c r="A214" s="3" t="s">
        <v>557</v>
      </c>
      <c r="B214" s="5" t="n">
        <v>46136.4729166667</v>
      </c>
      <c r="C214" s="3" t="s">
        <v>39</v>
      </c>
      <c r="D214" s="3" t="s">
        <v>115</v>
      </c>
      <c r="E214" s="3" t="s">
        <v>116</v>
      </c>
      <c r="F214" s="3" t="s">
        <v>33</v>
      </c>
      <c r="G214" s="3" t="s">
        <v>34</v>
      </c>
      <c r="H214" s="3" t="s">
        <v>558</v>
      </c>
      <c r="I214" s="3" t="n">
        <v>4</v>
      </c>
      <c r="J214" s="3" t="n">
        <v>4</v>
      </c>
      <c r="K214" s="3" t="n">
        <v>4</v>
      </c>
      <c r="L214" s="3" t="n">
        <v>4</v>
      </c>
      <c r="M214" s="3" t="n">
        <v>3</v>
      </c>
      <c r="N214" s="3" t="n">
        <v>3</v>
      </c>
      <c r="O214" s="6" t="b">
        <f aca="false">FALSE()</f>
        <v>0</v>
      </c>
      <c r="P214" s="3"/>
      <c r="Q214" s="5" t="n">
        <v>46141.4729166667</v>
      </c>
      <c r="R214" s="5" t="n">
        <v>46142.7243055556</v>
      </c>
      <c r="S214" s="3" t="s">
        <v>37</v>
      </c>
      <c r="T214" s="7" t="n">
        <f aca="false">ROUND(MIN(IF(OR(O214=TRUE(),O214="TRUE",O214="Yes"),59,100),(I214*Rubric!$C$2+J214*Rubric!$C$3+K214*Rubric!$C$4+L214*Rubric!$C$5+M214*Rubric!$C$6+N214*Rubric!$C$7)/5),1)</f>
        <v>75</v>
      </c>
      <c r="U214" s="8" t="str">
        <f aca="false">LOOKUP(T214,Bands!$A$2:$A$6,Bands!$B$2:$B$6)</f>
        <v>Meets Expectations</v>
      </c>
      <c r="V214" s="8" t="n">
        <f aca="false">IF(Q214="","",ROUND((Q214-B214)*24,1))</f>
        <v>120</v>
      </c>
    </row>
    <row r="215" customFormat="false" ht="15" hidden="false" customHeight="false" outlineLevel="0" collapsed="false">
      <c r="A215" s="3" t="s">
        <v>559</v>
      </c>
      <c r="B215" s="5" t="n">
        <v>46136.4819444444</v>
      </c>
      <c r="C215" s="3" t="s">
        <v>30</v>
      </c>
      <c r="D215" s="3" t="s">
        <v>202</v>
      </c>
      <c r="E215" s="3" t="s">
        <v>203</v>
      </c>
      <c r="F215" s="3" t="s">
        <v>53</v>
      </c>
      <c r="G215" s="3" t="s">
        <v>54</v>
      </c>
      <c r="H215" s="3" t="s">
        <v>560</v>
      </c>
      <c r="I215" s="3" t="n">
        <v>4</v>
      </c>
      <c r="J215" s="3" t="n">
        <v>4</v>
      </c>
      <c r="K215" s="3" t="n">
        <v>4</v>
      </c>
      <c r="L215" s="3" t="n">
        <v>1</v>
      </c>
      <c r="M215" s="3" t="n">
        <v>4</v>
      </c>
      <c r="N215" s="3" t="n">
        <v>3</v>
      </c>
      <c r="O215" s="6" t="b">
        <f aca="false">FALSE()</f>
        <v>0</v>
      </c>
      <c r="P215" s="3" t="s">
        <v>44</v>
      </c>
      <c r="Q215" s="5" t="n">
        <v>46142.4819444444</v>
      </c>
      <c r="R215" s="5" t="n">
        <v>46144.2486111111</v>
      </c>
      <c r="S215" s="3" t="s">
        <v>37</v>
      </c>
      <c r="T215" s="7" t="n">
        <f aca="false">ROUND(MIN(IF(OR(O215=TRUE(),O215="TRUE",O215="Yes"),59,100),(I215*Rubric!$C$2+J215*Rubric!$C$3+K215*Rubric!$C$4+L215*Rubric!$C$5+M215*Rubric!$C$6+N215*Rubric!$C$7)/5),1)</f>
        <v>68</v>
      </c>
      <c r="U215" s="8" t="str">
        <f aca="false">LOOKUP(T215,Bands!$A$2:$A$6,Bands!$B$2:$B$6)</f>
        <v>Needs Improvement</v>
      </c>
      <c r="V215" s="8" t="n">
        <f aca="false">IF(Q215="","",ROUND((Q215-B215)*24,1))</f>
        <v>144</v>
      </c>
    </row>
    <row r="216" customFormat="false" ht="15" hidden="false" customHeight="false" outlineLevel="0" collapsed="false">
      <c r="A216" s="3" t="s">
        <v>561</v>
      </c>
      <c r="B216" s="5" t="n">
        <v>46136.6222222222</v>
      </c>
      <c r="C216" s="3" t="s">
        <v>68</v>
      </c>
      <c r="D216" s="3" t="s">
        <v>161</v>
      </c>
      <c r="E216" s="3" t="s">
        <v>162</v>
      </c>
      <c r="F216" s="3" t="s">
        <v>33</v>
      </c>
      <c r="G216" s="3" t="s">
        <v>42</v>
      </c>
      <c r="H216" s="3" t="s">
        <v>562</v>
      </c>
      <c r="I216" s="3" t="n">
        <v>5</v>
      </c>
      <c r="J216" s="3" t="n">
        <v>4</v>
      </c>
      <c r="K216" s="3" t="n">
        <v>3</v>
      </c>
      <c r="L216" s="3" t="n">
        <v>4</v>
      </c>
      <c r="M216" s="3" t="n">
        <v>2</v>
      </c>
      <c r="N216" s="3" t="n">
        <v>5</v>
      </c>
      <c r="O216" s="6" t="b">
        <f aca="false">FALSE()</f>
        <v>0</v>
      </c>
      <c r="P216" s="3" t="s">
        <v>103</v>
      </c>
      <c r="Q216" s="5" t="n">
        <v>46143.6222222222</v>
      </c>
      <c r="R216" s="5" t="n">
        <v>46147.4902777778</v>
      </c>
      <c r="S216" s="3" t="s">
        <v>37</v>
      </c>
      <c r="T216" s="7" t="n">
        <f aca="false">ROUND(MIN(IF(OR(O216=TRUE(),O216="TRUE",O216="Yes"),59,100),(I216*Rubric!$C$2+J216*Rubric!$C$3+K216*Rubric!$C$4+L216*Rubric!$C$5+M216*Rubric!$C$6+N216*Rubric!$C$7)/5),1)</f>
        <v>78</v>
      </c>
      <c r="U216" s="8" t="str">
        <f aca="false">LOOKUP(T216,Bands!$A$2:$A$6,Bands!$B$2:$B$6)</f>
        <v>Meets Expectations</v>
      </c>
      <c r="V216" s="8" t="n">
        <f aca="false">IF(Q216="","",ROUND((Q216-B216)*24,1))</f>
        <v>168</v>
      </c>
    </row>
    <row r="217" customFormat="false" ht="15" hidden="false" customHeight="false" outlineLevel="0" collapsed="false">
      <c r="A217" s="3" t="s">
        <v>563</v>
      </c>
      <c r="B217" s="5" t="n">
        <v>46136.4673611111</v>
      </c>
      <c r="C217" s="3" t="s">
        <v>68</v>
      </c>
      <c r="D217" s="3" t="s">
        <v>96</v>
      </c>
      <c r="E217" s="3" t="s">
        <v>97</v>
      </c>
      <c r="F217" s="3" t="s">
        <v>33</v>
      </c>
      <c r="G217" s="3" t="s">
        <v>42</v>
      </c>
      <c r="H217" s="3" t="s">
        <v>564</v>
      </c>
      <c r="I217" s="3" t="n">
        <v>5</v>
      </c>
      <c r="J217" s="3" t="n">
        <v>2</v>
      </c>
      <c r="K217" s="3" t="n">
        <v>5</v>
      </c>
      <c r="L217" s="3" t="n">
        <v>5</v>
      </c>
      <c r="M217" s="3" t="n">
        <v>4</v>
      </c>
      <c r="N217" s="3" t="n">
        <v>4</v>
      </c>
      <c r="O217" s="6" t="b">
        <f aca="false">FALSE()</f>
        <v>0</v>
      </c>
      <c r="P217" s="3" t="s">
        <v>56</v>
      </c>
      <c r="Q217" s="5" t="n">
        <v>46148.4673611111</v>
      </c>
      <c r="R217" s="5" t="n">
        <v>46149.9055555556</v>
      </c>
      <c r="S217" s="3" t="s">
        <v>37</v>
      </c>
      <c r="T217" s="7" t="n">
        <f aca="false">ROUND(MIN(IF(OR(O217=TRUE(),O217="TRUE",O217="Yes"),59,100),(I217*Rubric!$C$2+J217*Rubric!$C$3+K217*Rubric!$C$4+L217*Rubric!$C$5+M217*Rubric!$C$6+N217*Rubric!$C$7)/5),1)</f>
        <v>80</v>
      </c>
      <c r="U217" s="8" t="str">
        <f aca="false">LOOKUP(T217,Bands!$A$2:$A$6,Bands!$B$2:$B$6)</f>
        <v>Solid Performance</v>
      </c>
      <c r="V217" s="8" t="n">
        <f aca="false">IF(Q217="","",ROUND((Q217-B217)*24,1))</f>
        <v>288</v>
      </c>
    </row>
    <row r="218" customFormat="false" ht="15" hidden="false" customHeight="false" outlineLevel="0" collapsed="false">
      <c r="A218" s="3" t="s">
        <v>565</v>
      </c>
      <c r="B218" s="5" t="n">
        <v>46139.4604166667</v>
      </c>
      <c r="C218" s="3" t="s">
        <v>68</v>
      </c>
      <c r="D218" s="3" t="s">
        <v>85</v>
      </c>
      <c r="E218" s="3" t="s">
        <v>86</v>
      </c>
      <c r="F218" s="3" t="s">
        <v>33</v>
      </c>
      <c r="G218" s="3" t="s">
        <v>54</v>
      </c>
      <c r="H218" s="3" t="s">
        <v>566</v>
      </c>
      <c r="I218" s="3" t="n">
        <v>2</v>
      </c>
      <c r="J218" s="3" t="n">
        <v>5</v>
      </c>
      <c r="K218" s="3" t="n">
        <v>4</v>
      </c>
      <c r="L218" s="3" t="n">
        <v>4</v>
      </c>
      <c r="M218" s="3" t="n">
        <v>4</v>
      </c>
      <c r="N218" s="3" t="n">
        <v>4</v>
      </c>
      <c r="O218" s="6" t="b">
        <f aca="false">FALSE()</f>
        <v>0</v>
      </c>
      <c r="P218" s="3" t="s">
        <v>88</v>
      </c>
      <c r="Q218" s="5" t="n">
        <v>46143.4604166667</v>
      </c>
      <c r="R218" s="5" t="n">
        <v>46145.0590277778</v>
      </c>
      <c r="S218" s="3" t="s">
        <v>37</v>
      </c>
      <c r="T218" s="7" t="n">
        <f aca="false">ROUND(MIN(IF(OR(O218=TRUE(),O218="TRUE",O218="Yes"),59,100),(I218*Rubric!$C$2+J218*Rubric!$C$3+K218*Rubric!$C$4+L218*Rubric!$C$5+M218*Rubric!$C$6+N218*Rubric!$C$7)/5),1)</f>
        <v>79</v>
      </c>
      <c r="U218" s="8" t="str">
        <f aca="false">LOOKUP(T218,Bands!$A$2:$A$6,Bands!$B$2:$B$6)</f>
        <v>Meets Expectations</v>
      </c>
      <c r="V218" s="8" t="n">
        <f aca="false">IF(Q218="","",ROUND((Q218-B218)*24,1))</f>
        <v>96</v>
      </c>
    </row>
    <row r="219" customFormat="false" ht="15" hidden="false" customHeight="false" outlineLevel="0" collapsed="false">
      <c r="A219" s="3" t="s">
        <v>567</v>
      </c>
      <c r="B219" s="5" t="n">
        <v>46139.4847222222</v>
      </c>
      <c r="C219" s="3" t="s">
        <v>30</v>
      </c>
      <c r="D219" s="3" t="s">
        <v>119</v>
      </c>
      <c r="E219" s="3" t="s">
        <v>120</v>
      </c>
      <c r="F219" s="3" t="s">
        <v>33</v>
      </c>
      <c r="G219" s="3" t="s">
        <v>42</v>
      </c>
      <c r="H219" s="3" t="s">
        <v>568</v>
      </c>
      <c r="I219" s="3" t="n">
        <v>5</v>
      </c>
      <c r="J219" s="3" t="n">
        <v>4</v>
      </c>
      <c r="K219" s="3" t="n">
        <v>4</v>
      </c>
      <c r="L219" s="3" t="n">
        <v>4</v>
      </c>
      <c r="M219" s="3" t="n">
        <v>4</v>
      </c>
      <c r="N219" s="3" t="n">
        <v>2</v>
      </c>
      <c r="O219" s="6" t="b">
        <f aca="false">FALSE()</f>
        <v>0</v>
      </c>
      <c r="P219" s="3" t="s">
        <v>36</v>
      </c>
      <c r="Q219" s="5" t="n">
        <v>46144.4847222222</v>
      </c>
      <c r="R219" s="5" t="n">
        <v>46146.9368055556</v>
      </c>
      <c r="S219" s="3" t="s">
        <v>37</v>
      </c>
      <c r="T219" s="7" t="n">
        <f aca="false">ROUND(MIN(IF(OR(O219=TRUE(),O219="TRUE",O219="Yes"),59,100),(I219*Rubric!$C$2+J219*Rubric!$C$3+K219*Rubric!$C$4+L219*Rubric!$C$5+M219*Rubric!$C$6+N219*Rubric!$C$7)/5),1)</f>
        <v>77</v>
      </c>
      <c r="U219" s="8" t="str">
        <f aca="false">LOOKUP(T219,Bands!$A$2:$A$6,Bands!$B$2:$B$6)</f>
        <v>Meets Expectations</v>
      </c>
      <c r="V219" s="8" t="n">
        <f aca="false">IF(Q219="","",ROUND((Q219-B219)*24,1))</f>
        <v>120</v>
      </c>
    </row>
    <row r="220" customFormat="false" ht="15" hidden="false" customHeight="false" outlineLevel="0" collapsed="false">
      <c r="A220" s="3" t="s">
        <v>569</v>
      </c>
      <c r="B220" s="5" t="n">
        <v>46139.65</v>
      </c>
      <c r="C220" s="3" t="s">
        <v>30</v>
      </c>
      <c r="D220" s="3" t="s">
        <v>293</v>
      </c>
      <c r="E220" s="3" t="s">
        <v>294</v>
      </c>
      <c r="F220" s="3" t="s">
        <v>65</v>
      </c>
      <c r="G220" s="3" t="s">
        <v>54</v>
      </c>
      <c r="H220" s="3" t="s">
        <v>570</v>
      </c>
      <c r="I220" s="3" t="n">
        <v>5</v>
      </c>
      <c r="J220" s="3" t="n">
        <v>5</v>
      </c>
      <c r="K220" s="3" t="n">
        <v>5</v>
      </c>
      <c r="L220" s="3" t="n">
        <v>3</v>
      </c>
      <c r="M220" s="3" t="n">
        <v>5</v>
      </c>
      <c r="N220" s="3" t="n">
        <v>4</v>
      </c>
      <c r="O220" s="6" t="b">
        <f aca="false">FALSE()</f>
        <v>0</v>
      </c>
      <c r="P220" s="3"/>
      <c r="Q220" s="5" t="n">
        <v>46151.65</v>
      </c>
      <c r="R220" s="5" t="n">
        <v>46151.8006944444</v>
      </c>
      <c r="S220" s="3" t="s">
        <v>37</v>
      </c>
      <c r="T220" s="7" t="n">
        <f aca="false">ROUND(MIN(IF(OR(O220=TRUE(),O220="TRUE",O220="Yes"),59,100),(I220*Rubric!$C$2+J220*Rubric!$C$3+K220*Rubric!$C$4+L220*Rubric!$C$5+M220*Rubric!$C$6+N220*Rubric!$C$7)/5),1)</f>
        <v>91</v>
      </c>
      <c r="U220" s="8" t="str">
        <f aca="false">LOOKUP(T220,Bands!$A$2:$A$6,Bands!$B$2:$B$6)</f>
        <v>Outstanding</v>
      </c>
      <c r="V220" s="8" t="n">
        <f aca="false">IF(Q220="","",ROUND((Q220-B220)*24,1))</f>
        <v>288</v>
      </c>
    </row>
    <row r="221" customFormat="false" ht="15" hidden="false" customHeight="false" outlineLevel="0" collapsed="false">
      <c r="A221" s="3" t="s">
        <v>571</v>
      </c>
      <c r="B221" s="5" t="n">
        <v>46139.7041666667</v>
      </c>
      <c r="C221" s="3" t="s">
        <v>39</v>
      </c>
      <c r="D221" s="3" t="s">
        <v>307</v>
      </c>
      <c r="E221" s="3" t="s">
        <v>308</v>
      </c>
      <c r="F221" s="3" t="s">
        <v>33</v>
      </c>
      <c r="G221" s="3" t="s">
        <v>42</v>
      </c>
      <c r="H221" s="3" t="s">
        <v>572</v>
      </c>
      <c r="I221" s="3" t="n">
        <v>5</v>
      </c>
      <c r="J221" s="3" t="n">
        <v>2</v>
      </c>
      <c r="K221" s="3" t="n">
        <v>4</v>
      </c>
      <c r="L221" s="3" t="n">
        <v>5</v>
      </c>
      <c r="M221" s="3" t="n">
        <v>5</v>
      </c>
      <c r="N221" s="3" t="n">
        <v>5</v>
      </c>
      <c r="O221" s="6" t="b">
        <f aca="false">FALSE()</f>
        <v>0</v>
      </c>
      <c r="P221" s="3" t="s">
        <v>56</v>
      </c>
      <c r="Q221" s="5" t="n">
        <v>46145.7041666667</v>
      </c>
      <c r="R221" s="5" t="n">
        <v>46148.8215277778</v>
      </c>
      <c r="S221" s="3" t="s">
        <v>37</v>
      </c>
      <c r="T221" s="7" t="n">
        <f aca="false">ROUND(MIN(IF(OR(O221=TRUE(),O221="TRUE",O221="Yes"),59,100),(I221*Rubric!$C$2+J221*Rubric!$C$3+K221*Rubric!$C$4+L221*Rubric!$C$5+M221*Rubric!$C$6+N221*Rubric!$C$7)/5),1)</f>
        <v>81</v>
      </c>
      <c r="U221" s="8" t="str">
        <f aca="false">LOOKUP(T221,Bands!$A$2:$A$6,Bands!$B$2:$B$6)</f>
        <v>Solid Performance</v>
      </c>
      <c r="V221" s="8" t="n">
        <f aca="false">IF(Q221="","",ROUND((Q221-B221)*24,1))</f>
        <v>144</v>
      </c>
    </row>
    <row r="222" customFormat="false" ht="15" hidden="false" customHeight="false" outlineLevel="0" collapsed="false">
      <c r="A222" s="3" t="s">
        <v>573</v>
      </c>
      <c r="B222" s="5" t="n">
        <v>46139.6569444445</v>
      </c>
      <c r="C222" s="3" t="s">
        <v>30</v>
      </c>
      <c r="D222" s="3" t="s">
        <v>222</v>
      </c>
      <c r="E222" s="3" t="s">
        <v>223</v>
      </c>
      <c r="F222" s="3" t="s">
        <v>53</v>
      </c>
      <c r="G222" s="3" t="s">
        <v>54</v>
      </c>
      <c r="H222" s="3" t="s">
        <v>574</v>
      </c>
      <c r="I222" s="3" t="n">
        <v>5</v>
      </c>
      <c r="J222" s="3" t="n">
        <v>4</v>
      </c>
      <c r="K222" s="3" t="n">
        <v>4</v>
      </c>
      <c r="L222" s="3" t="n">
        <v>4</v>
      </c>
      <c r="M222" s="3" t="n">
        <v>5</v>
      </c>
      <c r="N222" s="3" t="n">
        <v>3</v>
      </c>
      <c r="O222" s="6" t="b">
        <f aca="false">FALSE()</f>
        <v>0</v>
      </c>
      <c r="P222" s="3"/>
      <c r="Q222" s="5" t="n">
        <v>46146.6569444445</v>
      </c>
      <c r="R222" s="5" t="n">
        <v>46146.9347222222</v>
      </c>
      <c r="S222" s="3" t="s">
        <v>37</v>
      </c>
      <c r="T222" s="7" t="n">
        <f aca="false">ROUND(MIN(IF(OR(O222=TRUE(),O222="TRUE",O222="Yes"),59,100),(I222*Rubric!$C$2+J222*Rubric!$C$3+K222*Rubric!$C$4+L222*Rubric!$C$5+M222*Rubric!$C$6+N222*Rubric!$C$7)/5),1)</f>
        <v>82</v>
      </c>
      <c r="U222" s="8" t="str">
        <f aca="false">LOOKUP(T222,Bands!$A$2:$A$6,Bands!$B$2:$B$6)</f>
        <v>Solid Performance</v>
      </c>
      <c r="V222" s="8" t="n">
        <f aca="false">IF(Q222="","",ROUND((Q222-B222)*24,1))</f>
        <v>168</v>
      </c>
    </row>
    <row r="223" customFormat="false" ht="15" hidden="false" customHeight="false" outlineLevel="0" collapsed="false">
      <c r="A223" s="3" t="s">
        <v>575</v>
      </c>
      <c r="B223" s="5" t="n">
        <v>46139.6548611111</v>
      </c>
      <c r="C223" s="3" t="s">
        <v>39</v>
      </c>
      <c r="D223" s="3" t="s">
        <v>212</v>
      </c>
      <c r="E223" s="3" t="s">
        <v>213</v>
      </c>
      <c r="F223" s="3" t="s">
        <v>33</v>
      </c>
      <c r="G223" s="3" t="s">
        <v>42</v>
      </c>
      <c r="H223" s="3" t="s">
        <v>576</v>
      </c>
      <c r="I223" s="3" t="n">
        <v>3</v>
      </c>
      <c r="J223" s="3" t="n">
        <v>3</v>
      </c>
      <c r="K223" s="3" t="n">
        <v>3</v>
      </c>
      <c r="L223" s="3" t="n">
        <v>4</v>
      </c>
      <c r="M223" s="3" t="n">
        <v>3</v>
      </c>
      <c r="N223" s="3" t="n">
        <v>3</v>
      </c>
      <c r="O223" s="6" t="b">
        <f aca="false">FALSE()</f>
        <v>0</v>
      </c>
      <c r="P223" s="3"/>
      <c r="Q223" s="5" t="n">
        <v>46146.6548611111</v>
      </c>
      <c r="R223" s="5" t="n">
        <v>46148.4402777778</v>
      </c>
      <c r="S223" s="3" t="s">
        <v>37</v>
      </c>
      <c r="T223" s="7" t="n">
        <f aca="false">ROUND(MIN(IF(OR(O223=TRUE(),O223="TRUE",O223="Yes"),59,100),(I223*Rubric!$C$2+J223*Rubric!$C$3+K223*Rubric!$C$4+L223*Rubric!$C$5+M223*Rubric!$C$6+N223*Rubric!$C$7)/5),1)</f>
        <v>63</v>
      </c>
      <c r="U223" s="8" t="str">
        <f aca="false">LOOKUP(T223,Bands!$A$2:$A$6,Bands!$B$2:$B$6)</f>
        <v>Needs Improvement</v>
      </c>
      <c r="V223" s="8" t="n">
        <f aca="false">IF(Q223="","",ROUND((Q223-B223)*24,1))</f>
        <v>168</v>
      </c>
    </row>
    <row r="224" customFormat="false" ht="15" hidden="false" customHeight="false" outlineLevel="0" collapsed="false">
      <c r="A224" s="3" t="s">
        <v>577</v>
      </c>
      <c r="B224" s="5" t="n">
        <v>46139.5263888889</v>
      </c>
      <c r="C224" s="3" t="s">
        <v>39</v>
      </c>
      <c r="D224" s="3" t="s">
        <v>58</v>
      </c>
      <c r="E224" s="3" t="s">
        <v>59</v>
      </c>
      <c r="F224" s="3" t="s">
        <v>53</v>
      </c>
      <c r="G224" s="3" t="s">
        <v>54</v>
      </c>
      <c r="H224" s="3" t="s">
        <v>578</v>
      </c>
      <c r="I224" s="3" t="n">
        <v>3</v>
      </c>
      <c r="J224" s="3" t="n">
        <v>3</v>
      </c>
      <c r="K224" s="3" t="n">
        <v>3</v>
      </c>
      <c r="L224" s="3" t="n">
        <v>4</v>
      </c>
      <c r="M224" s="3" t="n">
        <v>3</v>
      </c>
      <c r="N224" s="3" t="n">
        <v>2</v>
      </c>
      <c r="O224" s="6" t="b">
        <f aca="false">FALSE()</f>
        <v>0</v>
      </c>
      <c r="P224" s="3" t="s">
        <v>36</v>
      </c>
      <c r="Q224" s="5" t="n">
        <v>46145.5263888889</v>
      </c>
      <c r="R224" s="5" t="n">
        <v>46147.46875</v>
      </c>
      <c r="S224" s="3" t="s">
        <v>37</v>
      </c>
      <c r="T224" s="7" t="n">
        <f aca="false">ROUND(MIN(IF(OR(O224=TRUE(),O224="TRUE",O224="Yes"),59,100),(I224*Rubric!$C$2+J224*Rubric!$C$3+K224*Rubric!$C$4+L224*Rubric!$C$5+M224*Rubric!$C$6+N224*Rubric!$C$7)/5),1)</f>
        <v>60</v>
      </c>
      <c r="U224" s="8" t="str">
        <f aca="false">LOOKUP(T224,Bands!$A$2:$A$6,Bands!$B$2:$B$6)</f>
        <v>Needs Improvement</v>
      </c>
      <c r="V224" s="8" t="n">
        <f aca="false">IF(Q224="","",ROUND((Q224-B224)*24,1))</f>
        <v>144</v>
      </c>
    </row>
    <row r="225" customFormat="false" ht="15" hidden="false" customHeight="false" outlineLevel="0" collapsed="false">
      <c r="A225" s="3" t="s">
        <v>579</v>
      </c>
      <c r="B225" s="5" t="n">
        <v>46139.7027777778</v>
      </c>
      <c r="C225" s="3" t="s">
        <v>68</v>
      </c>
      <c r="D225" s="3" t="s">
        <v>155</v>
      </c>
      <c r="E225" s="3" t="s">
        <v>156</v>
      </c>
      <c r="F225" s="3" t="s">
        <v>65</v>
      </c>
      <c r="G225" s="3" t="s">
        <v>34</v>
      </c>
      <c r="H225" s="3" t="s">
        <v>580</v>
      </c>
      <c r="I225" s="3" t="n">
        <v>2</v>
      </c>
      <c r="J225" s="3" t="n">
        <v>5</v>
      </c>
      <c r="K225" s="3" t="n">
        <v>4</v>
      </c>
      <c r="L225" s="3" t="n">
        <v>5</v>
      </c>
      <c r="M225" s="3" t="n">
        <v>4</v>
      </c>
      <c r="N225" s="3" t="n">
        <v>5</v>
      </c>
      <c r="O225" s="6" t="b">
        <f aca="false">FALSE()</f>
        <v>0</v>
      </c>
      <c r="P225" s="3" t="s">
        <v>88</v>
      </c>
      <c r="Q225" s="5" t="n">
        <v>46143.7027777778</v>
      </c>
      <c r="R225" s="5" t="n">
        <v>46144.0868055556</v>
      </c>
      <c r="S225" s="3" t="s">
        <v>37</v>
      </c>
      <c r="T225" s="7" t="n">
        <f aca="false">ROUND(MIN(IF(OR(O225=TRUE(),O225="TRUE",O225="Yes"),59,100),(I225*Rubric!$C$2+J225*Rubric!$C$3+K225*Rubric!$C$4+L225*Rubric!$C$5+M225*Rubric!$C$6+N225*Rubric!$C$7)/5),1)</f>
        <v>85</v>
      </c>
      <c r="U225" s="8" t="str">
        <f aca="false">LOOKUP(T225,Bands!$A$2:$A$6,Bands!$B$2:$B$6)</f>
        <v>Solid Performance</v>
      </c>
      <c r="V225" s="8" t="n">
        <f aca="false">IF(Q225="","",ROUND((Q225-B225)*24,1))</f>
        <v>96</v>
      </c>
    </row>
    <row r="226" customFormat="false" ht="15" hidden="false" customHeight="false" outlineLevel="0" collapsed="false">
      <c r="A226" s="3" t="s">
        <v>581</v>
      </c>
      <c r="B226" s="5" t="n">
        <v>46139.4972222222</v>
      </c>
      <c r="C226" s="3" t="s">
        <v>39</v>
      </c>
      <c r="D226" s="3" t="s">
        <v>238</v>
      </c>
      <c r="E226" s="3" t="s">
        <v>239</v>
      </c>
      <c r="F226" s="3" t="s">
        <v>33</v>
      </c>
      <c r="G226" s="3" t="s">
        <v>54</v>
      </c>
      <c r="H226" s="3" t="s">
        <v>582</v>
      </c>
      <c r="I226" s="3" t="n">
        <v>4</v>
      </c>
      <c r="J226" s="3" t="n">
        <v>4</v>
      </c>
      <c r="K226" s="3" t="n">
        <v>4</v>
      </c>
      <c r="L226" s="3" t="n">
        <v>3</v>
      </c>
      <c r="M226" s="3" t="n">
        <v>2</v>
      </c>
      <c r="N226" s="3" t="n">
        <v>4</v>
      </c>
      <c r="O226" s="6" t="b">
        <f aca="false">FALSE()</f>
        <v>0</v>
      </c>
      <c r="P226" s="3" t="s">
        <v>103</v>
      </c>
      <c r="Q226" s="5" t="n">
        <v>46143.4972222222</v>
      </c>
      <c r="R226" s="5" t="n">
        <v>46145.0534722222</v>
      </c>
      <c r="S226" s="3" t="s">
        <v>37</v>
      </c>
      <c r="T226" s="7" t="n">
        <f aca="false">ROUND(MIN(IF(OR(O226=TRUE(),O226="TRUE",O226="Yes"),59,100),(I226*Rubric!$C$2+J226*Rubric!$C$3+K226*Rubric!$C$4+L226*Rubric!$C$5+M226*Rubric!$C$6+N226*Rubric!$C$7)/5),1)</f>
        <v>73</v>
      </c>
      <c r="U226" s="8" t="str">
        <f aca="false">LOOKUP(T226,Bands!$A$2:$A$6,Bands!$B$2:$B$6)</f>
        <v>Meets Expectations</v>
      </c>
      <c r="V226" s="8" t="n">
        <f aca="false">IF(Q226="","",ROUND((Q226-B226)*24,1))</f>
        <v>96</v>
      </c>
    </row>
    <row r="227" customFormat="false" ht="15" hidden="false" customHeight="false" outlineLevel="0" collapsed="false">
      <c r="A227" s="3" t="s">
        <v>583</v>
      </c>
      <c r="B227" s="5" t="n">
        <v>46139.4048611111</v>
      </c>
      <c r="C227" s="3" t="s">
        <v>68</v>
      </c>
      <c r="D227" s="3" t="s">
        <v>251</v>
      </c>
      <c r="E227" s="3" t="s">
        <v>252</v>
      </c>
      <c r="F227" s="3" t="s">
        <v>53</v>
      </c>
      <c r="G227" s="3" t="s">
        <v>42</v>
      </c>
      <c r="H227" s="3" t="s">
        <v>584</v>
      </c>
      <c r="I227" s="3" t="n">
        <v>4</v>
      </c>
      <c r="J227" s="3" t="n">
        <v>4</v>
      </c>
      <c r="K227" s="3" t="n">
        <v>2</v>
      </c>
      <c r="L227" s="3" t="n">
        <v>4</v>
      </c>
      <c r="M227" s="3" t="n">
        <v>3</v>
      </c>
      <c r="N227" s="3" t="n">
        <v>4</v>
      </c>
      <c r="O227" s="6" t="b">
        <f aca="false">FALSE()</f>
        <v>0</v>
      </c>
      <c r="P227" s="3" t="s">
        <v>49</v>
      </c>
      <c r="Q227" s="5" t="n">
        <v>46146.4048611111</v>
      </c>
      <c r="R227" s="5" t="n">
        <v>46146.8215277778</v>
      </c>
      <c r="S227" s="3" t="s">
        <v>37</v>
      </c>
      <c r="T227" s="7" t="n">
        <f aca="false">ROUND(MIN(IF(OR(O227=TRUE(),O227="TRUE",O227="Yes"),59,100),(I227*Rubric!$C$2+J227*Rubric!$C$3+K227*Rubric!$C$4+L227*Rubric!$C$5+M227*Rubric!$C$6+N227*Rubric!$C$7)/5),1)</f>
        <v>70</v>
      </c>
      <c r="U227" s="8" t="str">
        <f aca="false">LOOKUP(T227,Bands!$A$2:$A$6,Bands!$B$2:$B$6)</f>
        <v>Meets Expectations</v>
      </c>
      <c r="V227" s="8" t="n">
        <f aca="false">IF(Q227="","",ROUND((Q227-B227)*24,1))</f>
        <v>168</v>
      </c>
    </row>
    <row r="228" customFormat="false" ht="15" hidden="false" customHeight="false" outlineLevel="0" collapsed="false">
      <c r="A228" s="3" t="s">
        <v>585</v>
      </c>
      <c r="B228" s="5" t="n">
        <v>46139.3770833333</v>
      </c>
      <c r="C228" s="3" t="s">
        <v>39</v>
      </c>
      <c r="D228" s="3" t="s">
        <v>137</v>
      </c>
      <c r="E228" s="3" t="s">
        <v>138</v>
      </c>
      <c r="F228" s="3" t="s">
        <v>65</v>
      </c>
      <c r="G228" s="3" t="s">
        <v>42</v>
      </c>
      <c r="H228" s="3" t="s">
        <v>586</v>
      </c>
      <c r="I228" s="3" t="n">
        <v>2</v>
      </c>
      <c r="J228" s="3" t="n">
        <v>5</v>
      </c>
      <c r="K228" s="3" t="n">
        <v>5</v>
      </c>
      <c r="L228" s="3" t="n">
        <v>5</v>
      </c>
      <c r="M228" s="3" t="n">
        <v>5</v>
      </c>
      <c r="N228" s="3" t="n">
        <v>5</v>
      </c>
      <c r="O228" s="6" t="b">
        <f aca="false">FALSE()</f>
        <v>0</v>
      </c>
      <c r="P228" s="3" t="s">
        <v>88</v>
      </c>
      <c r="Q228" s="5" t="n">
        <v>46142.3770833333</v>
      </c>
      <c r="R228" s="5" t="n">
        <v>46144.275</v>
      </c>
      <c r="S228" s="3" t="s">
        <v>37</v>
      </c>
      <c r="T228" s="7" t="n">
        <f aca="false">ROUND(MIN(IF(OR(O228=TRUE(),O228="TRUE",O228="Yes"),59,100),(I228*Rubric!$C$2+J228*Rubric!$C$3+K228*Rubric!$C$4+L228*Rubric!$C$5+M228*Rubric!$C$6+N228*Rubric!$C$7)/5),1)</f>
        <v>91</v>
      </c>
      <c r="U228" s="8" t="str">
        <f aca="false">LOOKUP(T228,Bands!$A$2:$A$6,Bands!$B$2:$B$6)</f>
        <v>Outstanding</v>
      </c>
      <c r="V228" s="8" t="n">
        <f aca="false">IF(Q228="","",ROUND((Q228-B228)*24,1))</f>
        <v>72</v>
      </c>
    </row>
    <row r="229" customFormat="false" ht="15" hidden="false" customHeight="false" outlineLevel="0" collapsed="false">
      <c r="A229" s="3" t="s">
        <v>587</v>
      </c>
      <c r="B229" s="5" t="n">
        <v>46139.6798611111</v>
      </c>
      <c r="C229" s="3" t="s">
        <v>30</v>
      </c>
      <c r="D229" s="3" t="s">
        <v>486</v>
      </c>
      <c r="E229" s="3" t="s">
        <v>487</v>
      </c>
      <c r="F229" s="3" t="s">
        <v>65</v>
      </c>
      <c r="G229" s="3" t="s">
        <v>42</v>
      </c>
      <c r="H229" s="3" t="s">
        <v>588</v>
      </c>
      <c r="I229" s="3" t="n">
        <v>4</v>
      </c>
      <c r="J229" s="3" t="n">
        <v>2</v>
      </c>
      <c r="K229" s="3" t="n">
        <v>5</v>
      </c>
      <c r="L229" s="3" t="n">
        <v>5</v>
      </c>
      <c r="M229" s="3" t="n">
        <v>5</v>
      </c>
      <c r="N229" s="3" t="n">
        <v>5</v>
      </c>
      <c r="O229" s="6" t="b">
        <f aca="false">FALSE()</f>
        <v>0</v>
      </c>
      <c r="P229" s="3" t="s">
        <v>56</v>
      </c>
      <c r="Q229" s="5" t="n">
        <v>46143.6798611111</v>
      </c>
      <c r="R229" s="5" t="n">
        <v>46143.9506944444</v>
      </c>
      <c r="S229" s="3" t="s">
        <v>37</v>
      </c>
      <c r="T229" s="7" t="n">
        <f aca="false">ROUND(MIN(IF(OR(O229=TRUE(),O229="TRUE",O229="Yes"),59,100),(I229*Rubric!$C$2+J229*Rubric!$C$3+K229*Rubric!$C$4+L229*Rubric!$C$5+M229*Rubric!$C$6+N229*Rubric!$C$7)/5),1)</f>
        <v>82</v>
      </c>
      <c r="U229" s="8" t="str">
        <f aca="false">LOOKUP(T229,Bands!$A$2:$A$6,Bands!$B$2:$B$6)</f>
        <v>Solid Performance</v>
      </c>
      <c r="V229" s="8" t="n">
        <f aca="false">IF(Q229="","",ROUND((Q229-B229)*24,1))</f>
        <v>96</v>
      </c>
    </row>
    <row r="230" customFormat="false" ht="15" hidden="false" customHeight="false" outlineLevel="0" collapsed="false">
      <c r="A230" s="3" t="s">
        <v>589</v>
      </c>
      <c r="B230" s="5" t="n">
        <v>46140.6625</v>
      </c>
      <c r="C230" s="3" t="s">
        <v>39</v>
      </c>
      <c r="D230" s="3" t="s">
        <v>90</v>
      </c>
      <c r="E230" s="3" t="s">
        <v>91</v>
      </c>
      <c r="F230" s="3" t="s">
        <v>65</v>
      </c>
      <c r="G230" s="3" t="s">
        <v>42</v>
      </c>
      <c r="H230" s="3" t="s">
        <v>590</v>
      </c>
      <c r="I230" s="3" t="n">
        <v>4</v>
      </c>
      <c r="J230" s="3" t="n">
        <v>4</v>
      </c>
      <c r="K230" s="3" t="n">
        <v>4</v>
      </c>
      <c r="L230" s="3" t="n">
        <v>2</v>
      </c>
      <c r="M230" s="3" t="n">
        <v>4</v>
      </c>
      <c r="N230" s="3" t="n">
        <v>5</v>
      </c>
      <c r="O230" s="6" t="b">
        <f aca="false">FALSE()</f>
        <v>0</v>
      </c>
      <c r="P230" s="3" t="s">
        <v>44</v>
      </c>
      <c r="Q230" s="5" t="n">
        <v>46145.6625</v>
      </c>
      <c r="R230" s="5" t="n">
        <v>46146.1826388889</v>
      </c>
      <c r="S230" s="3" t="s">
        <v>37</v>
      </c>
      <c r="T230" s="7" t="n">
        <f aca="false">ROUND(MIN(IF(OR(O230=TRUE(),O230="TRUE",O230="Yes"),59,100),(I230*Rubric!$C$2+J230*Rubric!$C$3+K230*Rubric!$C$4+L230*Rubric!$C$5+M230*Rubric!$C$6+N230*Rubric!$C$7)/5),1)</f>
        <v>77</v>
      </c>
      <c r="U230" s="8" t="str">
        <f aca="false">LOOKUP(T230,Bands!$A$2:$A$6,Bands!$B$2:$B$6)</f>
        <v>Meets Expectations</v>
      </c>
      <c r="V230" s="8" t="n">
        <f aca="false">IF(Q230="","",ROUND((Q230-B230)*24,1))</f>
        <v>120</v>
      </c>
    </row>
    <row r="231" customFormat="false" ht="15" hidden="false" customHeight="false" outlineLevel="0" collapsed="false">
      <c r="A231" s="3" t="s">
        <v>591</v>
      </c>
      <c r="B231" s="5" t="n">
        <v>46140.4972222222</v>
      </c>
      <c r="C231" s="3" t="s">
        <v>30</v>
      </c>
      <c r="D231" s="3" t="s">
        <v>198</v>
      </c>
      <c r="E231" s="3" t="s">
        <v>199</v>
      </c>
      <c r="F231" s="3" t="s">
        <v>33</v>
      </c>
      <c r="G231" s="3" t="s">
        <v>42</v>
      </c>
      <c r="H231" s="3" t="s">
        <v>592</v>
      </c>
      <c r="I231" s="3" t="n">
        <v>4</v>
      </c>
      <c r="J231" s="3" t="n">
        <v>3</v>
      </c>
      <c r="K231" s="3" t="n">
        <v>5</v>
      </c>
      <c r="L231" s="3" t="n">
        <v>4</v>
      </c>
      <c r="M231" s="3" t="n">
        <v>3</v>
      </c>
      <c r="N231" s="3" t="n">
        <v>4</v>
      </c>
      <c r="O231" s="6" t="b">
        <f aca="false">FALSE()</f>
        <v>0</v>
      </c>
      <c r="P231" s="3"/>
      <c r="Q231" s="5" t="n">
        <v>46144.4972222222</v>
      </c>
      <c r="R231" s="5" t="n">
        <v>46145.6090277778</v>
      </c>
      <c r="S231" s="3" t="s">
        <v>37</v>
      </c>
      <c r="T231" s="7" t="n">
        <f aca="false">ROUND(MIN(IF(OR(O231=TRUE(),O231="TRUE",O231="Yes"),59,100),(I231*Rubric!$C$2+J231*Rubric!$C$3+K231*Rubric!$C$4+L231*Rubric!$C$5+M231*Rubric!$C$6+N231*Rubric!$C$7)/5),1)</f>
        <v>77</v>
      </c>
      <c r="U231" s="8" t="str">
        <f aca="false">LOOKUP(T231,Bands!$A$2:$A$6,Bands!$B$2:$B$6)</f>
        <v>Meets Expectations</v>
      </c>
      <c r="V231" s="8" t="n">
        <f aca="false">IF(Q231="","",ROUND((Q231-B231)*24,1))</f>
        <v>96</v>
      </c>
    </row>
    <row r="232" customFormat="false" ht="15" hidden="false" customHeight="false" outlineLevel="0" collapsed="false">
      <c r="A232" s="3" t="s">
        <v>593</v>
      </c>
      <c r="B232" s="5" t="n">
        <v>46140.6791666667</v>
      </c>
      <c r="C232" s="3" t="s">
        <v>39</v>
      </c>
      <c r="D232" s="3" t="s">
        <v>194</v>
      </c>
      <c r="E232" s="3" t="s">
        <v>195</v>
      </c>
      <c r="F232" s="3" t="s">
        <v>53</v>
      </c>
      <c r="G232" s="3" t="s">
        <v>54</v>
      </c>
      <c r="H232" s="3" t="s">
        <v>594</v>
      </c>
      <c r="I232" s="3" t="n">
        <v>3</v>
      </c>
      <c r="J232" s="3" t="n">
        <v>5</v>
      </c>
      <c r="K232" s="3" t="n">
        <v>5</v>
      </c>
      <c r="L232" s="3" t="n">
        <v>3</v>
      </c>
      <c r="M232" s="3" t="n">
        <v>5</v>
      </c>
      <c r="N232" s="3" t="n">
        <v>4</v>
      </c>
      <c r="O232" s="6" t="b">
        <f aca="false">FALSE()</f>
        <v>0</v>
      </c>
      <c r="P232" s="3"/>
      <c r="Q232" s="5" t="n">
        <v>46145.6791666667</v>
      </c>
      <c r="R232" s="5" t="n">
        <v>46146.5625</v>
      </c>
      <c r="S232" s="3" t="s">
        <v>37</v>
      </c>
      <c r="T232" s="7" t="n">
        <f aca="false">ROUND(MIN(IF(OR(O232=TRUE(),O232="TRUE",O232="Yes"),59,100),(I232*Rubric!$C$2+J232*Rubric!$C$3+K232*Rubric!$C$4+L232*Rubric!$C$5+M232*Rubric!$C$6+N232*Rubric!$C$7)/5),1)</f>
        <v>85</v>
      </c>
      <c r="U232" s="8" t="str">
        <f aca="false">LOOKUP(T232,Bands!$A$2:$A$6,Bands!$B$2:$B$6)</f>
        <v>Solid Performance</v>
      </c>
      <c r="V232" s="8" t="n">
        <f aca="false">IF(Q232="","",ROUND((Q232-B232)*24,1))</f>
        <v>120</v>
      </c>
    </row>
    <row r="233" customFormat="false" ht="15" hidden="false" customHeight="false" outlineLevel="0" collapsed="false">
      <c r="A233" s="3" t="s">
        <v>595</v>
      </c>
      <c r="B233" s="5" t="n">
        <v>46140.6847222222</v>
      </c>
      <c r="C233" s="3" t="s">
        <v>68</v>
      </c>
      <c r="D233" s="3" t="s">
        <v>167</v>
      </c>
      <c r="E233" s="3" t="s">
        <v>168</v>
      </c>
      <c r="F233" s="3" t="s">
        <v>33</v>
      </c>
      <c r="G233" s="3" t="s">
        <v>42</v>
      </c>
      <c r="H233" s="3" t="s">
        <v>596</v>
      </c>
      <c r="I233" s="3" t="n">
        <v>4</v>
      </c>
      <c r="J233" s="3" t="n">
        <v>2</v>
      </c>
      <c r="K233" s="3" t="n">
        <v>3</v>
      </c>
      <c r="L233" s="3" t="n">
        <v>3</v>
      </c>
      <c r="M233" s="3" t="n">
        <v>4</v>
      </c>
      <c r="N233" s="3" t="n">
        <v>3</v>
      </c>
      <c r="O233" s="6" t="b">
        <f aca="false">FALSE()</f>
        <v>0</v>
      </c>
      <c r="P233" s="3" t="s">
        <v>56</v>
      </c>
      <c r="Q233" s="5" t="n">
        <v>46149.6847222222</v>
      </c>
      <c r="R233" s="5" t="n">
        <v>46150.85</v>
      </c>
      <c r="S233" s="3" t="s">
        <v>37</v>
      </c>
      <c r="T233" s="7" t="n">
        <f aca="false">ROUND(MIN(IF(OR(O233=TRUE(),O233="TRUE",O233="Yes"),59,100),(I233*Rubric!$C$2+J233*Rubric!$C$3+K233*Rubric!$C$4+L233*Rubric!$C$5+M233*Rubric!$C$6+N233*Rubric!$C$7)/5),1)</f>
        <v>60</v>
      </c>
      <c r="U233" s="8" t="str">
        <f aca="false">LOOKUP(T233,Bands!$A$2:$A$6,Bands!$B$2:$B$6)</f>
        <v>Needs Improvement</v>
      </c>
      <c r="V233" s="8" t="n">
        <f aca="false">IF(Q233="","",ROUND((Q233-B233)*24,1))</f>
        <v>216</v>
      </c>
    </row>
    <row r="234" customFormat="false" ht="15" hidden="false" customHeight="false" outlineLevel="0" collapsed="false">
      <c r="A234" s="3" t="s">
        <v>597</v>
      </c>
      <c r="B234" s="5" t="n">
        <v>46140.6840277778</v>
      </c>
      <c r="C234" s="3" t="s">
        <v>68</v>
      </c>
      <c r="D234" s="3" t="s">
        <v>119</v>
      </c>
      <c r="E234" s="3" t="s">
        <v>120</v>
      </c>
      <c r="F234" s="3" t="s">
        <v>33</v>
      </c>
      <c r="G234" s="3" t="s">
        <v>42</v>
      </c>
      <c r="H234" s="3" t="s">
        <v>598</v>
      </c>
      <c r="I234" s="3" t="n">
        <v>4</v>
      </c>
      <c r="J234" s="3" t="n">
        <v>4</v>
      </c>
      <c r="K234" s="3" t="n">
        <v>5</v>
      </c>
      <c r="L234" s="3" t="n">
        <v>3</v>
      </c>
      <c r="M234" s="3" t="n">
        <v>4</v>
      </c>
      <c r="N234" s="3" t="n">
        <v>4</v>
      </c>
      <c r="O234" s="6" t="b">
        <f aca="false">FALSE()</f>
        <v>0</v>
      </c>
      <c r="P234" s="3"/>
      <c r="Q234" s="5" t="n">
        <v>46145.6840277778</v>
      </c>
      <c r="R234" s="5" t="n">
        <v>46146.1194444444</v>
      </c>
      <c r="S234" s="3" t="s">
        <v>37</v>
      </c>
      <c r="T234" s="7" t="n">
        <f aca="false">ROUND(MIN(IF(OR(O234=TRUE(),O234="TRUE",O234="Yes"),59,100),(I234*Rubric!$C$2+J234*Rubric!$C$3+K234*Rubric!$C$4+L234*Rubric!$C$5+M234*Rubric!$C$6+N234*Rubric!$C$7)/5),1)</f>
        <v>81</v>
      </c>
      <c r="U234" s="8" t="str">
        <f aca="false">LOOKUP(T234,Bands!$A$2:$A$6,Bands!$B$2:$B$6)</f>
        <v>Solid Performance</v>
      </c>
      <c r="V234" s="8" t="n">
        <f aca="false">IF(Q234="","",ROUND((Q234-B234)*24,1))</f>
        <v>120</v>
      </c>
    </row>
    <row r="235" customFormat="false" ht="15" hidden="false" customHeight="false" outlineLevel="0" collapsed="false">
      <c r="A235" s="3" t="s">
        <v>599</v>
      </c>
      <c r="B235" s="5" t="n">
        <v>46140.5854166667</v>
      </c>
      <c r="C235" s="3" t="s">
        <v>30</v>
      </c>
      <c r="D235" s="3" t="s">
        <v>51</v>
      </c>
      <c r="E235" s="3" t="s">
        <v>52</v>
      </c>
      <c r="F235" s="3" t="s">
        <v>53</v>
      </c>
      <c r="G235" s="3" t="s">
        <v>54</v>
      </c>
      <c r="H235" s="3" t="s">
        <v>600</v>
      </c>
      <c r="I235" s="3" t="n">
        <v>5</v>
      </c>
      <c r="J235" s="3" t="n">
        <v>3</v>
      </c>
      <c r="K235" s="3" t="n">
        <v>3</v>
      </c>
      <c r="L235" s="3" t="n">
        <v>5</v>
      </c>
      <c r="M235" s="3" t="n">
        <v>5</v>
      </c>
      <c r="N235" s="3" t="n">
        <v>4</v>
      </c>
      <c r="O235" s="6" t="b">
        <f aca="false">FALSE()</f>
        <v>0</v>
      </c>
      <c r="P235" s="3"/>
      <c r="Q235" s="5" t="n">
        <v>46144.5854166667</v>
      </c>
      <c r="R235" s="5" t="n">
        <v>46144.81875</v>
      </c>
      <c r="S235" s="3" t="s">
        <v>37</v>
      </c>
      <c r="T235" s="7" t="n">
        <f aca="false">ROUND(MIN(IF(OR(O235=TRUE(),O235="TRUE",O235="Yes"),59,100),(I235*Rubric!$C$2+J235*Rubric!$C$3+K235*Rubric!$C$4+L235*Rubric!$C$5+M235*Rubric!$C$6+N235*Rubric!$C$7)/5),1)</f>
        <v>79</v>
      </c>
      <c r="U235" s="8" t="str">
        <f aca="false">LOOKUP(T235,Bands!$A$2:$A$6,Bands!$B$2:$B$6)</f>
        <v>Meets Expectations</v>
      </c>
      <c r="V235" s="8" t="n">
        <f aca="false">IF(Q235="","",ROUND((Q235-B235)*24,1))</f>
        <v>96</v>
      </c>
    </row>
    <row r="236" customFormat="false" ht="15" hidden="false" customHeight="false" outlineLevel="0" collapsed="false">
      <c r="A236" s="3" t="s">
        <v>601</v>
      </c>
      <c r="B236" s="5" t="n">
        <v>46140.575</v>
      </c>
      <c r="C236" s="3" t="s">
        <v>68</v>
      </c>
      <c r="D236" s="3" t="s">
        <v>81</v>
      </c>
      <c r="E236" s="3" t="s">
        <v>82</v>
      </c>
      <c r="F236" s="3" t="s">
        <v>65</v>
      </c>
      <c r="G236" s="3" t="s">
        <v>42</v>
      </c>
      <c r="H236" s="3" t="s">
        <v>602</v>
      </c>
      <c r="I236" s="3" t="n">
        <v>5</v>
      </c>
      <c r="J236" s="3" t="n">
        <v>2</v>
      </c>
      <c r="K236" s="3" t="n">
        <v>5</v>
      </c>
      <c r="L236" s="3" t="n">
        <v>5</v>
      </c>
      <c r="M236" s="3" t="n">
        <v>4</v>
      </c>
      <c r="N236" s="3" t="n">
        <v>4</v>
      </c>
      <c r="O236" s="6" t="b">
        <f aca="false">FALSE()</f>
        <v>0</v>
      </c>
      <c r="P236" s="3" t="s">
        <v>56</v>
      </c>
      <c r="Q236" s="5" t="n">
        <v>46144.575</v>
      </c>
      <c r="R236" s="5" t="n">
        <v>46150.2909722222</v>
      </c>
      <c r="S236" s="3" t="s">
        <v>37</v>
      </c>
      <c r="T236" s="7" t="n">
        <f aca="false">ROUND(MIN(IF(OR(O236=TRUE(),O236="TRUE",O236="Yes"),59,100),(I236*Rubric!$C$2+J236*Rubric!$C$3+K236*Rubric!$C$4+L236*Rubric!$C$5+M236*Rubric!$C$6+N236*Rubric!$C$7)/5),1)</f>
        <v>80</v>
      </c>
      <c r="U236" s="8" t="str">
        <f aca="false">LOOKUP(T236,Bands!$A$2:$A$6,Bands!$B$2:$B$6)</f>
        <v>Solid Performance</v>
      </c>
      <c r="V236" s="8" t="n">
        <f aca="false">IF(Q236="","",ROUND((Q236-B236)*24,1))</f>
        <v>96</v>
      </c>
    </row>
    <row r="237" customFormat="false" ht="15" hidden="false" customHeight="false" outlineLevel="0" collapsed="false">
      <c r="A237" s="3" t="s">
        <v>603</v>
      </c>
      <c r="B237" s="5" t="n">
        <v>46140.7041666667</v>
      </c>
      <c r="C237" s="3" t="s">
        <v>39</v>
      </c>
      <c r="D237" s="3" t="s">
        <v>46</v>
      </c>
      <c r="E237" s="3" t="s">
        <v>47</v>
      </c>
      <c r="F237" s="3" t="s">
        <v>33</v>
      </c>
      <c r="G237" s="3" t="s">
        <v>54</v>
      </c>
      <c r="H237" s="3" t="s">
        <v>604</v>
      </c>
      <c r="I237" s="3" t="n">
        <v>4</v>
      </c>
      <c r="J237" s="3" t="n">
        <v>5</v>
      </c>
      <c r="K237" s="3" t="n">
        <v>2</v>
      </c>
      <c r="L237" s="3" t="n">
        <v>5</v>
      </c>
      <c r="M237" s="3" t="n">
        <v>5</v>
      </c>
      <c r="N237" s="3" t="n">
        <v>4</v>
      </c>
      <c r="O237" s="6" t="b">
        <f aca="false">FALSE()</f>
        <v>0</v>
      </c>
      <c r="P237" s="3" t="s">
        <v>49</v>
      </c>
      <c r="Q237" s="5" t="n">
        <v>46145.7041666667</v>
      </c>
      <c r="R237" s="5" t="n">
        <v>46146.2493055556</v>
      </c>
      <c r="S237" s="3" t="s">
        <v>37</v>
      </c>
      <c r="T237" s="7" t="n">
        <f aca="false">ROUND(MIN(IF(OR(O237=TRUE(),O237="TRUE",O237="Yes"),59,100),(I237*Rubric!$C$2+J237*Rubric!$C$3+K237*Rubric!$C$4+L237*Rubric!$C$5+M237*Rubric!$C$6+N237*Rubric!$C$7)/5),1)</f>
        <v>82</v>
      </c>
      <c r="U237" s="8" t="str">
        <f aca="false">LOOKUP(T237,Bands!$A$2:$A$6,Bands!$B$2:$B$6)</f>
        <v>Solid Performance</v>
      </c>
      <c r="V237" s="8" t="n">
        <f aca="false">IF(Q237="","",ROUND((Q237-B237)*24,1))</f>
        <v>120</v>
      </c>
    </row>
    <row r="238" customFormat="false" ht="15" hidden="false" customHeight="false" outlineLevel="0" collapsed="false">
      <c r="A238" s="3" t="s">
        <v>605</v>
      </c>
      <c r="B238" s="5" t="n">
        <v>46140.5534722222</v>
      </c>
      <c r="C238" s="3" t="s">
        <v>30</v>
      </c>
      <c r="D238" s="3" t="s">
        <v>151</v>
      </c>
      <c r="E238" s="3" t="s">
        <v>152</v>
      </c>
      <c r="F238" s="3" t="s">
        <v>33</v>
      </c>
      <c r="G238" s="3" t="s">
        <v>54</v>
      </c>
      <c r="H238" s="3" t="s">
        <v>606</v>
      </c>
      <c r="I238" s="3" t="n">
        <v>4</v>
      </c>
      <c r="J238" s="3" t="n">
        <v>1</v>
      </c>
      <c r="K238" s="3" t="n">
        <v>5</v>
      </c>
      <c r="L238" s="3" t="n">
        <v>5</v>
      </c>
      <c r="M238" s="3" t="n">
        <v>4</v>
      </c>
      <c r="N238" s="3" t="n">
        <v>4</v>
      </c>
      <c r="O238" s="6" t="b">
        <f aca="false">FALSE()</f>
        <v>0</v>
      </c>
      <c r="P238" s="3" t="s">
        <v>56</v>
      </c>
      <c r="Q238" s="5" t="n">
        <v>46143.5534722222</v>
      </c>
      <c r="R238" s="5" t="n">
        <v>46144.4256944444</v>
      </c>
      <c r="S238" s="3" t="s">
        <v>37</v>
      </c>
      <c r="T238" s="7" t="n">
        <f aca="false">ROUND(MIN(IF(OR(O238=TRUE(),O238="TRUE",O238="Yes"),59,100),(I238*Rubric!$C$2+J238*Rubric!$C$3+K238*Rubric!$C$4+L238*Rubric!$C$5+M238*Rubric!$C$6+N238*Rubric!$C$7)/5),1)</f>
        <v>72</v>
      </c>
      <c r="U238" s="8" t="str">
        <f aca="false">LOOKUP(T238,Bands!$A$2:$A$6,Bands!$B$2:$B$6)</f>
        <v>Meets Expectations</v>
      </c>
      <c r="V238" s="8" t="n">
        <f aca="false">IF(Q238="","",ROUND((Q238-B238)*24,1))</f>
        <v>72</v>
      </c>
    </row>
    <row r="239" customFormat="false" ht="15" hidden="false" customHeight="false" outlineLevel="0" collapsed="false">
      <c r="A239" s="3" t="s">
        <v>607</v>
      </c>
      <c r="B239" s="5" t="n">
        <v>46140.6722222222</v>
      </c>
      <c r="C239" s="3" t="s">
        <v>39</v>
      </c>
      <c r="D239" s="3" t="s">
        <v>40</v>
      </c>
      <c r="E239" s="3" t="s">
        <v>41</v>
      </c>
      <c r="F239" s="3" t="s">
        <v>33</v>
      </c>
      <c r="G239" s="3" t="s">
        <v>34</v>
      </c>
      <c r="H239" s="3" t="s">
        <v>608</v>
      </c>
      <c r="I239" s="3" t="n">
        <v>4</v>
      </c>
      <c r="J239" s="3" t="n">
        <v>4</v>
      </c>
      <c r="K239" s="3" t="n">
        <v>3</v>
      </c>
      <c r="L239" s="3" t="n">
        <v>3</v>
      </c>
      <c r="M239" s="3" t="n">
        <v>3</v>
      </c>
      <c r="N239" s="3" t="n">
        <v>4</v>
      </c>
      <c r="O239" s="6" t="b">
        <f aca="false">FALSE()</f>
        <v>0</v>
      </c>
      <c r="P239" s="3"/>
      <c r="Q239" s="5" t="n">
        <v>46144.6722222222</v>
      </c>
      <c r="R239" s="5" t="n">
        <v>46145.75625</v>
      </c>
      <c r="S239" s="3" t="s">
        <v>37</v>
      </c>
      <c r="T239" s="7" t="n">
        <f aca="false">ROUND(MIN(IF(OR(O239=TRUE(),O239="TRUE",O239="Yes"),59,100),(I239*Rubric!$C$2+J239*Rubric!$C$3+K239*Rubric!$C$4+L239*Rubric!$C$5+M239*Rubric!$C$6+N239*Rubric!$C$7)/5),1)</f>
        <v>71</v>
      </c>
      <c r="U239" s="8" t="str">
        <f aca="false">LOOKUP(T239,Bands!$A$2:$A$6,Bands!$B$2:$B$6)</f>
        <v>Meets Expectations</v>
      </c>
      <c r="V239" s="8" t="n">
        <f aca="false">IF(Q239="","",ROUND((Q239-B239)*24,1))</f>
        <v>96</v>
      </c>
    </row>
    <row r="240" customFormat="false" ht="15" hidden="false" customHeight="false" outlineLevel="0" collapsed="false">
      <c r="A240" s="3" t="s">
        <v>609</v>
      </c>
      <c r="B240" s="5" t="n">
        <v>46140.6472222222</v>
      </c>
      <c r="C240" s="3" t="s">
        <v>30</v>
      </c>
      <c r="D240" s="3" t="s">
        <v>228</v>
      </c>
      <c r="E240" s="3" t="s">
        <v>229</v>
      </c>
      <c r="F240" s="3" t="s">
        <v>65</v>
      </c>
      <c r="G240" s="3" t="s">
        <v>42</v>
      </c>
      <c r="H240" s="3" t="s">
        <v>610</v>
      </c>
      <c r="I240" s="3" t="n">
        <v>3</v>
      </c>
      <c r="J240" s="3" t="n">
        <v>5</v>
      </c>
      <c r="K240" s="3" t="n">
        <v>3</v>
      </c>
      <c r="L240" s="3" t="n">
        <v>3</v>
      </c>
      <c r="M240" s="3" t="n">
        <v>3</v>
      </c>
      <c r="N240" s="3" t="n">
        <v>2</v>
      </c>
      <c r="O240" s="6" t="b">
        <f aca="false">FALSE()</f>
        <v>0</v>
      </c>
      <c r="P240" s="3" t="s">
        <v>36</v>
      </c>
      <c r="Q240" s="5" t="n">
        <v>46143.6472222222</v>
      </c>
      <c r="R240" s="5" t="n">
        <v>46144.2340277778</v>
      </c>
      <c r="S240" s="3" t="s">
        <v>37</v>
      </c>
      <c r="T240" s="7" t="n">
        <f aca="false">ROUND(MIN(IF(OR(O240=TRUE(),O240="TRUE",O240="Yes"),59,100),(I240*Rubric!$C$2+J240*Rubric!$C$3+K240*Rubric!$C$4+L240*Rubric!$C$5+M240*Rubric!$C$6+N240*Rubric!$C$7)/5),1)</f>
        <v>67</v>
      </c>
      <c r="U240" s="8" t="str">
        <f aca="false">LOOKUP(T240,Bands!$A$2:$A$6,Bands!$B$2:$B$6)</f>
        <v>Needs Improvement</v>
      </c>
      <c r="V240" s="8" t="n">
        <f aca="false">IF(Q240="","",ROUND((Q240-B240)*24,1))</f>
        <v>72</v>
      </c>
    </row>
    <row r="241" customFormat="false" ht="15" hidden="false" customHeight="false" outlineLevel="0" collapsed="false">
      <c r="A241" s="3" t="s">
        <v>611</v>
      </c>
      <c r="B241" s="5" t="n">
        <v>46140.70625</v>
      </c>
      <c r="C241" s="3" t="s">
        <v>30</v>
      </c>
      <c r="D241" s="3" t="s">
        <v>105</v>
      </c>
      <c r="E241" s="3" t="s">
        <v>106</v>
      </c>
      <c r="F241" s="3" t="s">
        <v>65</v>
      </c>
      <c r="G241" s="3" t="s">
        <v>54</v>
      </c>
      <c r="H241" s="3" t="s">
        <v>612</v>
      </c>
      <c r="I241" s="3" t="n">
        <v>5</v>
      </c>
      <c r="J241" s="3" t="n">
        <v>2</v>
      </c>
      <c r="K241" s="3" t="n">
        <v>4</v>
      </c>
      <c r="L241" s="3" t="n">
        <v>5</v>
      </c>
      <c r="M241" s="3" t="n">
        <v>4</v>
      </c>
      <c r="N241" s="3" t="n">
        <v>4</v>
      </c>
      <c r="O241" s="6" t="b">
        <f aca="false">FALSE()</f>
        <v>0</v>
      </c>
      <c r="P241" s="3" t="s">
        <v>56</v>
      </c>
      <c r="Q241" s="5" t="n">
        <v>46146.70625</v>
      </c>
      <c r="R241" s="5" t="n">
        <v>46147.2375</v>
      </c>
      <c r="S241" s="3" t="s">
        <v>37</v>
      </c>
      <c r="T241" s="7" t="n">
        <f aca="false">ROUND(MIN(IF(OR(O241=TRUE(),O241="TRUE",O241="Yes"),59,100),(I241*Rubric!$C$2+J241*Rubric!$C$3+K241*Rubric!$C$4+L241*Rubric!$C$5+M241*Rubric!$C$6+N241*Rubric!$C$7)/5),1)</f>
        <v>76</v>
      </c>
      <c r="U241" s="8" t="str">
        <f aca="false">LOOKUP(T241,Bands!$A$2:$A$6,Bands!$B$2:$B$6)</f>
        <v>Meets Expectations</v>
      </c>
      <c r="V241" s="8" t="n">
        <f aca="false">IF(Q241="","",ROUND((Q241-B241)*24,1))</f>
        <v>144</v>
      </c>
    </row>
    <row r="242" customFormat="false" ht="15" hidden="false" customHeight="false" outlineLevel="0" collapsed="false">
      <c r="A242" s="3" t="s">
        <v>613</v>
      </c>
      <c r="B242" s="5" t="n">
        <v>46141.5180555556</v>
      </c>
      <c r="C242" s="3" t="s">
        <v>30</v>
      </c>
      <c r="D242" s="3" t="s">
        <v>137</v>
      </c>
      <c r="E242" s="3" t="s">
        <v>138</v>
      </c>
      <c r="F242" s="3" t="s">
        <v>65</v>
      </c>
      <c r="G242" s="3" t="s">
        <v>34</v>
      </c>
      <c r="H242" s="3" t="s">
        <v>614</v>
      </c>
      <c r="I242" s="3" t="n">
        <v>3</v>
      </c>
      <c r="J242" s="3" t="n">
        <v>3</v>
      </c>
      <c r="K242" s="3" t="n">
        <v>5</v>
      </c>
      <c r="L242" s="3" t="n">
        <v>5</v>
      </c>
      <c r="M242" s="3" t="n">
        <v>4</v>
      </c>
      <c r="N242" s="3" t="n">
        <v>4</v>
      </c>
      <c r="O242" s="6" t="b">
        <f aca="false">FALSE()</f>
        <v>0</v>
      </c>
      <c r="P242" s="3"/>
      <c r="Q242" s="5" t="n">
        <v>46148.5180555556</v>
      </c>
      <c r="R242" s="5" t="n">
        <v>46149.1916666667</v>
      </c>
      <c r="S242" s="3" t="s">
        <v>37</v>
      </c>
      <c r="T242" s="7" t="n">
        <f aca="false">ROUND(MIN(IF(OR(O242=TRUE(),O242="TRUE",O242="Yes"),59,100),(I242*Rubric!$C$2+J242*Rubric!$C$3+K242*Rubric!$C$4+L242*Rubric!$C$5+M242*Rubric!$C$6+N242*Rubric!$C$7)/5),1)</f>
        <v>79</v>
      </c>
      <c r="U242" s="8" t="str">
        <f aca="false">LOOKUP(T242,Bands!$A$2:$A$6,Bands!$B$2:$B$6)</f>
        <v>Meets Expectations</v>
      </c>
      <c r="V242" s="8" t="n">
        <f aca="false">IF(Q242="","",ROUND((Q242-B242)*24,1))</f>
        <v>168</v>
      </c>
    </row>
    <row r="243" customFormat="false" ht="15" hidden="false" customHeight="false" outlineLevel="0" collapsed="false">
      <c r="A243" s="3" t="s">
        <v>615</v>
      </c>
      <c r="B243" s="5" t="n">
        <v>46141.5944444445</v>
      </c>
      <c r="C243" s="3" t="s">
        <v>30</v>
      </c>
      <c r="D243" s="3" t="s">
        <v>194</v>
      </c>
      <c r="E243" s="3" t="s">
        <v>195</v>
      </c>
      <c r="F243" s="3" t="s">
        <v>53</v>
      </c>
      <c r="G243" s="3" t="s">
        <v>54</v>
      </c>
      <c r="H243" s="3" t="s">
        <v>616</v>
      </c>
      <c r="I243" s="3" t="n">
        <v>4</v>
      </c>
      <c r="J243" s="3" t="n">
        <v>4</v>
      </c>
      <c r="K243" s="3" t="n">
        <v>5</v>
      </c>
      <c r="L243" s="3" t="n">
        <v>2</v>
      </c>
      <c r="M243" s="3" t="n">
        <v>4</v>
      </c>
      <c r="N243" s="3" t="n">
        <v>4</v>
      </c>
      <c r="O243" s="6" t="b">
        <f aca="false">FALSE()</f>
        <v>0</v>
      </c>
      <c r="P243" s="3" t="s">
        <v>44</v>
      </c>
      <c r="Q243" s="5" t="n">
        <v>46150.5944444445</v>
      </c>
      <c r="R243" s="5" t="n">
        <v>46151.9263888889</v>
      </c>
      <c r="S243" s="3" t="s">
        <v>37</v>
      </c>
      <c r="T243" s="7" t="n">
        <f aca="false">ROUND(MIN(IF(OR(O243=TRUE(),O243="TRUE",O243="Yes"),59,100),(I243*Rubric!$C$2+J243*Rubric!$C$3+K243*Rubric!$C$4+L243*Rubric!$C$5+M243*Rubric!$C$6+N243*Rubric!$C$7)/5),1)</f>
        <v>78</v>
      </c>
      <c r="U243" s="8" t="str">
        <f aca="false">LOOKUP(T243,Bands!$A$2:$A$6,Bands!$B$2:$B$6)</f>
        <v>Meets Expectations</v>
      </c>
      <c r="V243" s="8" t="n">
        <f aca="false">IF(Q243="","",ROUND((Q243-B243)*24,1))</f>
        <v>216</v>
      </c>
    </row>
    <row r="244" customFormat="false" ht="15" hidden="false" customHeight="false" outlineLevel="0" collapsed="false">
      <c r="A244" s="3" t="s">
        <v>617</v>
      </c>
      <c r="B244" s="5" t="n">
        <v>46141.5784722222</v>
      </c>
      <c r="C244" s="3" t="s">
        <v>68</v>
      </c>
      <c r="D244" s="3" t="s">
        <v>51</v>
      </c>
      <c r="E244" s="3" t="s">
        <v>52</v>
      </c>
      <c r="F244" s="3" t="s">
        <v>53</v>
      </c>
      <c r="G244" s="3" t="s">
        <v>54</v>
      </c>
      <c r="H244" s="3" t="s">
        <v>618</v>
      </c>
      <c r="I244" s="3" t="n">
        <v>3</v>
      </c>
      <c r="J244" s="3" t="n">
        <v>2</v>
      </c>
      <c r="K244" s="3" t="n">
        <v>4</v>
      </c>
      <c r="L244" s="3" t="n">
        <v>4</v>
      </c>
      <c r="M244" s="3" t="n">
        <v>4</v>
      </c>
      <c r="N244" s="3" t="n">
        <v>4</v>
      </c>
      <c r="O244" s="6" t="b">
        <f aca="false">FALSE()</f>
        <v>0</v>
      </c>
      <c r="P244" s="3" t="s">
        <v>56</v>
      </c>
      <c r="Q244" s="5" t="n">
        <v>46150.5784722222</v>
      </c>
      <c r="R244" s="5" t="n">
        <v>46150.95</v>
      </c>
      <c r="S244" s="3" t="s">
        <v>37</v>
      </c>
      <c r="T244" s="7" t="n">
        <f aca="false">ROUND(MIN(IF(OR(O244=TRUE(),O244="TRUE",O244="Yes"),59,100),(I244*Rubric!$C$2+J244*Rubric!$C$3+K244*Rubric!$C$4+L244*Rubric!$C$5+M244*Rubric!$C$6+N244*Rubric!$C$7)/5),1)</f>
        <v>67</v>
      </c>
      <c r="U244" s="8" t="str">
        <f aca="false">LOOKUP(T244,Bands!$A$2:$A$6,Bands!$B$2:$B$6)</f>
        <v>Needs Improvement</v>
      </c>
      <c r="V244" s="8" t="n">
        <f aca="false">IF(Q244="","",ROUND((Q244-B244)*24,1))</f>
        <v>216</v>
      </c>
    </row>
    <row r="245" customFormat="false" ht="15" hidden="false" customHeight="false" outlineLevel="0" collapsed="false">
      <c r="A245" s="3" t="s">
        <v>619</v>
      </c>
      <c r="B245" s="5" t="n">
        <v>46141.6993055556</v>
      </c>
      <c r="C245" s="3" t="s">
        <v>68</v>
      </c>
      <c r="D245" s="3" t="s">
        <v>228</v>
      </c>
      <c r="E245" s="3" t="s">
        <v>229</v>
      </c>
      <c r="F245" s="3" t="s">
        <v>65</v>
      </c>
      <c r="G245" s="3" t="s">
        <v>42</v>
      </c>
      <c r="H245" s="3" t="s">
        <v>620</v>
      </c>
      <c r="I245" s="3" t="n">
        <v>3</v>
      </c>
      <c r="J245" s="3" t="n">
        <v>3</v>
      </c>
      <c r="K245" s="3" t="n">
        <v>4</v>
      </c>
      <c r="L245" s="3" t="n">
        <v>3</v>
      </c>
      <c r="M245" s="3" t="n">
        <v>4</v>
      </c>
      <c r="N245" s="3" t="n">
        <v>2</v>
      </c>
      <c r="O245" s="6" t="b">
        <f aca="false">FALSE()</f>
        <v>0</v>
      </c>
      <c r="P245" s="3" t="s">
        <v>36</v>
      </c>
      <c r="Q245" s="5" t="n">
        <v>46145.6993055556</v>
      </c>
      <c r="R245" s="5" t="n">
        <v>46145.9131944445</v>
      </c>
      <c r="S245" s="3" t="s">
        <v>37</v>
      </c>
      <c r="T245" s="7" t="n">
        <f aca="false">ROUND(MIN(IF(OR(O245=TRUE(),O245="TRUE",O245="Yes"),59,100),(I245*Rubric!$C$2+J245*Rubric!$C$3+K245*Rubric!$C$4+L245*Rubric!$C$5+M245*Rubric!$C$6+N245*Rubric!$C$7)/5),1)</f>
        <v>63</v>
      </c>
      <c r="U245" s="8" t="str">
        <f aca="false">LOOKUP(T245,Bands!$A$2:$A$6,Bands!$B$2:$B$6)</f>
        <v>Needs Improvement</v>
      </c>
      <c r="V245" s="8" t="n">
        <f aca="false">IF(Q245="","",ROUND((Q245-B245)*24,1))</f>
        <v>96</v>
      </c>
    </row>
    <row r="246" customFormat="false" ht="15" hidden="false" customHeight="false" outlineLevel="0" collapsed="false">
      <c r="A246" s="3" t="s">
        <v>621</v>
      </c>
      <c r="B246" s="5" t="n">
        <v>46141.54375</v>
      </c>
      <c r="C246" s="3" t="s">
        <v>39</v>
      </c>
      <c r="D246" s="3" t="s">
        <v>77</v>
      </c>
      <c r="E246" s="3" t="s">
        <v>78</v>
      </c>
      <c r="F246" s="3" t="s">
        <v>33</v>
      </c>
      <c r="G246" s="3" t="s">
        <v>54</v>
      </c>
      <c r="H246" s="3" t="s">
        <v>622</v>
      </c>
      <c r="I246" s="3" t="n">
        <v>4</v>
      </c>
      <c r="J246" s="3" t="n">
        <v>5</v>
      </c>
      <c r="K246" s="3" t="n">
        <v>3</v>
      </c>
      <c r="L246" s="3" t="n">
        <v>5</v>
      </c>
      <c r="M246" s="3" t="n">
        <v>5</v>
      </c>
      <c r="N246" s="3" t="n">
        <v>5</v>
      </c>
      <c r="O246" s="6" t="b">
        <f aca="false">FALSE()</f>
        <v>0</v>
      </c>
      <c r="P246" s="3"/>
      <c r="Q246" s="5" t="n">
        <v>46147.54375</v>
      </c>
      <c r="R246" s="5" t="n">
        <v>46147.63125</v>
      </c>
      <c r="S246" s="3" t="s">
        <v>37</v>
      </c>
      <c r="T246" s="7" t="n">
        <f aca="false">ROUND(MIN(IF(OR(O246=TRUE(),O246="TRUE",O246="Yes"),59,100),(I246*Rubric!$C$2+J246*Rubric!$C$3+K246*Rubric!$C$4+L246*Rubric!$C$5+M246*Rubric!$C$6+N246*Rubric!$C$7)/5),1)</f>
        <v>89</v>
      </c>
      <c r="U246" s="8" t="str">
        <f aca="false">LOOKUP(T246,Bands!$A$2:$A$6,Bands!$B$2:$B$6)</f>
        <v>Solid Performance</v>
      </c>
      <c r="V246" s="8" t="n">
        <f aca="false">IF(Q246="","",ROUND((Q246-B246)*24,1))</f>
        <v>144</v>
      </c>
    </row>
    <row r="247" customFormat="false" ht="15" hidden="false" customHeight="false" outlineLevel="0" collapsed="false">
      <c r="A247" s="3" t="s">
        <v>623</v>
      </c>
      <c r="B247" s="5" t="n">
        <v>46141.3909722222</v>
      </c>
      <c r="C247" s="3" t="s">
        <v>68</v>
      </c>
      <c r="D247" s="3" t="s">
        <v>73</v>
      </c>
      <c r="E247" s="3" t="s">
        <v>74</v>
      </c>
      <c r="F247" s="3" t="s">
        <v>33</v>
      </c>
      <c r="G247" s="3" t="s">
        <v>54</v>
      </c>
      <c r="H247" s="3" t="s">
        <v>624</v>
      </c>
      <c r="I247" s="3" t="n">
        <v>4</v>
      </c>
      <c r="J247" s="3" t="n">
        <v>5</v>
      </c>
      <c r="K247" s="3" t="n">
        <v>4</v>
      </c>
      <c r="L247" s="3" t="n">
        <v>4</v>
      </c>
      <c r="M247" s="3" t="n">
        <v>4</v>
      </c>
      <c r="N247" s="3" t="n">
        <v>3</v>
      </c>
      <c r="O247" s="6" t="b">
        <f aca="false">FALSE()</f>
        <v>0</v>
      </c>
      <c r="P247" s="3"/>
      <c r="Q247" s="5" t="n">
        <v>46147.3909722222</v>
      </c>
      <c r="R247" s="5" t="n">
        <v>46147.4111111111</v>
      </c>
      <c r="S247" s="3" t="s">
        <v>37</v>
      </c>
      <c r="T247" s="7" t="n">
        <f aca="false">ROUND(MIN(IF(OR(O247=TRUE(),O247="TRUE",O247="Yes"),59,100),(I247*Rubric!$C$2+J247*Rubric!$C$3+K247*Rubric!$C$4+L247*Rubric!$C$5+M247*Rubric!$C$6+N247*Rubric!$C$7)/5),1)</f>
        <v>82</v>
      </c>
      <c r="U247" s="8" t="str">
        <f aca="false">LOOKUP(T247,Bands!$A$2:$A$6,Bands!$B$2:$B$6)</f>
        <v>Solid Performance</v>
      </c>
      <c r="V247" s="8" t="n">
        <f aca="false">IF(Q247="","",ROUND((Q247-B247)*24,1))</f>
        <v>144</v>
      </c>
    </row>
    <row r="248" customFormat="false" ht="15" hidden="false" customHeight="false" outlineLevel="0" collapsed="false">
      <c r="A248" s="3" t="s">
        <v>625</v>
      </c>
      <c r="B248" s="5" t="n">
        <v>46141.5180555556</v>
      </c>
      <c r="C248" s="3" t="s">
        <v>68</v>
      </c>
      <c r="D248" s="3" t="s">
        <v>486</v>
      </c>
      <c r="E248" s="3" t="s">
        <v>487</v>
      </c>
      <c r="F248" s="3" t="s">
        <v>65</v>
      </c>
      <c r="G248" s="3" t="s">
        <v>42</v>
      </c>
      <c r="H248" s="3" t="s">
        <v>626</v>
      </c>
      <c r="I248" s="3" t="n">
        <v>5</v>
      </c>
      <c r="J248" s="3" t="n">
        <v>3</v>
      </c>
      <c r="K248" s="3" t="n">
        <v>5</v>
      </c>
      <c r="L248" s="3" t="n">
        <v>5</v>
      </c>
      <c r="M248" s="3" t="n">
        <v>4</v>
      </c>
      <c r="N248" s="3" t="n">
        <v>1</v>
      </c>
      <c r="O248" s="6" t="b">
        <f aca="false">TRUE()</f>
        <v>1</v>
      </c>
      <c r="P248" s="3" t="s">
        <v>36</v>
      </c>
      <c r="Q248" s="5" t="n">
        <v>46146.5180555556</v>
      </c>
      <c r="R248" s="5" t="n">
        <v>46147.3111111111</v>
      </c>
      <c r="S248" s="3" t="s">
        <v>37</v>
      </c>
      <c r="T248" s="7" t="n">
        <f aca="false">ROUND(MIN(IF(OR(O248=TRUE(),O248="TRUE",O248="Yes"),59,100),(I248*Rubric!$C$2+J248*Rubric!$C$3+K248*Rubric!$C$4+L248*Rubric!$C$5+M248*Rubric!$C$6+N248*Rubric!$C$7)/5),1)</f>
        <v>59</v>
      </c>
      <c r="U248" s="8" t="str">
        <f aca="false">LOOKUP(T248,Bands!$A$2:$A$6,Bands!$B$2:$B$6)</f>
        <v>Critical</v>
      </c>
      <c r="V248" s="8" t="n">
        <f aca="false">IF(Q248="","",ROUND((Q248-B248)*24,1))</f>
        <v>120</v>
      </c>
    </row>
    <row r="249" customFormat="false" ht="15" hidden="false" customHeight="false" outlineLevel="0" collapsed="false">
      <c r="A249" s="3" t="s">
        <v>627</v>
      </c>
      <c r="B249" s="5" t="n">
        <v>46141.4798611111</v>
      </c>
      <c r="C249" s="3" t="s">
        <v>68</v>
      </c>
      <c r="D249" s="3" t="s">
        <v>293</v>
      </c>
      <c r="E249" s="3" t="s">
        <v>294</v>
      </c>
      <c r="F249" s="3" t="s">
        <v>65</v>
      </c>
      <c r="G249" s="3" t="s">
        <v>42</v>
      </c>
      <c r="H249" s="3" t="s">
        <v>628</v>
      </c>
      <c r="I249" s="3" t="n">
        <v>5</v>
      </c>
      <c r="J249" s="3" t="n">
        <v>5</v>
      </c>
      <c r="K249" s="3" t="n">
        <v>5</v>
      </c>
      <c r="L249" s="3" t="n">
        <v>3</v>
      </c>
      <c r="M249" s="3" t="n">
        <v>5</v>
      </c>
      <c r="N249" s="3" t="n">
        <v>4</v>
      </c>
      <c r="O249" s="6" t="b">
        <f aca="false">FALSE()</f>
        <v>0</v>
      </c>
      <c r="P249" s="3"/>
      <c r="Q249" s="5" t="n">
        <v>46145.4798611111</v>
      </c>
      <c r="R249" s="5" t="n">
        <v>46146.0395833333</v>
      </c>
      <c r="S249" s="3" t="s">
        <v>37</v>
      </c>
      <c r="T249" s="7" t="n">
        <f aca="false">ROUND(MIN(IF(OR(O249=TRUE(),O249="TRUE",O249="Yes"),59,100),(I249*Rubric!$C$2+J249*Rubric!$C$3+K249*Rubric!$C$4+L249*Rubric!$C$5+M249*Rubric!$C$6+N249*Rubric!$C$7)/5),1)</f>
        <v>91</v>
      </c>
      <c r="U249" s="8" t="str">
        <f aca="false">LOOKUP(T249,Bands!$A$2:$A$6,Bands!$B$2:$B$6)</f>
        <v>Outstanding</v>
      </c>
      <c r="V249" s="8" t="n">
        <f aca="false">IF(Q249="","",ROUND((Q249-B249)*24,1))</f>
        <v>96</v>
      </c>
    </row>
    <row r="250" customFormat="false" ht="15" hidden="false" customHeight="false" outlineLevel="0" collapsed="false">
      <c r="A250" s="3" t="s">
        <v>629</v>
      </c>
      <c r="B250" s="5" t="n">
        <v>46141.4701388889</v>
      </c>
      <c r="C250" s="3" t="s">
        <v>30</v>
      </c>
      <c r="D250" s="3" t="s">
        <v>307</v>
      </c>
      <c r="E250" s="3" t="s">
        <v>308</v>
      </c>
      <c r="F250" s="3" t="s">
        <v>33</v>
      </c>
      <c r="G250" s="3" t="s">
        <v>42</v>
      </c>
      <c r="H250" s="3" t="s">
        <v>630</v>
      </c>
      <c r="I250" s="3" t="n">
        <v>5</v>
      </c>
      <c r="J250" s="3" t="n">
        <v>3</v>
      </c>
      <c r="K250" s="3" t="n">
        <v>5</v>
      </c>
      <c r="L250" s="3" t="n">
        <v>5</v>
      </c>
      <c r="M250" s="3" t="n">
        <v>5</v>
      </c>
      <c r="N250" s="3" t="n">
        <v>5</v>
      </c>
      <c r="O250" s="6" t="b">
        <f aca="false">FALSE()</f>
        <v>0</v>
      </c>
      <c r="P250" s="3"/>
      <c r="Q250" s="5" t="n">
        <v>46144.4701388889</v>
      </c>
      <c r="R250" s="5" t="n">
        <v>46144.6277777778</v>
      </c>
      <c r="S250" s="3" t="s">
        <v>37</v>
      </c>
      <c r="T250" s="7" t="n">
        <f aca="false">ROUND(MIN(IF(OR(O250=TRUE(),O250="TRUE",O250="Yes"),59,100),(I250*Rubric!$C$2+J250*Rubric!$C$3+K250*Rubric!$C$4+L250*Rubric!$C$5+M250*Rubric!$C$6+N250*Rubric!$C$7)/5),1)</f>
        <v>90</v>
      </c>
      <c r="U250" s="8" t="str">
        <f aca="false">LOOKUP(T250,Bands!$A$2:$A$6,Bands!$B$2:$B$6)</f>
        <v>Outstanding</v>
      </c>
      <c r="V250" s="8" t="n">
        <f aca="false">IF(Q250="","",ROUND((Q250-B250)*24,1))</f>
        <v>72</v>
      </c>
    </row>
    <row r="251" customFormat="false" ht="15" hidden="false" customHeight="false" outlineLevel="0" collapsed="false">
      <c r="A251" s="3" t="s">
        <v>631</v>
      </c>
      <c r="B251" s="5" t="n">
        <v>46141.4534722222</v>
      </c>
      <c r="C251" s="3" t="s">
        <v>39</v>
      </c>
      <c r="D251" s="3" t="s">
        <v>151</v>
      </c>
      <c r="E251" s="3" t="s">
        <v>152</v>
      </c>
      <c r="F251" s="3" t="s">
        <v>33</v>
      </c>
      <c r="G251" s="3" t="s">
        <v>54</v>
      </c>
      <c r="H251" s="3" t="s">
        <v>632</v>
      </c>
      <c r="I251" s="3" t="n">
        <v>4</v>
      </c>
      <c r="J251" s="3" t="n">
        <v>2</v>
      </c>
      <c r="K251" s="3" t="n">
        <v>4</v>
      </c>
      <c r="L251" s="3" t="n">
        <v>4</v>
      </c>
      <c r="M251" s="3" t="n">
        <v>3</v>
      </c>
      <c r="N251" s="3" t="n">
        <v>5</v>
      </c>
      <c r="O251" s="6" t="b">
        <f aca="false">FALSE()</f>
        <v>0</v>
      </c>
      <c r="P251" s="3" t="s">
        <v>56</v>
      </c>
      <c r="Q251" s="5" t="n">
        <v>46147.4534722222</v>
      </c>
      <c r="R251" s="5" t="n">
        <v>46148.0854166667</v>
      </c>
      <c r="S251" s="3" t="s">
        <v>37</v>
      </c>
      <c r="T251" s="7" t="n">
        <f aca="false">ROUND(MIN(IF(OR(O251=TRUE(),O251="TRUE",O251="Yes"),59,100),(I251*Rubric!$C$2+J251*Rubric!$C$3+K251*Rubric!$C$4+L251*Rubric!$C$5+M251*Rubric!$C$6+N251*Rubric!$C$7)/5),1)</f>
        <v>71</v>
      </c>
      <c r="U251" s="8" t="str">
        <f aca="false">LOOKUP(T251,Bands!$A$2:$A$6,Bands!$B$2:$B$6)</f>
        <v>Meets Expectations</v>
      </c>
      <c r="V251" s="8" t="n">
        <f aca="false">IF(Q251="","",ROUND((Q251-B251)*24,1))</f>
        <v>144</v>
      </c>
    </row>
    <row r="252" customFormat="false" ht="15" hidden="false" customHeight="false" outlineLevel="0" collapsed="false">
      <c r="A252" s="3" t="s">
        <v>633</v>
      </c>
      <c r="B252" s="5" t="n">
        <v>46141.4145833333</v>
      </c>
      <c r="C252" s="3" t="s">
        <v>39</v>
      </c>
      <c r="D252" s="3" t="s">
        <v>155</v>
      </c>
      <c r="E252" s="3" t="s">
        <v>156</v>
      </c>
      <c r="F252" s="3" t="s">
        <v>65</v>
      </c>
      <c r="G252" s="3" t="s">
        <v>42</v>
      </c>
      <c r="H252" s="3" t="s">
        <v>634</v>
      </c>
      <c r="I252" s="3" t="n">
        <v>3</v>
      </c>
      <c r="J252" s="3" t="n">
        <v>5</v>
      </c>
      <c r="K252" s="3" t="n">
        <v>5</v>
      </c>
      <c r="L252" s="3" t="n">
        <v>4</v>
      </c>
      <c r="M252" s="3" t="n">
        <v>5</v>
      </c>
      <c r="N252" s="3" t="n">
        <v>4</v>
      </c>
      <c r="O252" s="6" t="b">
        <f aca="false">FALSE()</f>
        <v>0</v>
      </c>
      <c r="P252" s="3"/>
      <c r="Q252" s="5" t="n">
        <v>46145.4145833333</v>
      </c>
      <c r="R252" s="5" t="n">
        <v>46145.9916666667</v>
      </c>
      <c r="S252" s="3" t="s">
        <v>37</v>
      </c>
      <c r="T252" s="7" t="n">
        <f aca="false">ROUND(MIN(IF(OR(O252=TRUE(),O252="TRUE",O252="Yes"),59,100),(I252*Rubric!$C$2+J252*Rubric!$C$3+K252*Rubric!$C$4+L252*Rubric!$C$5+M252*Rubric!$C$6+N252*Rubric!$C$7)/5),1)</f>
        <v>88</v>
      </c>
      <c r="U252" s="8" t="str">
        <f aca="false">LOOKUP(T252,Bands!$A$2:$A$6,Bands!$B$2:$B$6)</f>
        <v>Solid Performance</v>
      </c>
      <c r="V252" s="8" t="n">
        <f aca="false">IF(Q252="","",ROUND((Q252-B252)*24,1))</f>
        <v>96</v>
      </c>
    </row>
    <row r="253" customFormat="false" ht="15" hidden="false" customHeight="false" outlineLevel="0" collapsed="false">
      <c r="A253" s="3" t="s">
        <v>635</v>
      </c>
      <c r="B253" s="5" t="n">
        <v>46141.4451388889</v>
      </c>
      <c r="C253" s="3" t="s">
        <v>30</v>
      </c>
      <c r="D253" s="3" t="s">
        <v>251</v>
      </c>
      <c r="E253" s="3" t="s">
        <v>252</v>
      </c>
      <c r="F253" s="3" t="s">
        <v>53</v>
      </c>
      <c r="G253" s="3" t="s">
        <v>54</v>
      </c>
      <c r="H253" s="3" t="s">
        <v>636</v>
      </c>
      <c r="I253" s="3" t="n">
        <v>4</v>
      </c>
      <c r="J253" s="3" t="n">
        <v>3</v>
      </c>
      <c r="K253" s="3" t="n">
        <v>5</v>
      </c>
      <c r="L253" s="3" t="n">
        <v>4</v>
      </c>
      <c r="M253" s="3" t="n">
        <v>2</v>
      </c>
      <c r="N253" s="3" t="n">
        <v>3</v>
      </c>
      <c r="O253" s="6" t="b">
        <f aca="false">FALSE()</f>
        <v>0</v>
      </c>
      <c r="P253" s="3" t="s">
        <v>103</v>
      </c>
      <c r="Q253" s="5" t="n">
        <v>46147.4451388889</v>
      </c>
      <c r="R253" s="5" t="n">
        <v>46149.3347222222</v>
      </c>
      <c r="S253" s="3" t="s">
        <v>37</v>
      </c>
      <c r="T253" s="7" t="n">
        <f aca="false">ROUND(MIN(IF(OR(O253=TRUE(),O253="TRUE",O253="Yes"),59,100),(I253*Rubric!$C$2+J253*Rubric!$C$3+K253*Rubric!$C$4+L253*Rubric!$C$5+M253*Rubric!$C$6+N253*Rubric!$C$7)/5),1)</f>
        <v>72</v>
      </c>
      <c r="U253" s="8" t="str">
        <f aca="false">LOOKUP(T253,Bands!$A$2:$A$6,Bands!$B$2:$B$6)</f>
        <v>Meets Expectations</v>
      </c>
      <c r="V253" s="8" t="n">
        <f aca="false">IF(Q253="","",ROUND((Q253-B253)*24,1))</f>
        <v>144</v>
      </c>
    </row>
    <row r="254" customFormat="false" ht="15" hidden="false" customHeight="false" outlineLevel="0" collapsed="false">
      <c r="A254" s="3" t="s">
        <v>637</v>
      </c>
      <c r="B254" s="5" t="n">
        <v>46142.4368055556</v>
      </c>
      <c r="C254" s="3" t="s">
        <v>68</v>
      </c>
      <c r="D254" s="3" t="s">
        <v>115</v>
      </c>
      <c r="E254" s="3" t="s">
        <v>116</v>
      </c>
      <c r="F254" s="3" t="s">
        <v>33</v>
      </c>
      <c r="G254" s="3" t="s">
        <v>42</v>
      </c>
      <c r="H254" s="3" t="s">
        <v>638</v>
      </c>
      <c r="I254" s="3" t="n">
        <v>4</v>
      </c>
      <c r="J254" s="3" t="n">
        <v>3</v>
      </c>
      <c r="K254" s="3" t="n">
        <v>4</v>
      </c>
      <c r="L254" s="3" t="n">
        <v>5</v>
      </c>
      <c r="M254" s="3" t="n">
        <v>2</v>
      </c>
      <c r="N254" s="3" t="n">
        <v>4</v>
      </c>
      <c r="O254" s="6" t="b">
        <f aca="false">FALSE()</f>
        <v>0</v>
      </c>
      <c r="P254" s="3" t="s">
        <v>103</v>
      </c>
      <c r="Q254" s="5" t="n">
        <v>46151.4368055556</v>
      </c>
      <c r="R254" s="5" t="n">
        <v>46152.9979166667</v>
      </c>
      <c r="S254" s="3" t="s">
        <v>37</v>
      </c>
      <c r="T254" s="7" t="n">
        <f aca="false">ROUND(MIN(IF(OR(O254=TRUE(),O254="TRUE",O254="Yes"),59,100),(I254*Rubric!$C$2+J254*Rubric!$C$3+K254*Rubric!$C$4+L254*Rubric!$C$5+M254*Rubric!$C$6+N254*Rubric!$C$7)/5),1)</f>
        <v>74</v>
      </c>
      <c r="U254" s="8" t="str">
        <f aca="false">LOOKUP(T254,Bands!$A$2:$A$6,Bands!$B$2:$B$6)</f>
        <v>Meets Expectations</v>
      </c>
      <c r="V254" s="8" t="n">
        <f aca="false">IF(Q254="","",ROUND((Q254-B254)*24,1))</f>
        <v>216</v>
      </c>
    </row>
    <row r="255" customFormat="false" ht="15" hidden="false" customHeight="false" outlineLevel="0" collapsed="false">
      <c r="A255" s="3" t="s">
        <v>639</v>
      </c>
      <c r="B255" s="5" t="n">
        <v>46142.6381944444</v>
      </c>
      <c r="C255" s="3" t="s">
        <v>30</v>
      </c>
      <c r="D255" s="3" t="s">
        <v>194</v>
      </c>
      <c r="E255" s="3" t="s">
        <v>195</v>
      </c>
      <c r="F255" s="3" t="s">
        <v>53</v>
      </c>
      <c r="G255" s="3" t="s">
        <v>54</v>
      </c>
      <c r="H255" s="3" t="s">
        <v>640</v>
      </c>
      <c r="I255" s="3" t="n">
        <v>4</v>
      </c>
      <c r="J255" s="3" t="n">
        <v>4</v>
      </c>
      <c r="K255" s="3" t="n">
        <v>4</v>
      </c>
      <c r="L255" s="3" t="n">
        <v>3</v>
      </c>
      <c r="M255" s="3" t="n">
        <v>4</v>
      </c>
      <c r="N255" s="3" t="n">
        <v>5</v>
      </c>
      <c r="O255" s="6" t="b">
        <f aca="false">FALSE()</f>
        <v>0</v>
      </c>
      <c r="P255" s="3"/>
      <c r="Q255" s="5" t="n">
        <v>46154.6381944444</v>
      </c>
      <c r="R255" s="5" t="n">
        <v>46159.5229166667</v>
      </c>
      <c r="S255" s="3" t="s">
        <v>37</v>
      </c>
      <c r="T255" s="7" t="n">
        <f aca="false">ROUND(MIN(IF(OR(O255=TRUE(),O255="TRUE",O255="Yes"),59,100),(I255*Rubric!$C$2+J255*Rubric!$C$3+K255*Rubric!$C$4+L255*Rubric!$C$5+M255*Rubric!$C$6+N255*Rubric!$C$7)/5),1)</f>
        <v>80</v>
      </c>
      <c r="U255" s="8" t="str">
        <f aca="false">LOOKUP(T255,Bands!$A$2:$A$6,Bands!$B$2:$B$6)</f>
        <v>Solid Performance</v>
      </c>
      <c r="V255" s="8" t="n">
        <f aca="false">IF(Q255="","",ROUND((Q255-B255)*24,1))</f>
        <v>288</v>
      </c>
    </row>
    <row r="256" customFormat="false" ht="15" hidden="false" customHeight="false" outlineLevel="0" collapsed="false">
      <c r="A256" s="3" t="s">
        <v>641</v>
      </c>
      <c r="B256" s="5" t="n">
        <v>46142.5430555556</v>
      </c>
      <c r="C256" s="3" t="s">
        <v>39</v>
      </c>
      <c r="D256" s="3" t="s">
        <v>90</v>
      </c>
      <c r="E256" s="3" t="s">
        <v>91</v>
      </c>
      <c r="F256" s="3" t="s">
        <v>65</v>
      </c>
      <c r="G256" s="3" t="s">
        <v>42</v>
      </c>
      <c r="H256" s="3" t="s">
        <v>642</v>
      </c>
      <c r="I256" s="3" t="n">
        <v>5</v>
      </c>
      <c r="J256" s="3" t="n">
        <v>4</v>
      </c>
      <c r="K256" s="3" t="n">
        <v>4</v>
      </c>
      <c r="L256" s="3" t="n">
        <v>2</v>
      </c>
      <c r="M256" s="3" t="n">
        <v>4</v>
      </c>
      <c r="N256" s="3" t="n">
        <v>5</v>
      </c>
      <c r="O256" s="6" t="b">
        <f aca="false">FALSE()</f>
        <v>0</v>
      </c>
      <c r="P256" s="3" t="s">
        <v>44</v>
      </c>
      <c r="Q256" s="5" t="n">
        <v>46146.5430555556</v>
      </c>
      <c r="R256" s="5" t="n">
        <v>46147.7715277778</v>
      </c>
      <c r="S256" s="3" t="s">
        <v>37</v>
      </c>
      <c r="T256" s="7" t="n">
        <f aca="false">ROUND(MIN(IF(OR(O256=TRUE(),O256="TRUE",O256="Yes"),59,100),(I256*Rubric!$C$2+J256*Rubric!$C$3+K256*Rubric!$C$4+L256*Rubric!$C$5+M256*Rubric!$C$6+N256*Rubric!$C$7)/5),1)</f>
        <v>80</v>
      </c>
      <c r="U256" s="8" t="str">
        <f aca="false">LOOKUP(T256,Bands!$A$2:$A$6,Bands!$B$2:$B$6)</f>
        <v>Solid Performance</v>
      </c>
      <c r="V256" s="8" t="n">
        <f aca="false">IF(Q256="","",ROUND((Q256-B256)*24,1))</f>
        <v>96</v>
      </c>
    </row>
    <row r="257" customFormat="false" ht="15" hidden="false" customHeight="false" outlineLevel="0" collapsed="false">
      <c r="A257" s="3" t="s">
        <v>643</v>
      </c>
      <c r="B257" s="5" t="n">
        <v>46142.6534722222</v>
      </c>
      <c r="C257" s="3" t="s">
        <v>68</v>
      </c>
      <c r="D257" s="3" t="s">
        <v>96</v>
      </c>
      <c r="E257" s="3" t="s">
        <v>97</v>
      </c>
      <c r="F257" s="3" t="s">
        <v>33</v>
      </c>
      <c r="G257" s="3" t="s">
        <v>42</v>
      </c>
      <c r="H257" s="3" t="s">
        <v>644</v>
      </c>
      <c r="I257" s="3" t="n">
        <v>5</v>
      </c>
      <c r="J257" s="3" t="n">
        <v>3</v>
      </c>
      <c r="K257" s="3" t="n">
        <v>5</v>
      </c>
      <c r="L257" s="3" t="n">
        <v>4</v>
      </c>
      <c r="M257" s="3" t="n">
        <v>4</v>
      </c>
      <c r="N257" s="3" t="n">
        <v>5</v>
      </c>
      <c r="O257" s="6" t="b">
        <f aca="false">FALSE()</f>
        <v>0</v>
      </c>
      <c r="P257" s="3"/>
      <c r="Q257" s="5" t="n">
        <v>46147.6534722222</v>
      </c>
      <c r="R257" s="5" t="n">
        <v>46149.8763888889</v>
      </c>
      <c r="S257" s="3" t="s">
        <v>37</v>
      </c>
      <c r="T257" s="7" t="n">
        <f aca="false">ROUND(MIN(IF(OR(O257=TRUE(),O257="TRUE",O257="Yes"),59,100),(I257*Rubric!$C$2+J257*Rubric!$C$3+K257*Rubric!$C$4+L257*Rubric!$C$5+M257*Rubric!$C$6+N257*Rubric!$C$7)/5),1)</f>
        <v>85</v>
      </c>
      <c r="U257" s="8" t="str">
        <f aca="false">LOOKUP(T257,Bands!$A$2:$A$6,Bands!$B$2:$B$6)</f>
        <v>Solid Performance</v>
      </c>
      <c r="V257" s="8" t="n">
        <f aca="false">IF(Q257="","",ROUND((Q257-B257)*24,1))</f>
        <v>120</v>
      </c>
    </row>
    <row r="258" customFormat="false" ht="15" hidden="false" customHeight="false" outlineLevel="0" collapsed="false">
      <c r="A258" s="3" t="s">
        <v>645</v>
      </c>
      <c r="B258" s="5" t="n">
        <v>46142.5625</v>
      </c>
      <c r="C258" s="3" t="s">
        <v>68</v>
      </c>
      <c r="D258" s="3" t="s">
        <v>63</v>
      </c>
      <c r="E258" s="3" t="s">
        <v>64</v>
      </c>
      <c r="F258" s="3" t="s">
        <v>65</v>
      </c>
      <c r="G258" s="3" t="s">
        <v>54</v>
      </c>
      <c r="H258" s="3" t="s">
        <v>646</v>
      </c>
      <c r="I258" s="3" t="n">
        <v>5</v>
      </c>
      <c r="J258" s="3" t="n">
        <v>4</v>
      </c>
      <c r="K258" s="3" t="n">
        <v>2</v>
      </c>
      <c r="L258" s="3" t="n">
        <v>4</v>
      </c>
      <c r="M258" s="3" t="n">
        <v>4</v>
      </c>
      <c r="N258" s="3" t="n">
        <v>4</v>
      </c>
      <c r="O258" s="6" t="b">
        <f aca="false">FALSE()</f>
        <v>0</v>
      </c>
      <c r="P258" s="3" t="s">
        <v>49</v>
      </c>
      <c r="Q258" s="5" t="n">
        <v>46145.5625</v>
      </c>
      <c r="R258" s="5" t="n">
        <v>46149.0194444444</v>
      </c>
      <c r="S258" s="3" t="s">
        <v>37</v>
      </c>
      <c r="T258" s="7" t="n">
        <f aca="false">ROUND(MIN(IF(OR(O258=TRUE(),O258="TRUE",O258="Yes"),59,100),(I258*Rubric!$C$2+J258*Rubric!$C$3+K258*Rubric!$C$4+L258*Rubric!$C$5+M258*Rubric!$C$6+N258*Rubric!$C$7)/5),1)</f>
        <v>75</v>
      </c>
      <c r="U258" s="8" t="str">
        <f aca="false">LOOKUP(T258,Bands!$A$2:$A$6,Bands!$B$2:$B$6)</f>
        <v>Meets Expectations</v>
      </c>
      <c r="V258" s="8" t="n">
        <f aca="false">IF(Q258="","",ROUND((Q258-B258)*24,1))</f>
        <v>72</v>
      </c>
    </row>
    <row r="259" customFormat="false" ht="15" hidden="false" customHeight="false" outlineLevel="0" collapsed="false">
      <c r="A259" s="3" t="s">
        <v>647</v>
      </c>
      <c r="B259" s="5" t="n">
        <v>46142.5104166667</v>
      </c>
      <c r="C259" s="3" t="s">
        <v>68</v>
      </c>
      <c r="D259" s="3" t="s">
        <v>137</v>
      </c>
      <c r="E259" s="3" t="s">
        <v>138</v>
      </c>
      <c r="F259" s="3" t="s">
        <v>65</v>
      </c>
      <c r="G259" s="3" t="s">
        <v>42</v>
      </c>
      <c r="H259" s="3" t="s">
        <v>648</v>
      </c>
      <c r="I259" s="3" t="n">
        <v>3</v>
      </c>
      <c r="J259" s="3" t="n">
        <v>5</v>
      </c>
      <c r="K259" s="3" t="n">
        <v>5</v>
      </c>
      <c r="L259" s="3" t="n">
        <v>5</v>
      </c>
      <c r="M259" s="3" t="n">
        <v>4</v>
      </c>
      <c r="N259" s="3" t="n">
        <v>5</v>
      </c>
      <c r="O259" s="6" t="b">
        <f aca="false">FALSE()</f>
        <v>0</v>
      </c>
      <c r="P259" s="3"/>
      <c r="Q259" s="5" t="n">
        <v>46149.5104166667</v>
      </c>
      <c r="R259" s="5" t="n">
        <v>46149.9680555556</v>
      </c>
      <c r="S259" s="3" t="s">
        <v>37</v>
      </c>
      <c r="T259" s="7" t="n">
        <f aca="false">ROUND(MIN(IF(OR(O259=TRUE(),O259="TRUE",O259="Yes"),59,100),(I259*Rubric!$C$2+J259*Rubric!$C$3+K259*Rubric!$C$4+L259*Rubric!$C$5+M259*Rubric!$C$6+N259*Rubric!$C$7)/5),1)</f>
        <v>92</v>
      </c>
      <c r="U259" s="8" t="str">
        <f aca="false">LOOKUP(T259,Bands!$A$2:$A$6,Bands!$B$2:$B$6)</f>
        <v>Outstanding</v>
      </c>
      <c r="V259" s="8" t="n">
        <f aca="false">IF(Q259="","",ROUND((Q259-B259)*24,1))</f>
        <v>168</v>
      </c>
    </row>
    <row r="260" customFormat="false" ht="15" hidden="false" customHeight="false" outlineLevel="0" collapsed="false">
      <c r="A260" s="3" t="s">
        <v>649</v>
      </c>
      <c r="B260" s="5" t="n">
        <v>46142.6506944444</v>
      </c>
      <c r="C260" s="3" t="s">
        <v>30</v>
      </c>
      <c r="D260" s="3" t="s">
        <v>161</v>
      </c>
      <c r="E260" s="3" t="s">
        <v>162</v>
      </c>
      <c r="F260" s="3" t="s">
        <v>33</v>
      </c>
      <c r="G260" s="3" t="s">
        <v>42</v>
      </c>
      <c r="H260" s="3" t="s">
        <v>650</v>
      </c>
      <c r="I260" s="3" t="n">
        <v>4</v>
      </c>
      <c r="J260" s="3" t="n">
        <v>4</v>
      </c>
      <c r="K260" s="3" t="n">
        <v>4</v>
      </c>
      <c r="L260" s="3" t="n">
        <v>4</v>
      </c>
      <c r="M260" s="3" t="n">
        <v>3</v>
      </c>
      <c r="N260" s="3" t="n">
        <v>4</v>
      </c>
      <c r="O260" s="6" t="b">
        <f aca="false">FALSE()</f>
        <v>0</v>
      </c>
      <c r="P260" s="3"/>
      <c r="Q260" s="5" t="n">
        <v>46148.6506944444</v>
      </c>
      <c r="R260" s="5" t="n">
        <v>46148.9597222222</v>
      </c>
      <c r="S260" s="3" t="s">
        <v>37</v>
      </c>
      <c r="T260" s="7" t="n">
        <f aca="false">ROUND(MIN(IF(OR(O260=TRUE(),O260="TRUE",O260="Yes"),59,100),(I260*Rubric!$C$2+J260*Rubric!$C$3+K260*Rubric!$C$4+L260*Rubric!$C$5+M260*Rubric!$C$6+N260*Rubric!$C$7)/5),1)</f>
        <v>78</v>
      </c>
      <c r="U260" s="8" t="str">
        <f aca="false">LOOKUP(T260,Bands!$A$2:$A$6,Bands!$B$2:$B$6)</f>
        <v>Meets Expectations</v>
      </c>
      <c r="V260" s="8" t="n">
        <f aca="false">IF(Q260="","",ROUND((Q260-B260)*24,1))</f>
        <v>144</v>
      </c>
    </row>
    <row r="261" customFormat="false" ht="15" hidden="false" customHeight="false" outlineLevel="0" collapsed="false">
      <c r="A261" s="3" t="s">
        <v>651</v>
      </c>
      <c r="B261" s="5" t="n">
        <v>46142.5736111111</v>
      </c>
      <c r="C261" s="3" t="s">
        <v>30</v>
      </c>
      <c r="D261" s="3" t="s">
        <v>81</v>
      </c>
      <c r="E261" s="3" t="s">
        <v>82</v>
      </c>
      <c r="F261" s="3" t="s">
        <v>65</v>
      </c>
      <c r="G261" s="3" t="s">
        <v>54</v>
      </c>
      <c r="H261" s="3" t="s">
        <v>652</v>
      </c>
      <c r="I261" s="3" t="n">
        <v>5</v>
      </c>
      <c r="J261" s="3" t="n">
        <v>2</v>
      </c>
      <c r="K261" s="3" t="n">
        <v>4</v>
      </c>
      <c r="L261" s="3" t="n">
        <v>4</v>
      </c>
      <c r="M261" s="3" t="n">
        <v>4</v>
      </c>
      <c r="N261" s="3" t="n">
        <v>5</v>
      </c>
      <c r="O261" s="6" t="b">
        <f aca="false">FALSE()</f>
        <v>0</v>
      </c>
      <c r="P261" s="3" t="s">
        <v>56</v>
      </c>
      <c r="Q261" s="5" t="n">
        <v>46148.5736111111</v>
      </c>
      <c r="R261" s="5" t="n">
        <v>46149.50625</v>
      </c>
      <c r="S261" s="3" t="s">
        <v>37</v>
      </c>
      <c r="T261" s="7" t="n">
        <f aca="false">ROUND(MIN(IF(OR(O261=TRUE(),O261="TRUE",O261="Yes"),59,100),(I261*Rubric!$C$2+J261*Rubric!$C$3+K261*Rubric!$C$4+L261*Rubric!$C$5+M261*Rubric!$C$6+N261*Rubric!$C$7)/5),1)</f>
        <v>76</v>
      </c>
      <c r="U261" s="8" t="str">
        <f aca="false">LOOKUP(T261,Bands!$A$2:$A$6,Bands!$B$2:$B$6)</f>
        <v>Meets Expectations</v>
      </c>
      <c r="V261" s="8" t="n">
        <f aca="false">IF(Q261="","",ROUND((Q261-B261)*24,1))</f>
        <v>144</v>
      </c>
    </row>
    <row r="262" customFormat="false" ht="15" hidden="false" customHeight="false" outlineLevel="0" collapsed="false">
      <c r="A262" s="3" t="s">
        <v>653</v>
      </c>
      <c r="B262" s="5" t="n">
        <v>46142.56875</v>
      </c>
      <c r="C262" s="3" t="s">
        <v>30</v>
      </c>
      <c r="D262" s="3" t="s">
        <v>105</v>
      </c>
      <c r="E262" s="3" t="s">
        <v>106</v>
      </c>
      <c r="F262" s="3" t="s">
        <v>65</v>
      </c>
      <c r="G262" s="3" t="s">
        <v>54</v>
      </c>
      <c r="H262" s="3" t="s">
        <v>654</v>
      </c>
      <c r="I262" s="3" t="n">
        <v>4</v>
      </c>
      <c r="J262" s="3" t="n">
        <v>3</v>
      </c>
      <c r="K262" s="3" t="n">
        <v>5</v>
      </c>
      <c r="L262" s="3" t="n">
        <v>4</v>
      </c>
      <c r="M262" s="3" t="n">
        <v>5</v>
      </c>
      <c r="N262" s="3" t="n">
        <v>4</v>
      </c>
      <c r="O262" s="6" t="b">
        <f aca="false">FALSE()</f>
        <v>0</v>
      </c>
      <c r="P262" s="3"/>
      <c r="Q262" s="5" t="n">
        <v>46154.56875</v>
      </c>
      <c r="R262" s="5" t="n">
        <v>46155.8541666667</v>
      </c>
      <c r="S262" s="3" t="s">
        <v>37</v>
      </c>
      <c r="T262" s="7" t="n">
        <f aca="false">ROUND(MIN(IF(OR(O262=TRUE(),O262="TRUE",O262="Yes"),59,100),(I262*Rubric!$C$2+J262*Rubric!$C$3+K262*Rubric!$C$4+L262*Rubric!$C$5+M262*Rubric!$C$6+N262*Rubric!$C$7)/5),1)</f>
        <v>81</v>
      </c>
      <c r="U262" s="8" t="str">
        <f aca="false">LOOKUP(T262,Bands!$A$2:$A$6,Bands!$B$2:$B$6)</f>
        <v>Solid Performance</v>
      </c>
      <c r="V262" s="8" t="n">
        <f aca="false">IF(Q262="","",ROUND((Q262-B262)*24,1))</f>
        <v>288</v>
      </c>
    </row>
    <row r="263" customFormat="false" ht="15" hidden="false" customHeight="false" outlineLevel="0" collapsed="false">
      <c r="A263" s="3" t="s">
        <v>655</v>
      </c>
      <c r="B263" s="5" t="n">
        <v>46142.6673611111</v>
      </c>
      <c r="C263" s="3" t="s">
        <v>68</v>
      </c>
      <c r="D263" s="3" t="s">
        <v>222</v>
      </c>
      <c r="E263" s="3" t="s">
        <v>223</v>
      </c>
      <c r="F263" s="3" t="s">
        <v>53</v>
      </c>
      <c r="G263" s="3" t="s">
        <v>42</v>
      </c>
      <c r="H263" s="3" t="s">
        <v>656</v>
      </c>
      <c r="I263" s="3" t="n">
        <v>5</v>
      </c>
      <c r="J263" s="3" t="n">
        <v>3</v>
      </c>
      <c r="K263" s="3" t="n">
        <v>5</v>
      </c>
      <c r="L263" s="3" t="n">
        <v>4</v>
      </c>
      <c r="M263" s="3" t="n">
        <v>5</v>
      </c>
      <c r="N263" s="3" t="n">
        <v>3</v>
      </c>
      <c r="O263" s="6" t="b">
        <f aca="false">FALSE()</f>
        <v>0</v>
      </c>
      <c r="P263" s="3"/>
      <c r="Q263" s="5" t="n">
        <v>46151.6673611111</v>
      </c>
      <c r="R263" s="5" t="n">
        <v>46151.84375</v>
      </c>
      <c r="S263" s="3" t="s">
        <v>37</v>
      </c>
      <c r="T263" s="7" t="n">
        <f aca="false">ROUND(MIN(IF(OR(O263=TRUE(),O263="TRUE",O263="Yes"),59,100),(I263*Rubric!$C$2+J263*Rubric!$C$3+K263*Rubric!$C$4+L263*Rubric!$C$5+M263*Rubric!$C$6+N263*Rubric!$C$7)/5),1)</f>
        <v>81</v>
      </c>
      <c r="U263" s="8" t="str">
        <f aca="false">LOOKUP(T263,Bands!$A$2:$A$6,Bands!$B$2:$B$6)</f>
        <v>Solid Performance</v>
      </c>
      <c r="V263" s="8" t="n">
        <f aca="false">IF(Q263="","",ROUND((Q263-B263)*24,1))</f>
        <v>216</v>
      </c>
    </row>
    <row r="264" customFormat="false" ht="15" hidden="false" customHeight="false" outlineLevel="0" collapsed="false">
      <c r="A264" s="3" t="s">
        <v>657</v>
      </c>
      <c r="B264" s="5" t="n">
        <v>46142.4472222222</v>
      </c>
      <c r="C264" s="3" t="s">
        <v>68</v>
      </c>
      <c r="D264" s="3" t="s">
        <v>111</v>
      </c>
      <c r="E264" s="3" t="s">
        <v>112</v>
      </c>
      <c r="F264" s="3" t="s">
        <v>33</v>
      </c>
      <c r="G264" s="3" t="s">
        <v>42</v>
      </c>
      <c r="H264" s="3" t="s">
        <v>658</v>
      </c>
      <c r="I264" s="3" t="n">
        <v>2</v>
      </c>
      <c r="J264" s="3" t="n">
        <v>4</v>
      </c>
      <c r="K264" s="3" t="n">
        <v>5</v>
      </c>
      <c r="L264" s="3" t="n">
        <v>5</v>
      </c>
      <c r="M264" s="3" t="n">
        <v>4</v>
      </c>
      <c r="N264" s="3" t="n">
        <v>4</v>
      </c>
      <c r="O264" s="6" t="b">
        <f aca="false">FALSE()</f>
        <v>0</v>
      </c>
      <c r="P264" s="3" t="s">
        <v>88</v>
      </c>
      <c r="Q264" s="5" t="n">
        <v>46151.4472222222</v>
      </c>
      <c r="R264" s="5" t="n">
        <v>46152.9916666667</v>
      </c>
      <c r="S264" s="3" t="s">
        <v>37</v>
      </c>
      <c r="T264" s="7" t="n">
        <f aca="false">ROUND(MIN(IF(OR(O264=TRUE(),O264="TRUE",O264="Yes"),59,100),(I264*Rubric!$C$2+J264*Rubric!$C$3+K264*Rubric!$C$4+L264*Rubric!$C$5+M264*Rubric!$C$6+N264*Rubric!$C$7)/5),1)</f>
        <v>81</v>
      </c>
      <c r="U264" s="8" t="str">
        <f aca="false">LOOKUP(T264,Bands!$A$2:$A$6,Bands!$B$2:$B$6)</f>
        <v>Solid Performance</v>
      </c>
      <c r="V264" s="8" t="n">
        <f aca="false">IF(Q264="","",ROUND((Q264-B264)*24,1))</f>
        <v>216</v>
      </c>
    </row>
    <row r="265" customFormat="false" ht="15" hidden="false" customHeight="false" outlineLevel="0" collapsed="false">
      <c r="A265" s="3" t="s">
        <v>659</v>
      </c>
      <c r="B265" s="5" t="n">
        <v>46142.66875</v>
      </c>
      <c r="C265" s="3" t="s">
        <v>68</v>
      </c>
      <c r="D265" s="3" t="s">
        <v>40</v>
      </c>
      <c r="E265" s="3" t="s">
        <v>41</v>
      </c>
      <c r="F265" s="3" t="s">
        <v>33</v>
      </c>
      <c r="G265" s="3" t="s">
        <v>54</v>
      </c>
      <c r="H265" s="3" t="s">
        <v>660</v>
      </c>
      <c r="I265" s="3" t="n">
        <v>3</v>
      </c>
      <c r="J265" s="3" t="n">
        <v>3</v>
      </c>
      <c r="K265" s="3" t="n">
        <v>5</v>
      </c>
      <c r="L265" s="3" t="n">
        <v>3</v>
      </c>
      <c r="M265" s="3" t="n">
        <v>4</v>
      </c>
      <c r="N265" s="3" t="n">
        <v>3</v>
      </c>
      <c r="O265" s="6" t="b">
        <f aca="false">FALSE()</f>
        <v>0</v>
      </c>
      <c r="P265" s="3"/>
      <c r="Q265" s="5" t="n">
        <v>46146.66875</v>
      </c>
      <c r="R265" s="5" t="n">
        <v>46148.5819444444</v>
      </c>
      <c r="S265" s="3" t="s">
        <v>37</v>
      </c>
      <c r="T265" s="7" t="n">
        <f aca="false">ROUND(MIN(IF(OR(O265=TRUE(),O265="TRUE",O265="Yes"),59,100),(I265*Rubric!$C$2+J265*Rubric!$C$3+K265*Rubric!$C$4+L265*Rubric!$C$5+M265*Rubric!$C$6+N265*Rubric!$C$7)/5),1)</f>
        <v>70</v>
      </c>
      <c r="U265" s="8" t="str">
        <f aca="false">LOOKUP(T265,Bands!$A$2:$A$6,Bands!$B$2:$B$6)</f>
        <v>Meets Expectations</v>
      </c>
      <c r="V265" s="8" t="n">
        <f aca="false">IF(Q265="","",ROUND((Q265-B265)*24,1))</f>
        <v>96</v>
      </c>
    </row>
    <row r="266" customFormat="false" ht="15" hidden="false" customHeight="false" outlineLevel="0" collapsed="false">
      <c r="A266" s="3" t="s">
        <v>661</v>
      </c>
      <c r="B266" s="5" t="n">
        <v>46143.4722222222</v>
      </c>
      <c r="C266" s="3" t="s">
        <v>30</v>
      </c>
      <c r="D266" s="3" t="s">
        <v>137</v>
      </c>
      <c r="E266" s="3" t="s">
        <v>138</v>
      </c>
      <c r="F266" s="3" t="s">
        <v>65</v>
      </c>
      <c r="G266" s="3" t="s">
        <v>42</v>
      </c>
      <c r="H266" s="3" t="s">
        <v>662</v>
      </c>
      <c r="I266" s="3" t="n">
        <v>3</v>
      </c>
      <c r="J266" s="3" t="n">
        <v>4</v>
      </c>
      <c r="K266" s="3" t="n">
        <v>5</v>
      </c>
      <c r="L266" s="3" t="n">
        <v>5</v>
      </c>
      <c r="M266" s="3" t="n">
        <v>5</v>
      </c>
      <c r="N266" s="3" t="n">
        <v>5</v>
      </c>
      <c r="O266" s="6" t="b">
        <f aca="false">FALSE()</f>
        <v>0</v>
      </c>
      <c r="P266" s="3"/>
      <c r="Q266" s="5" t="n">
        <v>46150.4722222222</v>
      </c>
      <c r="R266" s="5" t="n">
        <v>46151.7888888889</v>
      </c>
      <c r="S266" s="3" t="s">
        <v>37</v>
      </c>
      <c r="T266" s="7" t="n">
        <f aca="false">ROUND(MIN(IF(OR(O266=TRUE(),O266="TRUE",O266="Yes"),59,100),(I266*Rubric!$C$2+J266*Rubric!$C$3+K266*Rubric!$C$4+L266*Rubric!$C$5+M266*Rubric!$C$6+N266*Rubric!$C$7)/5),1)</f>
        <v>89</v>
      </c>
      <c r="U266" s="8" t="str">
        <f aca="false">LOOKUP(T266,Bands!$A$2:$A$6,Bands!$B$2:$B$6)</f>
        <v>Solid Performance</v>
      </c>
      <c r="V266" s="8" t="n">
        <f aca="false">IF(Q266="","",ROUND((Q266-B266)*24,1))</f>
        <v>168</v>
      </c>
    </row>
    <row r="267" customFormat="false" ht="15" hidden="false" customHeight="false" outlineLevel="0" collapsed="false">
      <c r="A267" s="3" t="s">
        <v>663</v>
      </c>
      <c r="B267" s="5" t="n">
        <v>46143.3916666667</v>
      </c>
      <c r="C267" s="3" t="s">
        <v>68</v>
      </c>
      <c r="D267" s="3" t="s">
        <v>133</v>
      </c>
      <c r="E267" s="3" t="s">
        <v>134</v>
      </c>
      <c r="F267" s="3" t="s">
        <v>33</v>
      </c>
      <c r="G267" s="3" t="s">
        <v>54</v>
      </c>
      <c r="H267" s="3" t="s">
        <v>664</v>
      </c>
      <c r="I267" s="3" t="n">
        <v>5</v>
      </c>
      <c r="J267" s="3" t="n">
        <v>4</v>
      </c>
      <c r="K267" s="3" t="n">
        <v>5</v>
      </c>
      <c r="L267" s="3" t="n">
        <v>4</v>
      </c>
      <c r="M267" s="3" t="n">
        <v>5</v>
      </c>
      <c r="N267" s="3" t="n">
        <v>4</v>
      </c>
      <c r="O267" s="6" t="b">
        <f aca="false">FALSE()</f>
        <v>0</v>
      </c>
      <c r="P267" s="3"/>
      <c r="Q267" s="5" t="n">
        <v>46148.3916666667</v>
      </c>
      <c r="R267" s="5" t="n">
        <v>46149.6930555556</v>
      </c>
      <c r="S267" s="3" t="s">
        <v>37</v>
      </c>
      <c r="T267" s="7" t="n">
        <f aca="false">ROUND(MIN(IF(OR(O267=TRUE(),O267="TRUE",O267="Yes"),59,100),(I267*Rubric!$C$2+J267*Rubric!$C$3+K267*Rubric!$C$4+L267*Rubric!$C$5+M267*Rubric!$C$6+N267*Rubric!$C$7)/5),1)</f>
        <v>89</v>
      </c>
      <c r="U267" s="8" t="str">
        <f aca="false">LOOKUP(T267,Bands!$A$2:$A$6,Bands!$B$2:$B$6)</f>
        <v>Solid Performance</v>
      </c>
      <c r="V267" s="8" t="n">
        <f aca="false">IF(Q267="","",ROUND((Q267-B267)*24,1))</f>
        <v>120</v>
      </c>
    </row>
    <row r="268" customFormat="false" ht="15" hidden="false" customHeight="false" outlineLevel="0" collapsed="false">
      <c r="A268" s="3" t="s">
        <v>665</v>
      </c>
      <c r="B268" s="5" t="n">
        <v>46143.4618055556</v>
      </c>
      <c r="C268" s="3" t="s">
        <v>30</v>
      </c>
      <c r="D268" s="3" t="s">
        <v>90</v>
      </c>
      <c r="E268" s="3" t="s">
        <v>91</v>
      </c>
      <c r="F268" s="3" t="s">
        <v>65</v>
      </c>
      <c r="G268" s="3" t="s">
        <v>34</v>
      </c>
      <c r="H268" s="3" t="s">
        <v>666</v>
      </c>
      <c r="I268" s="3" t="n">
        <v>4</v>
      </c>
      <c r="J268" s="3" t="n">
        <v>4</v>
      </c>
      <c r="K268" s="3" t="n">
        <v>4</v>
      </c>
      <c r="L268" s="3" t="n">
        <v>3</v>
      </c>
      <c r="M268" s="3" t="n">
        <v>5</v>
      </c>
      <c r="N268" s="3" t="n">
        <v>3</v>
      </c>
      <c r="O268" s="6" t="b">
        <f aca="false">FALSE()</f>
        <v>0</v>
      </c>
      <c r="P268" s="3"/>
      <c r="Q268" s="5" t="n">
        <v>46147.4618055556</v>
      </c>
      <c r="R268" s="5" t="n">
        <v>46148.2458333333</v>
      </c>
      <c r="S268" s="3" t="s">
        <v>37</v>
      </c>
      <c r="T268" s="7" t="n">
        <f aca="false">ROUND(MIN(IF(OR(O268=TRUE(),O268="TRUE",O268="Yes"),59,100),(I268*Rubric!$C$2+J268*Rubric!$C$3+K268*Rubric!$C$4+L268*Rubric!$C$5+M268*Rubric!$C$6+N268*Rubric!$C$7)/5),1)</f>
        <v>76</v>
      </c>
      <c r="U268" s="8" t="str">
        <f aca="false">LOOKUP(T268,Bands!$A$2:$A$6,Bands!$B$2:$B$6)</f>
        <v>Meets Expectations</v>
      </c>
      <c r="V268" s="8" t="n">
        <f aca="false">IF(Q268="","",ROUND((Q268-B268)*24,1))</f>
        <v>96</v>
      </c>
    </row>
    <row r="269" customFormat="false" ht="15" hidden="false" customHeight="false" outlineLevel="0" collapsed="false">
      <c r="A269" s="3" t="s">
        <v>667</v>
      </c>
      <c r="B269" s="5" t="n">
        <v>46143.6104166667</v>
      </c>
      <c r="C269" s="3" t="s">
        <v>68</v>
      </c>
      <c r="D269" s="3" t="s">
        <v>145</v>
      </c>
      <c r="E269" s="3" t="s">
        <v>146</v>
      </c>
      <c r="F269" s="3" t="s">
        <v>33</v>
      </c>
      <c r="G269" s="3" t="s">
        <v>42</v>
      </c>
      <c r="H269" s="3" t="s">
        <v>668</v>
      </c>
      <c r="I269" s="3" t="n">
        <v>4</v>
      </c>
      <c r="J269" s="3" t="n">
        <v>2</v>
      </c>
      <c r="K269" s="3" t="n">
        <v>4</v>
      </c>
      <c r="L269" s="3" t="n">
        <v>4</v>
      </c>
      <c r="M269" s="3" t="n">
        <v>5</v>
      </c>
      <c r="N269" s="3" t="n">
        <v>5</v>
      </c>
      <c r="O269" s="6" t="b">
        <f aca="false">FALSE()</f>
        <v>0</v>
      </c>
      <c r="P269" s="3" t="s">
        <v>56</v>
      </c>
      <c r="Q269" s="5" t="n">
        <v>46148.6104166667</v>
      </c>
      <c r="R269" s="5" t="n">
        <v>46149.9048611111</v>
      </c>
      <c r="S269" s="3" t="s">
        <v>37</v>
      </c>
      <c r="T269" s="7" t="n">
        <f aca="false">ROUND(MIN(IF(OR(O269=TRUE(),O269="TRUE",O269="Yes"),59,100),(I269*Rubric!$C$2+J269*Rubric!$C$3+K269*Rubric!$C$4+L269*Rubric!$C$5+M269*Rubric!$C$6+N269*Rubric!$C$7)/5),1)</f>
        <v>75</v>
      </c>
      <c r="U269" s="8" t="str">
        <f aca="false">LOOKUP(T269,Bands!$A$2:$A$6,Bands!$B$2:$B$6)</f>
        <v>Meets Expectations</v>
      </c>
      <c r="V269" s="8" t="n">
        <f aca="false">IF(Q269="","",ROUND((Q269-B269)*24,1))</f>
        <v>120</v>
      </c>
    </row>
    <row r="270" customFormat="false" ht="15" hidden="false" customHeight="false" outlineLevel="0" collapsed="false">
      <c r="A270" s="3" t="s">
        <v>669</v>
      </c>
      <c r="B270" s="5" t="n">
        <v>46143.4965277778</v>
      </c>
      <c r="C270" s="3" t="s">
        <v>39</v>
      </c>
      <c r="D270" s="3" t="s">
        <v>100</v>
      </c>
      <c r="E270" s="3" t="s">
        <v>101</v>
      </c>
      <c r="F270" s="3" t="s">
        <v>33</v>
      </c>
      <c r="G270" s="3" t="s">
        <v>54</v>
      </c>
      <c r="H270" s="3" t="s">
        <v>670</v>
      </c>
      <c r="I270" s="3" t="n">
        <v>4</v>
      </c>
      <c r="J270" s="3" t="n">
        <v>4</v>
      </c>
      <c r="K270" s="3" t="n">
        <v>4</v>
      </c>
      <c r="L270" s="3" t="n">
        <v>4</v>
      </c>
      <c r="M270" s="3" t="n">
        <v>2</v>
      </c>
      <c r="N270" s="3" t="n">
        <v>4</v>
      </c>
      <c r="O270" s="6" t="b">
        <f aca="false">FALSE()</f>
        <v>0</v>
      </c>
      <c r="P270" s="3" t="s">
        <v>103</v>
      </c>
      <c r="Q270" s="5" t="n">
        <v>46148.4965277778</v>
      </c>
      <c r="R270" s="5" t="n">
        <v>46150.4861111111</v>
      </c>
      <c r="S270" s="3" t="s">
        <v>37</v>
      </c>
      <c r="T270" s="7" t="n">
        <f aca="false">ROUND(MIN(IF(OR(O270=TRUE(),O270="TRUE",O270="Yes"),59,100),(I270*Rubric!$C$2+J270*Rubric!$C$3+K270*Rubric!$C$4+L270*Rubric!$C$5+M270*Rubric!$C$6+N270*Rubric!$C$7)/5),1)</f>
        <v>76</v>
      </c>
      <c r="U270" s="8" t="str">
        <f aca="false">LOOKUP(T270,Bands!$A$2:$A$6,Bands!$B$2:$B$6)</f>
        <v>Meets Expectations</v>
      </c>
      <c r="V270" s="8" t="n">
        <f aca="false">IF(Q270="","",ROUND((Q270-B270)*24,1))</f>
        <v>120</v>
      </c>
    </row>
    <row r="271" customFormat="false" ht="15" hidden="false" customHeight="false" outlineLevel="0" collapsed="false">
      <c r="A271" s="3" t="s">
        <v>671</v>
      </c>
      <c r="B271" s="5" t="n">
        <v>46143.7006944444</v>
      </c>
      <c r="C271" s="3" t="s">
        <v>30</v>
      </c>
      <c r="D271" s="3" t="s">
        <v>202</v>
      </c>
      <c r="E271" s="3" t="s">
        <v>203</v>
      </c>
      <c r="F271" s="3" t="s">
        <v>53</v>
      </c>
      <c r="G271" s="3" t="s">
        <v>54</v>
      </c>
      <c r="H271" s="3" t="s">
        <v>672</v>
      </c>
      <c r="I271" s="3" t="n">
        <v>4</v>
      </c>
      <c r="J271" s="3" t="n">
        <v>4</v>
      </c>
      <c r="K271" s="3" t="n">
        <v>3</v>
      </c>
      <c r="L271" s="3" t="n">
        <v>2</v>
      </c>
      <c r="M271" s="3" t="n">
        <v>4</v>
      </c>
      <c r="N271" s="3" t="n">
        <v>3</v>
      </c>
      <c r="O271" s="6" t="b">
        <f aca="false">FALSE()</f>
        <v>0</v>
      </c>
      <c r="P271" s="3" t="s">
        <v>44</v>
      </c>
      <c r="Q271" s="5" t="n">
        <v>46147.7006944444</v>
      </c>
      <c r="R271" s="5" t="n">
        <v>46151.4583333333</v>
      </c>
      <c r="S271" s="3" t="s">
        <v>37</v>
      </c>
      <c r="T271" s="7" t="n">
        <f aca="false">ROUND(MIN(IF(OR(O271=TRUE(),O271="TRUE",O271="Yes"),59,100),(I271*Rubric!$C$2+J271*Rubric!$C$3+K271*Rubric!$C$4+L271*Rubric!$C$5+M271*Rubric!$C$6+N271*Rubric!$C$7)/5),1)</f>
        <v>67</v>
      </c>
      <c r="U271" s="8" t="str">
        <f aca="false">LOOKUP(T271,Bands!$A$2:$A$6,Bands!$B$2:$B$6)</f>
        <v>Needs Improvement</v>
      </c>
      <c r="V271" s="8" t="n">
        <f aca="false">IF(Q271="","",ROUND((Q271-B271)*24,1))</f>
        <v>96</v>
      </c>
    </row>
    <row r="272" customFormat="false" ht="15" hidden="false" customHeight="false" outlineLevel="0" collapsed="false">
      <c r="A272" s="3" t="s">
        <v>673</v>
      </c>
      <c r="B272" s="5" t="n">
        <v>46143.3791666667</v>
      </c>
      <c r="C272" s="3" t="s">
        <v>39</v>
      </c>
      <c r="D272" s="3" t="s">
        <v>238</v>
      </c>
      <c r="E272" s="3" t="s">
        <v>239</v>
      </c>
      <c r="F272" s="3" t="s">
        <v>33</v>
      </c>
      <c r="G272" s="3" t="s">
        <v>54</v>
      </c>
      <c r="H272" s="3" t="s">
        <v>674</v>
      </c>
      <c r="I272" s="3" t="n">
        <v>5</v>
      </c>
      <c r="J272" s="3" t="n">
        <v>5</v>
      </c>
      <c r="K272" s="3" t="n">
        <v>4</v>
      </c>
      <c r="L272" s="3" t="n">
        <v>4</v>
      </c>
      <c r="M272" s="3" t="n">
        <v>2</v>
      </c>
      <c r="N272" s="3" t="n">
        <v>5</v>
      </c>
      <c r="O272" s="6" t="b">
        <f aca="false">FALSE()</f>
        <v>0</v>
      </c>
      <c r="P272" s="3" t="s">
        <v>103</v>
      </c>
      <c r="Q272" s="5" t="n">
        <v>46149.3791666667</v>
      </c>
      <c r="R272" s="5" t="n">
        <v>46150.4923611111</v>
      </c>
      <c r="S272" s="3" t="s">
        <v>37</v>
      </c>
      <c r="T272" s="7" t="n">
        <f aca="false">ROUND(MIN(IF(OR(O272=TRUE(),O272="TRUE",O272="Yes"),59,100),(I272*Rubric!$C$2+J272*Rubric!$C$3+K272*Rubric!$C$4+L272*Rubric!$C$5+M272*Rubric!$C$6+N272*Rubric!$C$7)/5),1)</f>
        <v>87</v>
      </c>
      <c r="U272" s="8" t="str">
        <f aca="false">LOOKUP(T272,Bands!$A$2:$A$6,Bands!$B$2:$B$6)</f>
        <v>Solid Performance</v>
      </c>
      <c r="V272" s="8" t="n">
        <f aca="false">IF(Q272="","",ROUND((Q272-B272)*24,1))</f>
        <v>144</v>
      </c>
    </row>
    <row r="273" customFormat="false" ht="15" hidden="false" customHeight="false" outlineLevel="0" collapsed="false">
      <c r="A273" s="3" t="s">
        <v>675</v>
      </c>
      <c r="B273" s="5" t="n">
        <v>46143.4513888889</v>
      </c>
      <c r="C273" s="3" t="s">
        <v>68</v>
      </c>
      <c r="D273" s="3" t="s">
        <v>151</v>
      </c>
      <c r="E273" s="3" t="s">
        <v>152</v>
      </c>
      <c r="F273" s="3" t="s">
        <v>33</v>
      </c>
      <c r="G273" s="3" t="s">
        <v>54</v>
      </c>
      <c r="H273" s="3" t="s">
        <v>676</v>
      </c>
      <c r="I273" s="3" t="n">
        <v>4</v>
      </c>
      <c r="J273" s="3" t="n">
        <v>3</v>
      </c>
      <c r="K273" s="3" t="n">
        <v>4</v>
      </c>
      <c r="L273" s="3" t="n">
        <v>5</v>
      </c>
      <c r="M273" s="3" t="n">
        <v>4</v>
      </c>
      <c r="N273" s="3" t="n">
        <v>4</v>
      </c>
      <c r="O273" s="6" t="b">
        <f aca="false">FALSE()</f>
        <v>0</v>
      </c>
      <c r="P273" s="3"/>
      <c r="Q273" s="5" t="n">
        <v>46148.4513888889</v>
      </c>
      <c r="R273" s="5" t="n">
        <v>46149.8756944445</v>
      </c>
      <c r="S273" s="3" t="s">
        <v>37</v>
      </c>
      <c r="T273" s="7" t="n">
        <f aca="false">ROUND(MIN(IF(OR(O273=TRUE(),O273="TRUE",O273="Yes"),59,100),(I273*Rubric!$C$2+J273*Rubric!$C$3+K273*Rubric!$C$4+L273*Rubric!$C$5+M273*Rubric!$C$6+N273*Rubric!$C$7)/5),1)</f>
        <v>78</v>
      </c>
      <c r="U273" s="8" t="str">
        <f aca="false">LOOKUP(T273,Bands!$A$2:$A$6,Bands!$B$2:$B$6)</f>
        <v>Meets Expectations</v>
      </c>
      <c r="V273" s="8" t="n">
        <f aca="false">IF(Q273="","",ROUND((Q273-B273)*24,1))</f>
        <v>120</v>
      </c>
    </row>
    <row r="274" customFormat="false" ht="15" hidden="false" customHeight="false" outlineLevel="0" collapsed="false">
      <c r="A274" s="3" t="s">
        <v>677</v>
      </c>
      <c r="B274" s="5" t="n">
        <v>46143.4479166667</v>
      </c>
      <c r="C274" s="3" t="s">
        <v>39</v>
      </c>
      <c r="D274" s="3" t="s">
        <v>31</v>
      </c>
      <c r="E274" s="3" t="s">
        <v>32</v>
      </c>
      <c r="F274" s="3" t="s">
        <v>33</v>
      </c>
      <c r="G274" s="3" t="s">
        <v>54</v>
      </c>
      <c r="H274" s="3" t="s">
        <v>678</v>
      </c>
      <c r="I274" s="3" t="n">
        <v>5</v>
      </c>
      <c r="J274" s="3" t="n">
        <v>4</v>
      </c>
      <c r="K274" s="3" t="n">
        <v>5</v>
      </c>
      <c r="L274" s="3" t="n">
        <v>5</v>
      </c>
      <c r="M274" s="3" t="n">
        <v>5</v>
      </c>
      <c r="N274" s="3" t="n">
        <v>2</v>
      </c>
      <c r="O274" s="6" t="b">
        <f aca="false">FALSE()</f>
        <v>0</v>
      </c>
      <c r="P274" s="3" t="s">
        <v>36</v>
      </c>
      <c r="Q274" s="5" t="n">
        <v>46149.4479166667</v>
      </c>
      <c r="R274" s="5" t="n">
        <v>46153.5555555556</v>
      </c>
      <c r="S274" s="3" t="s">
        <v>37</v>
      </c>
      <c r="T274" s="7" t="n">
        <f aca="false">ROUND(MIN(IF(OR(O274=TRUE(),O274="TRUE",O274="Yes"),59,100),(I274*Rubric!$C$2+J274*Rubric!$C$3+K274*Rubric!$C$4+L274*Rubric!$C$5+M274*Rubric!$C$6+N274*Rubric!$C$7)/5),1)</f>
        <v>86</v>
      </c>
      <c r="U274" s="8" t="str">
        <f aca="false">LOOKUP(T274,Bands!$A$2:$A$6,Bands!$B$2:$B$6)</f>
        <v>Solid Performance</v>
      </c>
      <c r="V274" s="8" t="n">
        <f aca="false">IF(Q274="","",ROUND((Q274-B274)*24,1))</f>
        <v>144</v>
      </c>
    </row>
    <row r="275" customFormat="false" ht="15" hidden="false" customHeight="false" outlineLevel="0" collapsed="false">
      <c r="A275" s="3" t="s">
        <v>679</v>
      </c>
      <c r="B275" s="5" t="n">
        <v>46143.3923611111</v>
      </c>
      <c r="C275" s="3" t="s">
        <v>39</v>
      </c>
      <c r="D275" s="3" t="s">
        <v>293</v>
      </c>
      <c r="E275" s="3" t="s">
        <v>294</v>
      </c>
      <c r="F275" s="3" t="s">
        <v>65</v>
      </c>
      <c r="G275" s="3" t="s">
        <v>42</v>
      </c>
      <c r="H275" s="3" t="s">
        <v>680</v>
      </c>
      <c r="I275" s="3" t="n">
        <v>5</v>
      </c>
      <c r="J275" s="3" t="n">
        <v>4</v>
      </c>
      <c r="K275" s="3" t="n">
        <v>5</v>
      </c>
      <c r="L275" s="3" t="n">
        <v>2</v>
      </c>
      <c r="M275" s="3" t="n">
        <v>5</v>
      </c>
      <c r="N275" s="3" t="n">
        <v>5</v>
      </c>
      <c r="O275" s="6" t="b">
        <f aca="false">FALSE()</f>
        <v>0</v>
      </c>
      <c r="P275" s="3" t="s">
        <v>44</v>
      </c>
      <c r="Q275" s="5" t="n">
        <v>46148.3923611111</v>
      </c>
      <c r="R275" s="5" t="n">
        <v>46148.9819444444</v>
      </c>
      <c r="S275" s="3" t="s">
        <v>37</v>
      </c>
      <c r="T275" s="7" t="n">
        <f aca="false">ROUND(MIN(IF(OR(O275=TRUE(),O275="TRUE",O275="Yes"),59,100),(I275*Rubric!$C$2+J275*Rubric!$C$3+K275*Rubric!$C$4+L275*Rubric!$C$5+M275*Rubric!$C$6+N275*Rubric!$C$7)/5),1)</f>
        <v>86</v>
      </c>
      <c r="U275" s="8" t="str">
        <f aca="false">LOOKUP(T275,Bands!$A$2:$A$6,Bands!$B$2:$B$6)</f>
        <v>Solid Performance</v>
      </c>
      <c r="V275" s="8" t="n">
        <f aca="false">IF(Q275="","",ROUND((Q275-B275)*24,1))</f>
        <v>120</v>
      </c>
    </row>
    <row r="276" customFormat="false" ht="15" hidden="false" customHeight="false" outlineLevel="0" collapsed="false">
      <c r="A276" s="3" t="s">
        <v>681</v>
      </c>
      <c r="B276" s="5" t="n">
        <v>46143.425</v>
      </c>
      <c r="C276" s="3" t="s">
        <v>30</v>
      </c>
      <c r="D276" s="3" t="s">
        <v>77</v>
      </c>
      <c r="E276" s="3" t="s">
        <v>78</v>
      </c>
      <c r="F276" s="3" t="s">
        <v>33</v>
      </c>
      <c r="G276" s="3" t="s">
        <v>34</v>
      </c>
      <c r="H276" s="3" t="s">
        <v>682</v>
      </c>
      <c r="I276" s="3" t="n">
        <v>5</v>
      </c>
      <c r="J276" s="3" t="n">
        <v>5</v>
      </c>
      <c r="K276" s="3" t="n">
        <v>3</v>
      </c>
      <c r="L276" s="3" t="n">
        <v>5</v>
      </c>
      <c r="M276" s="3" t="n">
        <v>5</v>
      </c>
      <c r="N276" s="3" t="n">
        <v>5</v>
      </c>
      <c r="O276" s="6" t="b">
        <f aca="false">FALSE()</f>
        <v>0</v>
      </c>
      <c r="P276" s="3"/>
      <c r="Q276" s="5" t="n">
        <v>46147.425</v>
      </c>
      <c r="R276" s="5" t="n">
        <v>46152.3590277778</v>
      </c>
      <c r="S276" s="3" t="s">
        <v>37</v>
      </c>
      <c r="T276" s="7" t="n">
        <f aca="false">ROUND(MIN(IF(OR(O276=TRUE(),O276="TRUE",O276="Yes"),59,100),(I276*Rubric!$C$2+J276*Rubric!$C$3+K276*Rubric!$C$4+L276*Rubric!$C$5+M276*Rubric!$C$6+N276*Rubric!$C$7)/5),1)</f>
        <v>92</v>
      </c>
      <c r="U276" s="8" t="str">
        <f aca="false">LOOKUP(T276,Bands!$A$2:$A$6,Bands!$B$2:$B$6)</f>
        <v>Outstanding</v>
      </c>
      <c r="V276" s="8" t="n">
        <f aca="false">IF(Q276="","",ROUND((Q276-B276)*24,1))</f>
        <v>96</v>
      </c>
    </row>
    <row r="277" customFormat="false" ht="15" hidden="false" customHeight="false" outlineLevel="0" collapsed="false">
      <c r="A277" s="3" t="s">
        <v>683</v>
      </c>
      <c r="B277" s="5" t="n">
        <v>46143.5861111111</v>
      </c>
      <c r="C277" s="3" t="s">
        <v>39</v>
      </c>
      <c r="D277" s="3" t="s">
        <v>85</v>
      </c>
      <c r="E277" s="3" t="s">
        <v>86</v>
      </c>
      <c r="F277" s="3" t="s">
        <v>33</v>
      </c>
      <c r="G277" s="3" t="s">
        <v>54</v>
      </c>
      <c r="H277" s="3" t="s">
        <v>684</v>
      </c>
      <c r="I277" s="3" t="n">
        <v>3</v>
      </c>
      <c r="J277" s="3" t="n">
        <v>5</v>
      </c>
      <c r="K277" s="3" t="n">
        <v>5</v>
      </c>
      <c r="L277" s="3" t="n">
        <v>4</v>
      </c>
      <c r="M277" s="3" t="n">
        <v>3</v>
      </c>
      <c r="N277" s="3" t="n">
        <v>0</v>
      </c>
      <c r="O277" s="6" t="b">
        <f aca="false">TRUE()</f>
        <v>1</v>
      </c>
      <c r="P277" s="3" t="s">
        <v>36</v>
      </c>
      <c r="Q277" s="5" t="n">
        <v>46150.5861111111</v>
      </c>
      <c r="R277" s="5" t="n">
        <v>46151.0388888889</v>
      </c>
      <c r="S277" s="3" t="s">
        <v>37</v>
      </c>
      <c r="T277" s="7" t="n">
        <f aca="false">ROUND(MIN(IF(OR(O277=TRUE(),O277="TRUE",O277="Yes"),59,100),(I277*Rubric!$C$2+J277*Rubric!$C$3+K277*Rubric!$C$4+L277*Rubric!$C$5+M277*Rubric!$C$6+N277*Rubric!$C$7)/5),1)</f>
        <v>59</v>
      </c>
      <c r="U277" s="8" t="str">
        <f aca="false">LOOKUP(T277,Bands!$A$2:$A$6,Bands!$B$2:$B$6)</f>
        <v>Critical</v>
      </c>
      <c r="V277" s="8" t="n">
        <f aca="false">IF(Q277="","",ROUND((Q277-B277)*24,1))</f>
        <v>168</v>
      </c>
    </row>
    <row r="278" customFormat="false" ht="15" hidden="false" customHeight="false" outlineLevel="0" collapsed="false">
      <c r="A278" s="3" t="s">
        <v>685</v>
      </c>
      <c r="B278" s="5" t="n">
        <v>46146.5597222222</v>
      </c>
      <c r="C278" s="3" t="s">
        <v>30</v>
      </c>
      <c r="D278" s="3" t="s">
        <v>265</v>
      </c>
      <c r="E278" s="3" t="s">
        <v>266</v>
      </c>
      <c r="F278" s="3" t="s">
        <v>33</v>
      </c>
      <c r="G278" s="3" t="s">
        <v>54</v>
      </c>
      <c r="H278" s="3" t="s">
        <v>686</v>
      </c>
      <c r="I278" s="3" t="n">
        <v>3</v>
      </c>
      <c r="J278" s="3" t="n">
        <v>2</v>
      </c>
      <c r="K278" s="3" t="n">
        <v>4</v>
      </c>
      <c r="L278" s="3" t="n">
        <v>3</v>
      </c>
      <c r="M278" s="3" t="n">
        <v>3</v>
      </c>
      <c r="N278" s="3" t="n">
        <v>3</v>
      </c>
      <c r="O278" s="6" t="b">
        <f aca="false">FALSE()</f>
        <v>0</v>
      </c>
      <c r="P278" s="3" t="s">
        <v>56</v>
      </c>
      <c r="Q278" s="5" t="n">
        <v>46152.5597222222</v>
      </c>
      <c r="R278" s="5" t="n">
        <v>46153.8131944445</v>
      </c>
      <c r="S278" s="3" t="s">
        <v>37</v>
      </c>
      <c r="T278" s="7" t="n">
        <f aca="false">ROUND(MIN(IF(OR(O278=TRUE(),O278="TRUE",O278="Yes"),59,100),(I278*Rubric!$C$2+J278*Rubric!$C$3+K278*Rubric!$C$4+L278*Rubric!$C$5+M278*Rubric!$C$6+N278*Rubric!$C$7)/5),1)</f>
        <v>59</v>
      </c>
      <c r="U278" s="8" t="str">
        <f aca="false">LOOKUP(T278,Bands!$A$2:$A$6,Bands!$B$2:$B$6)</f>
        <v>Critical</v>
      </c>
      <c r="V278" s="8" t="n">
        <f aca="false">IF(Q278="","",ROUND((Q278-B278)*24,1))</f>
        <v>144</v>
      </c>
    </row>
    <row r="279" customFormat="false" ht="15" hidden="false" customHeight="false" outlineLevel="0" collapsed="false">
      <c r="A279" s="3" t="s">
        <v>687</v>
      </c>
      <c r="B279" s="5" t="n">
        <v>46146.5048611111</v>
      </c>
      <c r="C279" s="3" t="s">
        <v>30</v>
      </c>
      <c r="D279" s="3" t="s">
        <v>194</v>
      </c>
      <c r="E279" s="3" t="s">
        <v>195</v>
      </c>
      <c r="F279" s="3" t="s">
        <v>53</v>
      </c>
      <c r="G279" s="3" t="s">
        <v>54</v>
      </c>
      <c r="H279" s="3" t="s">
        <v>688</v>
      </c>
      <c r="I279" s="3" t="n">
        <v>4</v>
      </c>
      <c r="J279" s="3" t="n">
        <v>5</v>
      </c>
      <c r="K279" s="3" t="n">
        <v>4</v>
      </c>
      <c r="L279" s="3" t="n">
        <v>2</v>
      </c>
      <c r="M279" s="3" t="n">
        <v>4</v>
      </c>
      <c r="N279" s="3" t="n">
        <v>5</v>
      </c>
      <c r="O279" s="6" t="b">
        <f aca="false">FALSE()</f>
        <v>0</v>
      </c>
      <c r="P279" s="3" t="s">
        <v>44</v>
      </c>
      <c r="Q279" s="5" t="n">
        <v>46151.5048611111</v>
      </c>
      <c r="R279" s="5" t="n">
        <v>46151.8715277778</v>
      </c>
      <c r="S279" s="3" t="s">
        <v>37</v>
      </c>
      <c r="T279" s="7" t="n">
        <f aca="false">ROUND(MIN(IF(OR(O279=TRUE(),O279="TRUE",O279="Yes"),59,100),(I279*Rubric!$C$2+J279*Rubric!$C$3+K279*Rubric!$C$4+L279*Rubric!$C$5+M279*Rubric!$C$6+N279*Rubric!$C$7)/5),1)</f>
        <v>82</v>
      </c>
      <c r="U279" s="8" t="str">
        <f aca="false">LOOKUP(T279,Bands!$A$2:$A$6,Bands!$B$2:$B$6)</f>
        <v>Solid Performance</v>
      </c>
      <c r="V279" s="8" t="n">
        <f aca="false">IF(Q279="","",ROUND((Q279-B279)*24,1))</f>
        <v>120</v>
      </c>
    </row>
    <row r="280" customFormat="false" ht="15" hidden="false" customHeight="false" outlineLevel="0" collapsed="false">
      <c r="A280" s="3" t="s">
        <v>689</v>
      </c>
      <c r="B280" s="5" t="n">
        <v>46146.4923611111</v>
      </c>
      <c r="C280" s="3" t="s">
        <v>39</v>
      </c>
      <c r="D280" s="3" t="s">
        <v>105</v>
      </c>
      <c r="E280" s="3" t="s">
        <v>106</v>
      </c>
      <c r="F280" s="3" t="s">
        <v>65</v>
      </c>
      <c r="G280" s="3" t="s">
        <v>34</v>
      </c>
      <c r="H280" s="3" t="s">
        <v>690</v>
      </c>
      <c r="I280" s="3" t="n">
        <v>3</v>
      </c>
      <c r="J280" s="3" t="n">
        <v>3</v>
      </c>
      <c r="K280" s="3" t="n">
        <v>4</v>
      </c>
      <c r="L280" s="3" t="n">
        <v>4</v>
      </c>
      <c r="M280" s="3" t="n">
        <v>4</v>
      </c>
      <c r="N280" s="3" t="n">
        <v>4</v>
      </c>
      <c r="O280" s="6" t="b">
        <f aca="false">FALSE()</f>
        <v>0</v>
      </c>
      <c r="P280" s="3"/>
      <c r="Q280" s="5" t="n">
        <v>46153.4923611111</v>
      </c>
      <c r="R280" s="5" t="n">
        <v>46153.6472222222</v>
      </c>
      <c r="S280" s="3" t="s">
        <v>37</v>
      </c>
      <c r="T280" s="7" t="n">
        <f aca="false">ROUND(MIN(IF(OR(O280=TRUE(),O280="TRUE",O280="Yes"),59,100),(I280*Rubric!$C$2+J280*Rubric!$C$3+K280*Rubric!$C$4+L280*Rubric!$C$5+M280*Rubric!$C$6+N280*Rubric!$C$7)/5),1)</f>
        <v>72</v>
      </c>
      <c r="U280" s="8" t="str">
        <f aca="false">LOOKUP(T280,Bands!$A$2:$A$6,Bands!$B$2:$B$6)</f>
        <v>Meets Expectations</v>
      </c>
      <c r="V280" s="8" t="n">
        <f aca="false">IF(Q280="","",ROUND((Q280-B280)*24,1))</f>
        <v>168</v>
      </c>
    </row>
    <row r="281" customFormat="false" ht="15" hidden="false" customHeight="false" outlineLevel="0" collapsed="false">
      <c r="A281" s="3" t="s">
        <v>691</v>
      </c>
      <c r="B281" s="5" t="n">
        <v>46146.4048611111</v>
      </c>
      <c r="C281" s="3" t="s">
        <v>30</v>
      </c>
      <c r="D281" s="3" t="s">
        <v>119</v>
      </c>
      <c r="E281" s="3" t="s">
        <v>120</v>
      </c>
      <c r="F281" s="3" t="s">
        <v>33</v>
      </c>
      <c r="G281" s="3" t="s">
        <v>34</v>
      </c>
      <c r="H281" s="3" t="s">
        <v>692</v>
      </c>
      <c r="I281" s="3" t="n">
        <v>4</v>
      </c>
      <c r="J281" s="3" t="n">
        <v>4</v>
      </c>
      <c r="K281" s="3" t="n">
        <v>5</v>
      </c>
      <c r="L281" s="3" t="n">
        <v>4</v>
      </c>
      <c r="M281" s="3" t="n">
        <v>5</v>
      </c>
      <c r="N281" s="3" t="n">
        <v>2</v>
      </c>
      <c r="O281" s="6" t="b">
        <f aca="false">FALSE()</f>
        <v>0</v>
      </c>
      <c r="P281" s="3" t="s">
        <v>36</v>
      </c>
      <c r="Q281" s="5" t="n">
        <v>46151.4048611111</v>
      </c>
      <c r="R281" s="5" t="n">
        <v>46152.6166666667</v>
      </c>
      <c r="S281" s="3" t="s">
        <v>37</v>
      </c>
      <c r="T281" s="7" t="n">
        <f aca="false">ROUND(MIN(IF(OR(O281=TRUE(),O281="TRUE",O281="Yes"),59,100),(I281*Rubric!$C$2+J281*Rubric!$C$3+K281*Rubric!$C$4+L281*Rubric!$C$5+M281*Rubric!$C$6+N281*Rubric!$C$7)/5),1)</f>
        <v>80</v>
      </c>
      <c r="U281" s="8" t="str">
        <f aca="false">LOOKUP(T281,Bands!$A$2:$A$6,Bands!$B$2:$B$6)</f>
        <v>Solid Performance</v>
      </c>
      <c r="V281" s="8" t="n">
        <f aca="false">IF(Q281="","",ROUND((Q281-B281)*24,1))</f>
        <v>120</v>
      </c>
    </row>
    <row r="282" customFormat="false" ht="15" hidden="false" customHeight="false" outlineLevel="0" collapsed="false">
      <c r="A282" s="3" t="s">
        <v>693</v>
      </c>
      <c r="B282" s="5" t="n">
        <v>46146.5854166667</v>
      </c>
      <c r="C282" s="3" t="s">
        <v>68</v>
      </c>
      <c r="D282" s="3" t="s">
        <v>259</v>
      </c>
      <c r="E282" s="3" t="s">
        <v>260</v>
      </c>
      <c r="F282" s="3" t="s">
        <v>33</v>
      </c>
      <c r="G282" s="3" t="s">
        <v>34</v>
      </c>
      <c r="H282" s="3" t="s">
        <v>694</v>
      </c>
      <c r="I282" s="3" t="n">
        <v>5</v>
      </c>
      <c r="J282" s="3" t="n">
        <v>5</v>
      </c>
      <c r="K282" s="3" t="n">
        <v>2</v>
      </c>
      <c r="L282" s="3" t="n">
        <v>4</v>
      </c>
      <c r="M282" s="3" t="n">
        <v>5</v>
      </c>
      <c r="N282" s="3" t="n">
        <v>5</v>
      </c>
      <c r="O282" s="6" t="b">
        <f aca="false">FALSE()</f>
        <v>0</v>
      </c>
      <c r="P282" s="3" t="s">
        <v>49</v>
      </c>
      <c r="Q282" s="5" t="n">
        <v>46149.5854166667</v>
      </c>
      <c r="R282" s="5" t="n">
        <v>46149.7451388889</v>
      </c>
      <c r="S282" s="3" t="s">
        <v>37</v>
      </c>
      <c r="T282" s="7" t="n">
        <f aca="false">ROUND(MIN(IF(OR(O282=TRUE(),O282="TRUE",O282="Yes"),59,100),(I282*Rubric!$C$2+J282*Rubric!$C$3+K282*Rubric!$C$4+L282*Rubric!$C$5+M282*Rubric!$C$6+N282*Rubric!$C$7)/5),1)</f>
        <v>85</v>
      </c>
      <c r="U282" s="8" t="str">
        <f aca="false">LOOKUP(T282,Bands!$A$2:$A$6,Bands!$B$2:$B$6)</f>
        <v>Solid Performance</v>
      </c>
      <c r="V282" s="8" t="n">
        <f aca="false">IF(Q282="","",ROUND((Q282-B282)*24,1))</f>
        <v>72</v>
      </c>
    </row>
    <row r="283" customFormat="false" ht="15" hidden="false" customHeight="false" outlineLevel="0" collapsed="false">
      <c r="A283" s="3" t="s">
        <v>695</v>
      </c>
      <c r="B283" s="5" t="n">
        <v>46146.6263888889</v>
      </c>
      <c r="C283" s="3" t="s">
        <v>39</v>
      </c>
      <c r="D283" s="3" t="s">
        <v>161</v>
      </c>
      <c r="E283" s="3" t="s">
        <v>162</v>
      </c>
      <c r="F283" s="3" t="s">
        <v>33</v>
      </c>
      <c r="G283" s="3" t="s">
        <v>54</v>
      </c>
      <c r="H283" s="3" t="s">
        <v>696</v>
      </c>
      <c r="I283" s="3" t="n">
        <v>4</v>
      </c>
      <c r="J283" s="3" t="n">
        <v>4</v>
      </c>
      <c r="K283" s="3" t="n">
        <v>4</v>
      </c>
      <c r="L283" s="3" t="n">
        <v>4</v>
      </c>
      <c r="M283" s="3" t="n">
        <v>2</v>
      </c>
      <c r="N283" s="3" t="n">
        <v>1</v>
      </c>
      <c r="O283" s="6" t="b">
        <f aca="false">TRUE()</f>
        <v>1</v>
      </c>
      <c r="P283" s="3" t="s">
        <v>312</v>
      </c>
      <c r="Q283" s="5" t="n">
        <v>46153.6263888889</v>
      </c>
      <c r="R283" s="5" t="n">
        <v>46154.9041666667</v>
      </c>
      <c r="S283" s="3" t="s">
        <v>37</v>
      </c>
      <c r="T283" s="7" t="n">
        <f aca="false">ROUND(MIN(IF(OR(O283=TRUE(),O283="TRUE",O283="Yes"),59,100),(I283*Rubric!$C$2+J283*Rubric!$C$3+K283*Rubric!$C$4+L283*Rubric!$C$5+M283*Rubric!$C$6+N283*Rubric!$C$7)/5),1)</f>
        <v>59</v>
      </c>
      <c r="U283" s="8" t="str">
        <f aca="false">LOOKUP(T283,Bands!$A$2:$A$6,Bands!$B$2:$B$6)</f>
        <v>Critical</v>
      </c>
      <c r="V283" s="8" t="n">
        <f aca="false">IF(Q283="","",ROUND((Q283-B283)*24,1))</f>
        <v>168</v>
      </c>
    </row>
    <row r="284" customFormat="false" ht="15" hidden="false" customHeight="false" outlineLevel="0" collapsed="false">
      <c r="A284" s="3" t="s">
        <v>697</v>
      </c>
      <c r="B284" s="5" t="n">
        <v>46146.6791666667</v>
      </c>
      <c r="C284" s="3" t="s">
        <v>68</v>
      </c>
      <c r="D284" s="3" t="s">
        <v>366</v>
      </c>
      <c r="E284" s="3" t="s">
        <v>367</v>
      </c>
      <c r="F284" s="3" t="s">
        <v>53</v>
      </c>
      <c r="G284" s="3" t="s">
        <v>42</v>
      </c>
      <c r="H284" s="3" t="s">
        <v>698</v>
      </c>
      <c r="I284" s="3" t="n">
        <v>4</v>
      </c>
      <c r="J284" s="3" t="n">
        <v>3</v>
      </c>
      <c r="K284" s="3" t="n">
        <v>1</v>
      </c>
      <c r="L284" s="3" t="n">
        <v>4</v>
      </c>
      <c r="M284" s="3" t="n">
        <v>4</v>
      </c>
      <c r="N284" s="3" t="n">
        <v>4</v>
      </c>
      <c r="O284" s="6" t="b">
        <f aca="false">FALSE()</f>
        <v>0</v>
      </c>
      <c r="P284" s="3" t="s">
        <v>49</v>
      </c>
      <c r="Q284" s="5" t="n">
        <v>46150.6791666667</v>
      </c>
      <c r="R284" s="5" t="n">
        <v>46151.2083333333</v>
      </c>
      <c r="S284" s="3" t="s">
        <v>37</v>
      </c>
      <c r="T284" s="7" t="n">
        <f aca="false">ROUND(MIN(IF(OR(O284=TRUE(),O284="TRUE",O284="Yes"),59,100),(I284*Rubric!$C$2+J284*Rubric!$C$3+K284*Rubric!$C$4+L284*Rubric!$C$5+M284*Rubric!$C$6+N284*Rubric!$C$7)/5),1)</f>
        <v>63</v>
      </c>
      <c r="U284" s="8" t="str">
        <f aca="false">LOOKUP(T284,Bands!$A$2:$A$6,Bands!$B$2:$B$6)</f>
        <v>Needs Improvement</v>
      </c>
      <c r="V284" s="8" t="n">
        <f aca="false">IF(Q284="","",ROUND((Q284-B284)*24,1))</f>
        <v>96</v>
      </c>
    </row>
    <row r="285" customFormat="false" ht="15" hidden="false" customHeight="false" outlineLevel="0" collapsed="false">
      <c r="A285" s="3" t="s">
        <v>699</v>
      </c>
      <c r="B285" s="5" t="n">
        <v>46146.5958333333</v>
      </c>
      <c r="C285" s="3" t="s">
        <v>68</v>
      </c>
      <c r="D285" s="3" t="s">
        <v>51</v>
      </c>
      <c r="E285" s="3" t="s">
        <v>52</v>
      </c>
      <c r="F285" s="3" t="s">
        <v>53</v>
      </c>
      <c r="G285" s="3" t="s">
        <v>54</v>
      </c>
      <c r="H285" s="3" t="s">
        <v>700</v>
      </c>
      <c r="I285" s="3" t="n">
        <v>4</v>
      </c>
      <c r="J285" s="3" t="n">
        <v>3</v>
      </c>
      <c r="K285" s="3" t="n">
        <v>5</v>
      </c>
      <c r="L285" s="3" t="n">
        <v>4</v>
      </c>
      <c r="M285" s="3" t="n">
        <v>4</v>
      </c>
      <c r="N285" s="3" t="n">
        <v>4</v>
      </c>
      <c r="O285" s="6" t="b">
        <f aca="false">FALSE()</f>
        <v>0</v>
      </c>
      <c r="P285" s="3"/>
      <c r="Q285" s="5" t="n">
        <v>46158.5958333333</v>
      </c>
      <c r="R285" s="5" t="n">
        <v>46159.8090277778</v>
      </c>
      <c r="S285" s="3" t="s">
        <v>37</v>
      </c>
      <c r="T285" s="7" t="n">
        <f aca="false">ROUND(MIN(IF(OR(O285=TRUE(),O285="TRUE",O285="Yes"),59,100),(I285*Rubric!$C$2+J285*Rubric!$C$3+K285*Rubric!$C$4+L285*Rubric!$C$5+M285*Rubric!$C$6+N285*Rubric!$C$7)/5),1)</f>
        <v>79</v>
      </c>
      <c r="U285" s="8" t="str">
        <f aca="false">LOOKUP(T285,Bands!$A$2:$A$6,Bands!$B$2:$B$6)</f>
        <v>Meets Expectations</v>
      </c>
      <c r="V285" s="8" t="n">
        <f aca="false">IF(Q285="","",ROUND((Q285-B285)*24,1))</f>
        <v>288</v>
      </c>
    </row>
    <row r="286" customFormat="false" ht="15" hidden="false" customHeight="false" outlineLevel="0" collapsed="false">
      <c r="A286" s="3" t="s">
        <v>701</v>
      </c>
      <c r="B286" s="5" t="n">
        <v>46146.6298611111</v>
      </c>
      <c r="C286" s="3" t="s">
        <v>30</v>
      </c>
      <c r="D286" s="3" t="s">
        <v>228</v>
      </c>
      <c r="E286" s="3" t="s">
        <v>229</v>
      </c>
      <c r="F286" s="3" t="s">
        <v>65</v>
      </c>
      <c r="G286" s="3" t="s">
        <v>54</v>
      </c>
      <c r="H286" s="3" t="s">
        <v>702</v>
      </c>
      <c r="I286" s="3" t="n">
        <v>4</v>
      </c>
      <c r="J286" s="3" t="n">
        <v>3</v>
      </c>
      <c r="K286" s="3" t="n">
        <v>3</v>
      </c>
      <c r="L286" s="3" t="n">
        <v>3</v>
      </c>
      <c r="M286" s="3" t="n">
        <v>4</v>
      </c>
      <c r="N286" s="3" t="n">
        <v>2</v>
      </c>
      <c r="O286" s="6" t="b">
        <f aca="false">FALSE()</f>
        <v>0</v>
      </c>
      <c r="P286" s="3" t="s">
        <v>36</v>
      </c>
      <c r="Q286" s="5" t="n">
        <v>46151.6298611111</v>
      </c>
      <c r="R286" s="5" t="n">
        <v>46152.6236111111</v>
      </c>
      <c r="S286" s="3" t="s">
        <v>37</v>
      </c>
      <c r="T286" s="7" t="n">
        <f aca="false">ROUND(MIN(IF(OR(O286=TRUE(),O286="TRUE",O286="Yes"),59,100),(I286*Rubric!$C$2+J286*Rubric!$C$3+K286*Rubric!$C$4+L286*Rubric!$C$5+M286*Rubric!$C$6+N286*Rubric!$C$7)/5),1)</f>
        <v>62</v>
      </c>
      <c r="U286" s="8" t="str">
        <f aca="false">LOOKUP(T286,Bands!$A$2:$A$6,Bands!$B$2:$B$6)</f>
        <v>Needs Improvement</v>
      </c>
      <c r="V286" s="8" t="n">
        <f aca="false">IF(Q286="","",ROUND((Q286-B286)*24,1))</f>
        <v>120</v>
      </c>
    </row>
    <row r="287" customFormat="false" ht="15" hidden="false" customHeight="false" outlineLevel="0" collapsed="false">
      <c r="A287" s="3" t="s">
        <v>703</v>
      </c>
      <c r="B287" s="5" t="n">
        <v>46146.3895833333</v>
      </c>
      <c r="C287" s="3" t="s">
        <v>39</v>
      </c>
      <c r="D287" s="3" t="s">
        <v>145</v>
      </c>
      <c r="E287" s="3" t="s">
        <v>146</v>
      </c>
      <c r="F287" s="3" t="s">
        <v>33</v>
      </c>
      <c r="G287" s="3" t="s">
        <v>42</v>
      </c>
      <c r="H287" s="3" t="s">
        <v>704</v>
      </c>
      <c r="I287" s="3" t="n">
        <v>4</v>
      </c>
      <c r="J287" s="3" t="n">
        <v>2</v>
      </c>
      <c r="K287" s="3" t="n">
        <v>5</v>
      </c>
      <c r="L287" s="3" t="n">
        <v>4</v>
      </c>
      <c r="M287" s="3" t="n">
        <v>4</v>
      </c>
      <c r="N287" s="3" t="n">
        <v>4</v>
      </c>
      <c r="O287" s="6" t="b">
        <f aca="false">FALSE()</f>
        <v>0</v>
      </c>
      <c r="P287" s="3" t="s">
        <v>56</v>
      </c>
      <c r="Q287" s="5" t="n">
        <v>46150.3895833333</v>
      </c>
      <c r="R287" s="5" t="n">
        <v>46153.85</v>
      </c>
      <c r="S287" s="3" t="s">
        <v>37</v>
      </c>
      <c r="T287" s="7" t="n">
        <f aca="false">ROUND(MIN(IF(OR(O287=TRUE(),O287="TRUE",O287="Yes"),59,100),(I287*Rubric!$C$2+J287*Rubric!$C$3+K287*Rubric!$C$4+L287*Rubric!$C$5+M287*Rubric!$C$6+N287*Rubric!$C$7)/5),1)</f>
        <v>74</v>
      </c>
      <c r="U287" s="8" t="str">
        <f aca="false">LOOKUP(T287,Bands!$A$2:$A$6,Bands!$B$2:$B$6)</f>
        <v>Meets Expectations</v>
      </c>
      <c r="V287" s="8" t="n">
        <f aca="false">IF(Q287="","",ROUND((Q287-B287)*24,1))</f>
        <v>96</v>
      </c>
    </row>
    <row r="288" customFormat="false" ht="15" hidden="false" customHeight="false" outlineLevel="0" collapsed="false">
      <c r="A288" s="3" t="s">
        <v>705</v>
      </c>
      <c r="B288" s="5" t="n">
        <v>46146.6506944444</v>
      </c>
      <c r="C288" s="3" t="s">
        <v>30</v>
      </c>
      <c r="D288" s="3" t="s">
        <v>40</v>
      </c>
      <c r="E288" s="3" t="s">
        <v>41</v>
      </c>
      <c r="F288" s="3" t="s">
        <v>33</v>
      </c>
      <c r="G288" s="3" t="s">
        <v>42</v>
      </c>
      <c r="H288" s="3" t="s">
        <v>706</v>
      </c>
      <c r="I288" s="3" t="n">
        <v>4</v>
      </c>
      <c r="J288" s="3" t="n">
        <v>4</v>
      </c>
      <c r="K288" s="3" t="n">
        <v>4</v>
      </c>
      <c r="L288" s="3" t="n">
        <v>2</v>
      </c>
      <c r="M288" s="3" t="n">
        <v>4</v>
      </c>
      <c r="N288" s="3" t="n">
        <v>5</v>
      </c>
      <c r="O288" s="6" t="b">
        <f aca="false">FALSE()</f>
        <v>0</v>
      </c>
      <c r="P288" s="3" t="s">
        <v>44</v>
      </c>
      <c r="Q288" s="5" t="n">
        <v>46152.6506944444</v>
      </c>
      <c r="R288" s="5" t="n">
        <v>46153.7069444444</v>
      </c>
      <c r="S288" s="3" t="s">
        <v>37</v>
      </c>
      <c r="T288" s="7" t="n">
        <f aca="false">ROUND(MIN(IF(OR(O288=TRUE(),O288="TRUE",O288="Yes"),59,100),(I288*Rubric!$C$2+J288*Rubric!$C$3+K288*Rubric!$C$4+L288*Rubric!$C$5+M288*Rubric!$C$6+N288*Rubric!$C$7)/5),1)</f>
        <v>77</v>
      </c>
      <c r="U288" s="8" t="str">
        <f aca="false">LOOKUP(T288,Bands!$A$2:$A$6,Bands!$B$2:$B$6)</f>
        <v>Meets Expectations</v>
      </c>
      <c r="V288" s="8" t="n">
        <f aca="false">IF(Q288="","",ROUND((Q288-B288)*24,1))</f>
        <v>144</v>
      </c>
    </row>
    <row r="289" customFormat="false" ht="15" hidden="false" customHeight="false" outlineLevel="0" collapsed="false">
      <c r="A289" s="3" t="s">
        <v>707</v>
      </c>
      <c r="B289" s="5" t="n">
        <v>46146.6048611111</v>
      </c>
      <c r="C289" s="3" t="s">
        <v>68</v>
      </c>
      <c r="D289" s="3" t="s">
        <v>58</v>
      </c>
      <c r="E289" s="3" t="s">
        <v>59</v>
      </c>
      <c r="F289" s="3" t="s">
        <v>53</v>
      </c>
      <c r="G289" s="3" t="s">
        <v>54</v>
      </c>
      <c r="H289" s="3" t="s">
        <v>708</v>
      </c>
      <c r="I289" s="3" t="n">
        <v>2</v>
      </c>
      <c r="J289" s="3" t="n">
        <v>3</v>
      </c>
      <c r="K289" s="3" t="n">
        <v>2</v>
      </c>
      <c r="L289" s="3" t="n">
        <v>3</v>
      </c>
      <c r="M289" s="3" t="n">
        <v>4</v>
      </c>
      <c r="N289" s="3" t="n">
        <v>3</v>
      </c>
      <c r="O289" s="6" t="b">
        <f aca="false">FALSE()</f>
        <v>0</v>
      </c>
      <c r="P289" s="3" t="s">
        <v>180</v>
      </c>
      <c r="Q289" s="5" t="n">
        <v>46151.6048611111</v>
      </c>
      <c r="R289" s="5" t="n">
        <v>46152.4409722222</v>
      </c>
      <c r="S289" s="3" t="s">
        <v>37</v>
      </c>
      <c r="T289" s="7" t="n">
        <f aca="false">ROUND(MIN(IF(OR(O289=TRUE(),O289="TRUE",O289="Yes"),59,100),(I289*Rubric!$C$2+J289*Rubric!$C$3+K289*Rubric!$C$4+L289*Rubric!$C$5+M289*Rubric!$C$6+N289*Rubric!$C$7)/5),1)</f>
        <v>55</v>
      </c>
      <c r="U289" s="8" t="str">
        <f aca="false">LOOKUP(T289,Bands!$A$2:$A$6,Bands!$B$2:$B$6)</f>
        <v>Critical</v>
      </c>
      <c r="V289" s="8" t="n">
        <f aca="false">IF(Q289="","",ROUND((Q289-B289)*24,1))</f>
        <v>120</v>
      </c>
    </row>
    <row r="290" customFormat="false" ht="15" hidden="false" customHeight="false" outlineLevel="0" collapsed="false">
      <c r="A290" s="3" t="s">
        <v>709</v>
      </c>
      <c r="B290" s="5" t="n">
        <v>46147.4715277778</v>
      </c>
      <c r="C290" s="3" t="s">
        <v>68</v>
      </c>
      <c r="D290" s="3" t="s">
        <v>133</v>
      </c>
      <c r="E290" s="3" t="s">
        <v>134</v>
      </c>
      <c r="F290" s="3" t="s">
        <v>33</v>
      </c>
      <c r="G290" s="3" t="s">
        <v>42</v>
      </c>
      <c r="H290" s="3" t="s">
        <v>710</v>
      </c>
      <c r="I290" s="3" t="n">
        <v>5</v>
      </c>
      <c r="J290" s="3" t="n">
        <v>2</v>
      </c>
      <c r="K290" s="3" t="n">
        <v>5</v>
      </c>
      <c r="L290" s="3" t="n">
        <v>5</v>
      </c>
      <c r="M290" s="3" t="n">
        <v>4</v>
      </c>
      <c r="N290" s="3" t="n">
        <v>4</v>
      </c>
      <c r="O290" s="6" t="b">
        <f aca="false">FALSE()</f>
        <v>0</v>
      </c>
      <c r="P290" s="3" t="s">
        <v>56</v>
      </c>
      <c r="Q290" s="5" t="n">
        <v>46156.4715277778</v>
      </c>
      <c r="R290" s="5" t="n">
        <v>46158.2027777778</v>
      </c>
      <c r="S290" s="3" t="s">
        <v>37</v>
      </c>
      <c r="T290" s="7" t="n">
        <f aca="false">ROUND(MIN(IF(OR(O290=TRUE(),O290="TRUE",O290="Yes"),59,100),(I290*Rubric!$C$2+J290*Rubric!$C$3+K290*Rubric!$C$4+L290*Rubric!$C$5+M290*Rubric!$C$6+N290*Rubric!$C$7)/5),1)</f>
        <v>80</v>
      </c>
      <c r="U290" s="8" t="str">
        <f aca="false">LOOKUP(T290,Bands!$A$2:$A$6,Bands!$B$2:$B$6)</f>
        <v>Solid Performance</v>
      </c>
      <c r="V290" s="8" t="n">
        <f aca="false">IF(Q290="","",ROUND((Q290-B290)*24,1))</f>
        <v>216</v>
      </c>
    </row>
    <row r="291" customFormat="false" ht="15" hidden="false" customHeight="false" outlineLevel="0" collapsed="false">
      <c r="A291" s="3" t="s">
        <v>711</v>
      </c>
      <c r="B291" s="5" t="n">
        <v>46147.5145833333</v>
      </c>
      <c r="C291" s="3" t="s">
        <v>68</v>
      </c>
      <c r="D291" s="3" t="s">
        <v>167</v>
      </c>
      <c r="E291" s="3" t="s">
        <v>168</v>
      </c>
      <c r="F291" s="3" t="s">
        <v>33</v>
      </c>
      <c r="G291" s="3" t="s">
        <v>42</v>
      </c>
      <c r="H291" s="3" t="s">
        <v>712</v>
      </c>
      <c r="I291" s="3" t="n">
        <v>5</v>
      </c>
      <c r="J291" s="3" t="n">
        <v>3</v>
      </c>
      <c r="K291" s="3" t="n">
        <v>3</v>
      </c>
      <c r="L291" s="3" t="n">
        <v>3</v>
      </c>
      <c r="M291" s="3" t="n">
        <v>3</v>
      </c>
      <c r="N291" s="3" t="n">
        <v>3</v>
      </c>
      <c r="O291" s="6" t="b">
        <f aca="false">FALSE()</f>
        <v>0</v>
      </c>
      <c r="P291" s="3"/>
      <c r="Q291" s="5" t="n">
        <v>46156.5145833333</v>
      </c>
      <c r="R291" s="5" t="n">
        <v>46159.3402777778</v>
      </c>
      <c r="S291" s="3" t="s">
        <v>37</v>
      </c>
      <c r="T291" s="7" t="n">
        <f aca="false">ROUND(MIN(IF(OR(O291=TRUE(),O291="TRUE",O291="Yes"),59,100),(I291*Rubric!$C$2+J291*Rubric!$C$3+K291*Rubric!$C$4+L291*Rubric!$C$5+M291*Rubric!$C$6+N291*Rubric!$C$7)/5),1)</f>
        <v>66</v>
      </c>
      <c r="U291" s="8" t="str">
        <f aca="false">LOOKUP(T291,Bands!$A$2:$A$6,Bands!$B$2:$B$6)</f>
        <v>Needs Improvement</v>
      </c>
      <c r="V291" s="8" t="n">
        <f aca="false">IF(Q291="","",ROUND((Q291-B291)*24,1))</f>
        <v>216</v>
      </c>
    </row>
    <row r="292" customFormat="false" ht="15" hidden="false" customHeight="false" outlineLevel="0" collapsed="false">
      <c r="A292" s="3" t="s">
        <v>713</v>
      </c>
      <c r="B292" s="5" t="n">
        <v>46147.3951388889</v>
      </c>
      <c r="C292" s="3" t="s">
        <v>68</v>
      </c>
      <c r="D292" s="3" t="s">
        <v>63</v>
      </c>
      <c r="E292" s="3" t="s">
        <v>64</v>
      </c>
      <c r="F292" s="3" t="s">
        <v>65</v>
      </c>
      <c r="G292" s="3" t="s">
        <v>42</v>
      </c>
      <c r="H292" s="3" t="s">
        <v>714</v>
      </c>
      <c r="I292" s="3" t="n">
        <v>4</v>
      </c>
      <c r="J292" s="3" t="n">
        <v>4</v>
      </c>
      <c r="K292" s="3" t="n">
        <v>2</v>
      </c>
      <c r="L292" s="3" t="n">
        <v>4</v>
      </c>
      <c r="M292" s="3" t="n">
        <v>3</v>
      </c>
      <c r="N292" s="3" t="n">
        <v>4</v>
      </c>
      <c r="O292" s="6" t="b">
        <f aca="false">FALSE()</f>
        <v>0</v>
      </c>
      <c r="P292" s="3" t="s">
        <v>49</v>
      </c>
      <c r="Q292" s="5" t="n">
        <v>46151.3951388889</v>
      </c>
      <c r="R292" s="5" t="n">
        <v>46151.4777777778</v>
      </c>
      <c r="S292" s="3" t="s">
        <v>37</v>
      </c>
      <c r="T292" s="7" t="n">
        <f aca="false">ROUND(MIN(IF(OR(O292=TRUE(),O292="TRUE",O292="Yes"),59,100),(I292*Rubric!$C$2+J292*Rubric!$C$3+K292*Rubric!$C$4+L292*Rubric!$C$5+M292*Rubric!$C$6+N292*Rubric!$C$7)/5),1)</f>
        <v>70</v>
      </c>
      <c r="U292" s="8" t="str">
        <f aca="false">LOOKUP(T292,Bands!$A$2:$A$6,Bands!$B$2:$B$6)</f>
        <v>Meets Expectations</v>
      </c>
      <c r="V292" s="8" t="n">
        <f aca="false">IF(Q292="","",ROUND((Q292-B292)*24,1))</f>
        <v>96</v>
      </c>
    </row>
    <row r="293" customFormat="false" ht="15" hidden="false" customHeight="false" outlineLevel="0" collapsed="false">
      <c r="A293" s="3" t="s">
        <v>715</v>
      </c>
      <c r="B293" s="5" t="n">
        <v>46147.5680555556</v>
      </c>
      <c r="C293" s="3" t="s">
        <v>30</v>
      </c>
      <c r="D293" s="3" t="s">
        <v>194</v>
      </c>
      <c r="E293" s="3" t="s">
        <v>195</v>
      </c>
      <c r="F293" s="3" t="s">
        <v>53</v>
      </c>
      <c r="G293" s="3" t="s">
        <v>54</v>
      </c>
      <c r="H293" s="3" t="s">
        <v>716</v>
      </c>
      <c r="I293" s="3" t="n">
        <v>4</v>
      </c>
      <c r="J293" s="3" t="n">
        <v>4</v>
      </c>
      <c r="K293" s="3" t="n">
        <v>5</v>
      </c>
      <c r="L293" s="3" t="n">
        <v>4</v>
      </c>
      <c r="M293" s="3" t="n">
        <v>5</v>
      </c>
      <c r="N293" s="3" t="n">
        <v>5</v>
      </c>
      <c r="O293" s="6" t="b">
        <f aca="false">FALSE()</f>
        <v>0</v>
      </c>
      <c r="P293" s="3"/>
      <c r="Q293" s="5" t="n">
        <v>46153.5680555556</v>
      </c>
      <c r="R293" s="5" t="n">
        <v>46154.1375</v>
      </c>
      <c r="S293" s="3" t="s">
        <v>37</v>
      </c>
      <c r="T293" s="7" t="n">
        <f aca="false">ROUND(MIN(IF(OR(O293=TRUE(),O293="TRUE",O293="Yes"),59,100),(I293*Rubric!$C$2+J293*Rubric!$C$3+K293*Rubric!$C$4+L293*Rubric!$C$5+M293*Rubric!$C$6+N293*Rubric!$C$7)/5),1)</f>
        <v>89</v>
      </c>
      <c r="U293" s="8" t="str">
        <f aca="false">LOOKUP(T293,Bands!$A$2:$A$6,Bands!$B$2:$B$6)</f>
        <v>Solid Performance</v>
      </c>
      <c r="V293" s="8" t="n">
        <f aca="false">IF(Q293="","",ROUND((Q293-B293)*24,1))</f>
        <v>144</v>
      </c>
    </row>
    <row r="294" customFormat="false" ht="15" hidden="false" customHeight="false" outlineLevel="0" collapsed="false">
      <c r="A294" s="3" t="s">
        <v>717</v>
      </c>
      <c r="B294" s="5" t="n">
        <v>46147.5236111111</v>
      </c>
      <c r="C294" s="3" t="s">
        <v>68</v>
      </c>
      <c r="D294" s="3" t="s">
        <v>265</v>
      </c>
      <c r="E294" s="3" t="s">
        <v>266</v>
      </c>
      <c r="F294" s="3" t="s">
        <v>33</v>
      </c>
      <c r="G294" s="3" t="s">
        <v>54</v>
      </c>
      <c r="H294" s="3" t="s">
        <v>718</v>
      </c>
      <c r="I294" s="3" t="n">
        <v>3</v>
      </c>
      <c r="J294" s="3" t="n">
        <v>2</v>
      </c>
      <c r="K294" s="3" t="n">
        <v>3</v>
      </c>
      <c r="L294" s="3" t="n">
        <v>4</v>
      </c>
      <c r="M294" s="3" t="n">
        <v>4</v>
      </c>
      <c r="N294" s="3" t="n">
        <v>4</v>
      </c>
      <c r="O294" s="6" t="b">
        <f aca="false">FALSE()</f>
        <v>0</v>
      </c>
      <c r="P294" s="3" t="s">
        <v>56</v>
      </c>
      <c r="Q294" s="5" t="n">
        <v>46151.5236111111</v>
      </c>
      <c r="R294" s="5" t="n">
        <v>46153.5597222222</v>
      </c>
      <c r="S294" s="3" t="s">
        <v>37</v>
      </c>
      <c r="T294" s="7" t="n">
        <f aca="false">ROUND(MIN(IF(OR(O294=TRUE(),O294="TRUE",O294="Yes"),59,100),(I294*Rubric!$C$2+J294*Rubric!$C$3+K294*Rubric!$C$4+L294*Rubric!$C$5+M294*Rubric!$C$6+N294*Rubric!$C$7)/5),1)</f>
        <v>63</v>
      </c>
      <c r="U294" s="8" t="str">
        <f aca="false">LOOKUP(T294,Bands!$A$2:$A$6,Bands!$B$2:$B$6)</f>
        <v>Needs Improvement</v>
      </c>
      <c r="V294" s="8" t="n">
        <f aca="false">IF(Q294="","",ROUND((Q294-B294)*24,1))</f>
        <v>96</v>
      </c>
    </row>
    <row r="295" customFormat="false" ht="15" hidden="false" customHeight="false" outlineLevel="0" collapsed="false">
      <c r="A295" s="3" t="s">
        <v>719</v>
      </c>
      <c r="B295" s="5" t="n">
        <v>46147.46875</v>
      </c>
      <c r="C295" s="3" t="s">
        <v>30</v>
      </c>
      <c r="D295" s="3" t="s">
        <v>51</v>
      </c>
      <c r="E295" s="3" t="s">
        <v>52</v>
      </c>
      <c r="F295" s="3" t="s">
        <v>53</v>
      </c>
      <c r="G295" s="3" t="s">
        <v>54</v>
      </c>
      <c r="H295" s="3" t="s">
        <v>720</v>
      </c>
      <c r="I295" s="3" t="n">
        <v>4</v>
      </c>
      <c r="J295" s="3" t="n">
        <v>2</v>
      </c>
      <c r="K295" s="3" t="n">
        <v>4</v>
      </c>
      <c r="L295" s="3" t="n">
        <v>3</v>
      </c>
      <c r="M295" s="3" t="n">
        <v>4</v>
      </c>
      <c r="N295" s="3" t="n">
        <v>3</v>
      </c>
      <c r="O295" s="6" t="b">
        <f aca="false">FALSE()</f>
        <v>0</v>
      </c>
      <c r="P295" s="3" t="s">
        <v>56</v>
      </c>
      <c r="Q295" s="5" t="n">
        <v>46151.46875</v>
      </c>
      <c r="R295" s="5" t="n">
        <v>46151.6236111111</v>
      </c>
      <c r="S295" s="3" t="s">
        <v>37</v>
      </c>
      <c r="T295" s="7" t="n">
        <f aca="false">ROUND(MIN(IF(OR(O295=TRUE(),O295="TRUE",O295="Yes"),59,100),(I295*Rubric!$C$2+J295*Rubric!$C$3+K295*Rubric!$C$4+L295*Rubric!$C$5+M295*Rubric!$C$6+N295*Rubric!$C$7)/5),1)</f>
        <v>64</v>
      </c>
      <c r="U295" s="8" t="str">
        <f aca="false">LOOKUP(T295,Bands!$A$2:$A$6,Bands!$B$2:$B$6)</f>
        <v>Needs Improvement</v>
      </c>
      <c r="V295" s="8" t="n">
        <f aca="false">IF(Q295="","",ROUND((Q295-B295)*24,1))</f>
        <v>96</v>
      </c>
    </row>
    <row r="296" customFormat="false" ht="15" hidden="false" customHeight="false" outlineLevel="0" collapsed="false">
      <c r="A296" s="3" t="s">
        <v>721</v>
      </c>
      <c r="B296" s="5" t="n">
        <v>46147.6368055556</v>
      </c>
      <c r="C296" s="3" t="s">
        <v>68</v>
      </c>
      <c r="D296" s="3" t="s">
        <v>115</v>
      </c>
      <c r="E296" s="3" t="s">
        <v>116</v>
      </c>
      <c r="F296" s="3" t="s">
        <v>33</v>
      </c>
      <c r="G296" s="3" t="s">
        <v>54</v>
      </c>
      <c r="H296" s="3" t="s">
        <v>722</v>
      </c>
      <c r="I296" s="3" t="n">
        <v>4</v>
      </c>
      <c r="J296" s="3" t="n">
        <v>5</v>
      </c>
      <c r="K296" s="3" t="n">
        <v>5</v>
      </c>
      <c r="L296" s="3" t="n">
        <v>5</v>
      </c>
      <c r="M296" s="3" t="n">
        <v>3</v>
      </c>
      <c r="N296" s="3" t="n">
        <v>4</v>
      </c>
      <c r="O296" s="6" t="b">
        <f aca="false">FALSE()</f>
        <v>0</v>
      </c>
      <c r="P296" s="3"/>
      <c r="Q296" s="5" t="n">
        <v>46153.6368055556</v>
      </c>
      <c r="R296" s="5" t="n">
        <v>46154.01875</v>
      </c>
      <c r="S296" s="3" t="s">
        <v>37</v>
      </c>
      <c r="T296" s="7" t="n">
        <f aca="false">ROUND(MIN(IF(OR(O296=TRUE(),O296="TRUE",O296="Yes"),59,100),(I296*Rubric!$C$2+J296*Rubric!$C$3+K296*Rubric!$C$4+L296*Rubric!$C$5+M296*Rubric!$C$6+N296*Rubric!$C$7)/5),1)</f>
        <v>90</v>
      </c>
      <c r="U296" s="8" t="str">
        <f aca="false">LOOKUP(T296,Bands!$A$2:$A$6,Bands!$B$2:$B$6)</f>
        <v>Outstanding</v>
      </c>
      <c r="V296" s="8" t="n">
        <f aca="false">IF(Q296="","",ROUND((Q296-B296)*24,1))</f>
        <v>144</v>
      </c>
    </row>
    <row r="297" customFormat="false" ht="15" hidden="false" customHeight="false" outlineLevel="0" collapsed="false">
      <c r="A297" s="3" t="s">
        <v>723</v>
      </c>
      <c r="B297" s="5" t="n">
        <v>46147.6805555556</v>
      </c>
      <c r="C297" s="3" t="s">
        <v>30</v>
      </c>
      <c r="D297" s="3" t="s">
        <v>81</v>
      </c>
      <c r="E297" s="3" t="s">
        <v>82</v>
      </c>
      <c r="F297" s="3" t="s">
        <v>65</v>
      </c>
      <c r="G297" s="3" t="s">
        <v>42</v>
      </c>
      <c r="H297" s="3" t="s">
        <v>724</v>
      </c>
      <c r="I297" s="3" t="n">
        <v>5</v>
      </c>
      <c r="J297" s="3" t="n">
        <v>2</v>
      </c>
      <c r="K297" s="3" t="n">
        <v>4</v>
      </c>
      <c r="L297" s="3" t="n">
        <v>5</v>
      </c>
      <c r="M297" s="3" t="n">
        <v>4</v>
      </c>
      <c r="N297" s="3" t="n">
        <v>5</v>
      </c>
      <c r="O297" s="6" t="b">
        <f aca="false">FALSE()</f>
        <v>0</v>
      </c>
      <c r="P297" s="3" t="s">
        <v>56</v>
      </c>
      <c r="Q297" s="5" t="n">
        <v>46151.6805555556</v>
      </c>
      <c r="R297" s="5" t="n">
        <v>46152.2236111111</v>
      </c>
      <c r="S297" s="3" t="s">
        <v>37</v>
      </c>
      <c r="T297" s="7" t="n">
        <f aca="false">ROUND(MIN(IF(OR(O297=TRUE(),O297="TRUE",O297="Yes"),59,100),(I297*Rubric!$C$2+J297*Rubric!$C$3+K297*Rubric!$C$4+L297*Rubric!$C$5+M297*Rubric!$C$6+N297*Rubric!$C$7)/5),1)</f>
        <v>79</v>
      </c>
      <c r="U297" s="8" t="str">
        <f aca="false">LOOKUP(T297,Bands!$A$2:$A$6,Bands!$B$2:$B$6)</f>
        <v>Meets Expectations</v>
      </c>
      <c r="V297" s="8" t="n">
        <f aca="false">IF(Q297="","",ROUND((Q297-B297)*24,1))</f>
        <v>96</v>
      </c>
    </row>
    <row r="298" customFormat="false" ht="15" hidden="false" customHeight="false" outlineLevel="0" collapsed="false">
      <c r="A298" s="3" t="s">
        <v>725</v>
      </c>
      <c r="B298" s="5" t="n">
        <v>46147.375</v>
      </c>
      <c r="C298" s="3" t="s">
        <v>68</v>
      </c>
      <c r="D298" s="3" t="s">
        <v>486</v>
      </c>
      <c r="E298" s="3" t="s">
        <v>487</v>
      </c>
      <c r="F298" s="3" t="s">
        <v>65</v>
      </c>
      <c r="G298" s="3" t="s">
        <v>34</v>
      </c>
      <c r="H298" s="3" t="s">
        <v>726</v>
      </c>
      <c r="I298" s="3" t="n">
        <v>5</v>
      </c>
      <c r="J298" s="3" t="n">
        <v>2</v>
      </c>
      <c r="K298" s="3" t="n">
        <v>4</v>
      </c>
      <c r="L298" s="3" t="n">
        <v>4</v>
      </c>
      <c r="M298" s="3" t="n">
        <v>5</v>
      </c>
      <c r="N298" s="3" t="n">
        <v>1</v>
      </c>
      <c r="O298" s="6" t="b">
        <f aca="false">TRUE()</f>
        <v>1</v>
      </c>
      <c r="P298" s="3" t="s">
        <v>438</v>
      </c>
      <c r="Q298" s="5" t="n">
        <v>46151.375</v>
      </c>
      <c r="R298" s="5" t="n">
        <v>46152.0534722222</v>
      </c>
      <c r="S298" s="3" t="s">
        <v>37</v>
      </c>
      <c r="T298" s="7" t="n">
        <f aca="false">ROUND(MIN(IF(OR(O298=TRUE(),O298="TRUE",O298="Yes"),59,100),(I298*Rubric!$C$2+J298*Rubric!$C$3+K298*Rubric!$C$4+L298*Rubric!$C$5+M298*Rubric!$C$6+N298*Rubric!$C$7)/5),1)</f>
        <v>59</v>
      </c>
      <c r="U298" s="8" t="str">
        <f aca="false">LOOKUP(T298,Bands!$A$2:$A$6,Bands!$B$2:$B$6)</f>
        <v>Critical</v>
      </c>
      <c r="V298" s="8" t="n">
        <f aca="false">IF(Q298="","",ROUND((Q298-B298)*24,1))</f>
        <v>96</v>
      </c>
    </row>
    <row r="299" customFormat="false" ht="15" hidden="false" customHeight="false" outlineLevel="0" collapsed="false">
      <c r="A299" s="3" t="s">
        <v>727</v>
      </c>
      <c r="B299" s="5" t="n">
        <v>46147.6284722222</v>
      </c>
      <c r="C299" s="3" t="s">
        <v>30</v>
      </c>
      <c r="D299" s="3" t="s">
        <v>96</v>
      </c>
      <c r="E299" s="3" t="s">
        <v>97</v>
      </c>
      <c r="F299" s="3" t="s">
        <v>33</v>
      </c>
      <c r="G299" s="3" t="s">
        <v>42</v>
      </c>
      <c r="H299" s="3" t="s">
        <v>728</v>
      </c>
      <c r="I299" s="3" t="n">
        <v>5</v>
      </c>
      <c r="J299" s="3" t="n">
        <v>2</v>
      </c>
      <c r="K299" s="3" t="n">
        <v>4</v>
      </c>
      <c r="L299" s="3" t="n">
        <v>4</v>
      </c>
      <c r="M299" s="3" t="n">
        <v>5</v>
      </c>
      <c r="N299" s="3" t="n">
        <v>5</v>
      </c>
      <c r="O299" s="6" t="b">
        <f aca="false">FALSE()</f>
        <v>0</v>
      </c>
      <c r="P299" s="3" t="s">
        <v>56</v>
      </c>
      <c r="Q299" s="5" t="n">
        <v>46153.6284722222</v>
      </c>
      <c r="R299" s="5" t="n">
        <v>46155.85</v>
      </c>
      <c r="S299" s="3" t="s">
        <v>37</v>
      </c>
      <c r="T299" s="7" t="n">
        <f aca="false">ROUND(MIN(IF(OR(O299=TRUE(),O299="TRUE",O299="Yes"),59,100),(I299*Rubric!$C$2+J299*Rubric!$C$3+K299*Rubric!$C$4+L299*Rubric!$C$5+M299*Rubric!$C$6+N299*Rubric!$C$7)/5),1)</f>
        <v>78</v>
      </c>
      <c r="U299" s="8" t="str">
        <f aca="false">LOOKUP(T299,Bands!$A$2:$A$6,Bands!$B$2:$B$6)</f>
        <v>Meets Expectations</v>
      </c>
      <c r="V299" s="8" t="n">
        <f aca="false">IF(Q299="","",ROUND((Q299-B299)*24,1))</f>
        <v>144</v>
      </c>
    </row>
    <row r="300" customFormat="false" ht="15" hidden="false" customHeight="false" outlineLevel="0" collapsed="false">
      <c r="A300" s="3" t="s">
        <v>729</v>
      </c>
      <c r="B300" s="5" t="n">
        <v>46147.4284722222</v>
      </c>
      <c r="C300" s="3" t="s">
        <v>30</v>
      </c>
      <c r="D300" s="3" t="s">
        <v>73</v>
      </c>
      <c r="E300" s="3" t="s">
        <v>74</v>
      </c>
      <c r="F300" s="3" t="s">
        <v>33</v>
      </c>
      <c r="G300" s="3" t="s">
        <v>42</v>
      </c>
      <c r="H300" s="3" t="s">
        <v>730</v>
      </c>
      <c r="I300" s="3" t="n">
        <v>5</v>
      </c>
      <c r="J300" s="3" t="n">
        <v>5</v>
      </c>
      <c r="K300" s="3" t="n">
        <v>4</v>
      </c>
      <c r="L300" s="3" t="n">
        <v>5</v>
      </c>
      <c r="M300" s="3" t="n">
        <v>4</v>
      </c>
      <c r="N300" s="3" t="n">
        <v>2</v>
      </c>
      <c r="O300" s="6" t="b">
        <f aca="false">FALSE()</f>
        <v>0</v>
      </c>
      <c r="P300" s="3" t="s">
        <v>36</v>
      </c>
      <c r="Q300" s="5" t="n">
        <v>46154.4284722222</v>
      </c>
      <c r="R300" s="5" t="n">
        <v>46156.675</v>
      </c>
      <c r="S300" s="3" t="s">
        <v>37</v>
      </c>
      <c r="T300" s="7" t="n">
        <f aca="false">ROUND(MIN(IF(OR(O300=TRUE(),O300="TRUE",O300="Yes"),59,100),(I300*Rubric!$C$2+J300*Rubric!$C$3+K300*Rubric!$C$4+L300*Rubric!$C$5+M300*Rubric!$C$6+N300*Rubric!$C$7)/5),1)</f>
        <v>85</v>
      </c>
      <c r="U300" s="8" t="str">
        <f aca="false">LOOKUP(T300,Bands!$A$2:$A$6,Bands!$B$2:$B$6)</f>
        <v>Solid Performance</v>
      </c>
      <c r="V300" s="8" t="n">
        <f aca="false">IF(Q300="","",ROUND((Q300-B300)*24,1))</f>
        <v>168</v>
      </c>
    </row>
    <row r="301" customFormat="false" ht="15" hidden="false" customHeight="false" outlineLevel="0" collapsed="false">
      <c r="A301" s="3" t="s">
        <v>731</v>
      </c>
      <c r="B301" s="5" t="n">
        <v>46147.4847222222</v>
      </c>
      <c r="C301" s="3" t="s">
        <v>68</v>
      </c>
      <c r="D301" s="3" t="s">
        <v>90</v>
      </c>
      <c r="E301" s="3" t="s">
        <v>91</v>
      </c>
      <c r="F301" s="3" t="s">
        <v>65</v>
      </c>
      <c r="G301" s="3" t="s">
        <v>42</v>
      </c>
      <c r="H301" s="3" t="s">
        <v>732</v>
      </c>
      <c r="I301" s="3" t="n">
        <v>4</v>
      </c>
      <c r="J301" s="3" t="n">
        <v>5</v>
      </c>
      <c r="K301" s="3" t="n">
        <v>4</v>
      </c>
      <c r="L301" s="3" t="n">
        <v>1</v>
      </c>
      <c r="M301" s="3" t="n">
        <v>5</v>
      </c>
      <c r="N301" s="3" t="n">
        <v>4</v>
      </c>
      <c r="O301" s="6" t="b">
        <f aca="false">FALSE()</f>
        <v>0</v>
      </c>
      <c r="P301" s="3" t="s">
        <v>44</v>
      </c>
      <c r="Q301" s="5" t="n">
        <v>46152.4847222222</v>
      </c>
      <c r="R301" s="5" t="n">
        <v>46152.6458333333</v>
      </c>
      <c r="S301" s="3" t="s">
        <v>37</v>
      </c>
      <c r="T301" s="7" t="n">
        <f aca="false">ROUND(MIN(IF(OR(O301=TRUE(),O301="TRUE",O301="Yes"),59,100),(I301*Rubric!$C$2+J301*Rubric!$C$3+K301*Rubric!$C$4+L301*Rubric!$C$5+M301*Rubric!$C$6+N301*Rubric!$C$7)/5),1)</f>
        <v>78</v>
      </c>
      <c r="U301" s="8" t="str">
        <f aca="false">LOOKUP(T301,Bands!$A$2:$A$6,Bands!$B$2:$B$6)</f>
        <v>Meets Expectations</v>
      </c>
      <c r="V301" s="8" t="n">
        <f aca="false">IF(Q301="","",ROUND((Q301-B301)*24,1))</f>
        <v>120</v>
      </c>
    </row>
    <row r="302" customFormat="false" ht="15" hidden="false" customHeight="false" outlineLevel="0" collapsed="false">
      <c r="A302" s="3" t="s">
        <v>733</v>
      </c>
      <c r="B302" s="5" t="n">
        <v>46148.4326388889</v>
      </c>
      <c r="C302" s="3" t="s">
        <v>39</v>
      </c>
      <c r="D302" s="3" t="s">
        <v>161</v>
      </c>
      <c r="E302" s="3" t="s">
        <v>162</v>
      </c>
      <c r="F302" s="3" t="s">
        <v>33</v>
      </c>
      <c r="G302" s="3" t="s">
        <v>34</v>
      </c>
      <c r="H302" s="3" t="s">
        <v>734</v>
      </c>
      <c r="I302" s="3" t="n">
        <v>4</v>
      </c>
      <c r="J302" s="3" t="n">
        <v>4</v>
      </c>
      <c r="K302" s="3" t="n">
        <v>4</v>
      </c>
      <c r="L302" s="3" t="n">
        <v>4</v>
      </c>
      <c r="M302" s="3" t="n">
        <v>3</v>
      </c>
      <c r="N302" s="3" t="n">
        <v>5</v>
      </c>
      <c r="O302" s="6" t="b">
        <f aca="false">FALSE()</f>
        <v>0</v>
      </c>
      <c r="P302" s="3"/>
      <c r="Q302" s="5" t="n">
        <v>46152.4326388889</v>
      </c>
      <c r="R302" s="5" t="n">
        <v>46154.39375</v>
      </c>
      <c r="S302" s="3" t="s">
        <v>37</v>
      </c>
      <c r="T302" s="7" t="n">
        <f aca="false">ROUND(MIN(IF(OR(O302=TRUE(),O302="TRUE",O302="Yes"),59,100),(I302*Rubric!$C$2+J302*Rubric!$C$3+K302*Rubric!$C$4+L302*Rubric!$C$5+M302*Rubric!$C$6+N302*Rubric!$C$7)/5),1)</f>
        <v>81</v>
      </c>
      <c r="U302" s="8" t="str">
        <f aca="false">LOOKUP(T302,Bands!$A$2:$A$6,Bands!$B$2:$B$6)</f>
        <v>Solid Performance</v>
      </c>
      <c r="V302" s="8" t="n">
        <f aca="false">IF(Q302="","",ROUND((Q302-B302)*24,1))</f>
        <v>96</v>
      </c>
    </row>
    <row r="303" customFormat="false" ht="15" hidden="false" customHeight="false" outlineLevel="0" collapsed="false">
      <c r="A303" s="3" t="s">
        <v>735</v>
      </c>
      <c r="B303" s="5" t="n">
        <v>46148.53125</v>
      </c>
      <c r="C303" s="3" t="s">
        <v>68</v>
      </c>
      <c r="D303" s="3" t="s">
        <v>63</v>
      </c>
      <c r="E303" s="3" t="s">
        <v>64</v>
      </c>
      <c r="F303" s="3" t="s">
        <v>65</v>
      </c>
      <c r="G303" s="3" t="s">
        <v>54</v>
      </c>
      <c r="H303" s="3" t="s">
        <v>736</v>
      </c>
      <c r="I303" s="3" t="n">
        <v>4</v>
      </c>
      <c r="J303" s="3" t="n">
        <v>4</v>
      </c>
      <c r="K303" s="3" t="n">
        <v>3</v>
      </c>
      <c r="L303" s="3" t="n">
        <v>4</v>
      </c>
      <c r="M303" s="3" t="n">
        <v>4</v>
      </c>
      <c r="N303" s="3" t="n">
        <v>4</v>
      </c>
      <c r="O303" s="6" t="b">
        <f aca="false">FALSE()</f>
        <v>0</v>
      </c>
      <c r="P303" s="3"/>
      <c r="Q303" s="5" t="n">
        <v>46153.53125</v>
      </c>
      <c r="R303" s="5" t="n">
        <v>46155</v>
      </c>
      <c r="S303" s="3" t="s">
        <v>37</v>
      </c>
      <c r="T303" s="7" t="n">
        <f aca="false">ROUND(MIN(IF(OR(O303=TRUE(),O303="TRUE",O303="Yes"),59,100),(I303*Rubric!$C$2+J303*Rubric!$C$3+K303*Rubric!$C$4+L303*Rubric!$C$5+M303*Rubric!$C$6+N303*Rubric!$C$7)/5),1)</f>
        <v>76</v>
      </c>
      <c r="U303" s="8" t="str">
        <f aca="false">LOOKUP(T303,Bands!$A$2:$A$6,Bands!$B$2:$B$6)</f>
        <v>Meets Expectations</v>
      </c>
      <c r="V303" s="8" t="n">
        <f aca="false">IF(Q303="","",ROUND((Q303-B303)*24,1))</f>
        <v>120</v>
      </c>
    </row>
    <row r="304" customFormat="false" ht="15" hidden="false" customHeight="false" outlineLevel="0" collapsed="false">
      <c r="A304" s="3" t="s">
        <v>737</v>
      </c>
      <c r="B304" s="5" t="n">
        <v>46148.6458333333</v>
      </c>
      <c r="C304" s="3" t="s">
        <v>39</v>
      </c>
      <c r="D304" s="3" t="s">
        <v>194</v>
      </c>
      <c r="E304" s="3" t="s">
        <v>195</v>
      </c>
      <c r="F304" s="3" t="s">
        <v>53</v>
      </c>
      <c r="G304" s="3" t="s">
        <v>54</v>
      </c>
      <c r="H304" s="3" t="s">
        <v>738</v>
      </c>
      <c r="I304" s="3" t="n">
        <v>5</v>
      </c>
      <c r="J304" s="3" t="n">
        <v>4</v>
      </c>
      <c r="K304" s="3" t="n">
        <v>4</v>
      </c>
      <c r="L304" s="3" t="n">
        <v>2</v>
      </c>
      <c r="M304" s="3" t="n">
        <v>5</v>
      </c>
      <c r="N304" s="3" t="n">
        <v>4</v>
      </c>
      <c r="O304" s="6" t="b">
        <f aca="false">FALSE()</f>
        <v>0</v>
      </c>
      <c r="P304" s="3" t="s">
        <v>44</v>
      </c>
      <c r="Q304" s="5" t="n">
        <v>46152.6458333333</v>
      </c>
      <c r="R304" s="5" t="n">
        <v>46152.9256944444</v>
      </c>
      <c r="S304" s="3" t="s">
        <v>37</v>
      </c>
      <c r="T304" s="7" t="n">
        <f aca="false">ROUND(MIN(IF(OR(O304=TRUE(),O304="TRUE",O304="Yes"),59,100),(I304*Rubric!$C$2+J304*Rubric!$C$3+K304*Rubric!$C$4+L304*Rubric!$C$5+M304*Rubric!$C$6+N304*Rubric!$C$7)/5),1)</f>
        <v>79</v>
      </c>
      <c r="U304" s="8" t="str">
        <f aca="false">LOOKUP(T304,Bands!$A$2:$A$6,Bands!$B$2:$B$6)</f>
        <v>Meets Expectations</v>
      </c>
      <c r="V304" s="8" t="n">
        <f aca="false">IF(Q304="","",ROUND((Q304-B304)*24,1))</f>
        <v>96</v>
      </c>
    </row>
    <row r="305" customFormat="false" ht="15" hidden="false" customHeight="false" outlineLevel="0" collapsed="false">
      <c r="A305" s="3" t="s">
        <v>739</v>
      </c>
      <c r="B305" s="5" t="n">
        <v>46148.4881944444</v>
      </c>
      <c r="C305" s="3" t="s">
        <v>30</v>
      </c>
      <c r="D305" s="3" t="s">
        <v>137</v>
      </c>
      <c r="E305" s="3" t="s">
        <v>138</v>
      </c>
      <c r="F305" s="3" t="s">
        <v>65</v>
      </c>
      <c r="G305" s="3" t="s">
        <v>42</v>
      </c>
      <c r="H305" s="3" t="s">
        <v>740</v>
      </c>
      <c r="I305" s="3" t="n">
        <v>2</v>
      </c>
      <c r="J305" s="3" t="n">
        <v>5</v>
      </c>
      <c r="K305" s="3" t="n">
        <v>5</v>
      </c>
      <c r="L305" s="3" t="n">
        <v>5</v>
      </c>
      <c r="M305" s="3" t="n">
        <v>5</v>
      </c>
      <c r="N305" s="3" t="n">
        <v>5</v>
      </c>
      <c r="O305" s="6" t="b">
        <f aca="false">FALSE()</f>
        <v>0</v>
      </c>
      <c r="P305" s="3" t="s">
        <v>88</v>
      </c>
      <c r="Q305" s="5" t="n">
        <v>46152.4881944444</v>
      </c>
      <c r="R305" s="5" t="n">
        <v>46152.5618055556</v>
      </c>
      <c r="S305" s="3" t="s">
        <v>37</v>
      </c>
      <c r="T305" s="7" t="n">
        <f aca="false">ROUND(MIN(IF(OR(O305=TRUE(),O305="TRUE",O305="Yes"),59,100),(I305*Rubric!$C$2+J305*Rubric!$C$3+K305*Rubric!$C$4+L305*Rubric!$C$5+M305*Rubric!$C$6+N305*Rubric!$C$7)/5),1)</f>
        <v>91</v>
      </c>
      <c r="U305" s="8" t="str">
        <f aca="false">LOOKUP(T305,Bands!$A$2:$A$6,Bands!$B$2:$B$6)</f>
        <v>Outstanding</v>
      </c>
      <c r="V305" s="8" t="n">
        <f aca="false">IF(Q305="","",ROUND((Q305-B305)*24,1))</f>
        <v>96</v>
      </c>
    </row>
    <row r="306" customFormat="false" ht="15" hidden="false" customHeight="false" outlineLevel="0" collapsed="false">
      <c r="A306" s="3" t="s">
        <v>741</v>
      </c>
      <c r="B306" s="5" t="n">
        <v>46148.6895833333</v>
      </c>
      <c r="C306" s="3" t="s">
        <v>39</v>
      </c>
      <c r="D306" s="3" t="s">
        <v>111</v>
      </c>
      <c r="E306" s="3" t="s">
        <v>112</v>
      </c>
      <c r="F306" s="3" t="s">
        <v>33</v>
      </c>
      <c r="G306" s="3" t="s">
        <v>42</v>
      </c>
      <c r="H306" s="3" t="s">
        <v>742</v>
      </c>
      <c r="I306" s="3" t="n">
        <v>2</v>
      </c>
      <c r="J306" s="3" t="n">
        <v>4</v>
      </c>
      <c r="K306" s="3" t="n">
        <v>4</v>
      </c>
      <c r="L306" s="3" t="n">
        <v>5</v>
      </c>
      <c r="M306" s="3" t="n">
        <v>4</v>
      </c>
      <c r="N306" s="3" t="n">
        <v>4</v>
      </c>
      <c r="O306" s="6" t="b">
        <f aca="false">FALSE()</f>
        <v>0</v>
      </c>
      <c r="P306" s="3" t="s">
        <v>88</v>
      </c>
      <c r="Q306" s="5" t="n">
        <v>46155.6895833333</v>
      </c>
      <c r="R306" s="5" t="n">
        <v>46156.8618055556</v>
      </c>
      <c r="S306" s="3" t="s">
        <v>37</v>
      </c>
      <c r="T306" s="7" t="n">
        <f aca="false">ROUND(MIN(IF(OR(O306=TRUE(),O306="TRUE",O306="Yes"),59,100),(I306*Rubric!$C$2+J306*Rubric!$C$3+K306*Rubric!$C$4+L306*Rubric!$C$5+M306*Rubric!$C$6+N306*Rubric!$C$7)/5),1)</f>
        <v>77</v>
      </c>
      <c r="U306" s="8" t="str">
        <f aca="false">LOOKUP(T306,Bands!$A$2:$A$6,Bands!$B$2:$B$6)</f>
        <v>Meets Expectations</v>
      </c>
      <c r="V306" s="8" t="n">
        <f aca="false">IF(Q306="","",ROUND((Q306-B306)*24,1))</f>
        <v>168</v>
      </c>
    </row>
    <row r="307" customFormat="false" ht="15" hidden="false" customHeight="false" outlineLevel="0" collapsed="false">
      <c r="A307" s="3" t="s">
        <v>743</v>
      </c>
      <c r="B307" s="5" t="n">
        <v>46148.4569444444</v>
      </c>
      <c r="C307" s="3" t="s">
        <v>39</v>
      </c>
      <c r="D307" s="3" t="s">
        <v>366</v>
      </c>
      <c r="E307" s="3" t="s">
        <v>367</v>
      </c>
      <c r="F307" s="3" t="s">
        <v>53</v>
      </c>
      <c r="G307" s="3" t="s">
        <v>54</v>
      </c>
      <c r="H307" s="3" t="s">
        <v>744</v>
      </c>
      <c r="I307" s="3" t="n">
        <v>4</v>
      </c>
      <c r="J307" s="3" t="n">
        <v>5</v>
      </c>
      <c r="K307" s="3" t="n">
        <v>2</v>
      </c>
      <c r="L307" s="3" t="n">
        <v>5</v>
      </c>
      <c r="M307" s="3" t="n">
        <v>4</v>
      </c>
      <c r="N307" s="3" t="n">
        <v>4</v>
      </c>
      <c r="O307" s="6" t="b">
        <f aca="false">FALSE()</f>
        <v>0</v>
      </c>
      <c r="P307" s="3" t="s">
        <v>49</v>
      </c>
      <c r="Q307" s="5" t="n">
        <v>46152.4569444444</v>
      </c>
      <c r="R307" s="5" t="n">
        <v>46153.0840277778</v>
      </c>
      <c r="S307" s="3" t="s">
        <v>37</v>
      </c>
      <c r="T307" s="7" t="n">
        <f aca="false">ROUND(MIN(IF(OR(O307=TRUE(),O307="TRUE",O307="Yes"),59,100),(I307*Rubric!$C$2+J307*Rubric!$C$3+K307*Rubric!$C$4+L307*Rubric!$C$5+M307*Rubric!$C$6+N307*Rubric!$C$7)/5),1)</f>
        <v>80</v>
      </c>
      <c r="U307" s="8" t="str">
        <f aca="false">LOOKUP(T307,Bands!$A$2:$A$6,Bands!$B$2:$B$6)</f>
        <v>Solid Performance</v>
      </c>
      <c r="V307" s="8" t="n">
        <f aca="false">IF(Q307="","",ROUND((Q307-B307)*24,1))</f>
        <v>96</v>
      </c>
    </row>
    <row r="308" customFormat="false" ht="15" hidden="false" customHeight="false" outlineLevel="0" collapsed="false">
      <c r="A308" s="3" t="s">
        <v>745</v>
      </c>
      <c r="B308" s="5" t="n">
        <v>46148.5076388889</v>
      </c>
      <c r="C308" s="3" t="s">
        <v>39</v>
      </c>
      <c r="D308" s="3" t="s">
        <v>133</v>
      </c>
      <c r="E308" s="3" t="s">
        <v>134</v>
      </c>
      <c r="F308" s="3" t="s">
        <v>33</v>
      </c>
      <c r="G308" s="3" t="s">
        <v>54</v>
      </c>
      <c r="H308" s="3" t="s">
        <v>746</v>
      </c>
      <c r="I308" s="3" t="n">
        <v>4</v>
      </c>
      <c r="J308" s="3" t="n">
        <v>3</v>
      </c>
      <c r="K308" s="3" t="n">
        <v>5</v>
      </c>
      <c r="L308" s="3" t="n">
        <v>5</v>
      </c>
      <c r="M308" s="3" t="n">
        <v>4</v>
      </c>
      <c r="N308" s="3" t="n">
        <v>4</v>
      </c>
      <c r="O308" s="6" t="b">
        <f aca="false">FALSE()</f>
        <v>0</v>
      </c>
      <c r="P308" s="3"/>
      <c r="Q308" s="5" t="n">
        <v>46157.5076388889</v>
      </c>
      <c r="R308" s="5" t="n">
        <v>46158.0013888889</v>
      </c>
      <c r="S308" s="3" t="s">
        <v>37</v>
      </c>
      <c r="T308" s="7" t="n">
        <f aca="false">ROUND(MIN(IF(OR(O308=TRUE(),O308="TRUE",O308="Yes"),59,100),(I308*Rubric!$C$2+J308*Rubric!$C$3+K308*Rubric!$C$4+L308*Rubric!$C$5+M308*Rubric!$C$6+N308*Rubric!$C$7)/5),1)</f>
        <v>82</v>
      </c>
      <c r="U308" s="8" t="str">
        <f aca="false">LOOKUP(T308,Bands!$A$2:$A$6,Bands!$B$2:$B$6)</f>
        <v>Solid Performance</v>
      </c>
      <c r="V308" s="8" t="n">
        <f aca="false">IF(Q308="","",ROUND((Q308-B308)*24,1))</f>
        <v>216</v>
      </c>
    </row>
    <row r="309" customFormat="false" ht="15" hidden="false" customHeight="false" outlineLevel="0" collapsed="false">
      <c r="A309" s="3" t="s">
        <v>747</v>
      </c>
      <c r="B309" s="5" t="n">
        <v>46148.6145833333</v>
      </c>
      <c r="C309" s="3" t="s">
        <v>39</v>
      </c>
      <c r="D309" s="3" t="s">
        <v>31</v>
      </c>
      <c r="E309" s="3" t="s">
        <v>32</v>
      </c>
      <c r="F309" s="3" t="s">
        <v>33</v>
      </c>
      <c r="G309" s="3" t="s">
        <v>54</v>
      </c>
      <c r="H309" s="3" t="s">
        <v>748</v>
      </c>
      <c r="I309" s="3" t="n">
        <v>4</v>
      </c>
      <c r="J309" s="3" t="n">
        <v>4</v>
      </c>
      <c r="K309" s="3" t="n">
        <v>5</v>
      </c>
      <c r="L309" s="3" t="n">
        <v>5</v>
      </c>
      <c r="M309" s="3" t="n">
        <v>5</v>
      </c>
      <c r="N309" s="3" t="n">
        <v>2</v>
      </c>
      <c r="O309" s="6" t="b">
        <f aca="false">FALSE()</f>
        <v>0</v>
      </c>
      <c r="P309" s="3" t="s">
        <v>36</v>
      </c>
      <c r="Q309" s="5" t="n">
        <v>46152.6145833333</v>
      </c>
      <c r="R309" s="5" t="n">
        <v>46153.4055555556</v>
      </c>
      <c r="S309" s="3" t="s">
        <v>37</v>
      </c>
      <c r="T309" s="7" t="n">
        <f aca="false">ROUND(MIN(IF(OR(O309=TRUE(),O309="TRUE",O309="Yes"),59,100),(I309*Rubric!$C$2+J309*Rubric!$C$3+K309*Rubric!$C$4+L309*Rubric!$C$5+M309*Rubric!$C$6+N309*Rubric!$C$7)/5),1)</f>
        <v>83</v>
      </c>
      <c r="U309" s="8" t="str">
        <f aca="false">LOOKUP(T309,Bands!$A$2:$A$6,Bands!$B$2:$B$6)</f>
        <v>Solid Performance</v>
      </c>
      <c r="V309" s="8" t="n">
        <f aca="false">IF(Q309="","",ROUND((Q309-B309)*24,1))</f>
        <v>96</v>
      </c>
    </row>
    <row r="310" customFormat="false" ht="15" hidden="false" customHeight="false" outlineLevel="0" collapsed="false">
      <c r="A310" s="3" t="s">
        <v>749</v>
      </c>
      <c r="B310" s="5" t="n">
        <v>46148.39375</v>
      </c>
      <c r="C310" s="3" t="s">
        <v>39</v>
      </c>
      <c r="D310" s="3" t="s">
        <v>222</v>
      </c>
      <c r="E310" s="3" t="s">
        <v>223</v>
      </c>
      <c r="F310" s="3" t="s">
        <v>53</v>
      </c>
      <c r="G310" s="3" t="s">
        <v>34</v>
      </c>
      <c r="H310" s="3" t="s">
        <v>750</v>
      </c>
      <c r="I310" s="3" t="n">
        <v>5</v>
      </c>
      <c r="J310" s="3" t="n">
        <v>4</v>
      </c>
      <c r="K310" s="3" t="n">
        <v>4</v>
      </c>
      <c r="L310" s="3" t="n">
        <v>4</v>
      </c>
      <c r="M310" s="3" t="n">
        <v>4</v>
      </c>
      <c r="N310" s="3" t="n">
        <v>2</v>
      </c>
      <c r="O310" s="6" t="b">
        <f aca="false">FALSE()</f>
        <v>0</v>
      </c>
      <c r="P310" s="3" t="s">
        <v>36</v>
      </c>
      <c r="Q310" s="5" t="n">
        <v>46155.39375</v>
      </c>
      <c r="R310" s="5" t="n">
        <v>46156.7875</v>
      </c>
      <c r="S310" s="3" t="s">
        <v>37</v>
      </c>
      <c r="T310" s="7" t="n">
        <f aca="false">ROUND(MIN(IF(OR(O310=TRUE(),O310="TRUE",O310="Yes"),59,100),(I310*Rubric!$C$2+J310*Rubric!$C$3+K310*Rubric!$C$4+L310*Rubric!$C$5+M310*Rubric!$C$6+N310*Rubric!$C$7)/5),1)</f>
        <v>77</v>
      </c>
      <c r="U310" s="8" t="str">
        <f aca="false">LOOKUP(T310,Bands!$A$2:$A$6,Bands!$B$2:$B$6)</f>
        <v>Meets Expectations</v>
      </c>
      <c r="V310" s="8" t="n">
        <f aca="false">IF(Q310="","",ROUND((Q310-B310)*24,1))</f>
        <v>168</v>
      </c>
    </row>
    <row r="311" customFormat="false" ht="15" hidden="false" customHeight="false" outlineLevel="0" collapsed="false">
      <c r="A311" s="3" t="s">
        <v>751</v>
      </c>
      <c r="B311" s="5" t="n">
        <v>46148.475</v>
      </c>
      <c r="C311" s="3" t="s">
        <v>30</v>
      </c>
      <c r="D311" s="3" t="s">
        <v>81</v>
      </c>
      <c r="E311" s="3" t="s">
        <v>82</v>
      </c>
      <c r="F311" s="3" t="s">
        <v>65</v>
      </c>
      <c r="G311" s="3" t="s">
        <v>42</v>
      </c>
      <c r="H311" s="3" t="s">
        <v>752</v>
      </c>
      <c r="I311" s="3" t="n">
        <v>3</v>
      </c>
      <c r="J311" s="3" t="n">
        <v>4</v>
      </c>
      <c r="K311" s="3" t="n">
        <v>4</v>
      </c>
      <c r="L311" s="3" t="n">
        <v>4</v>
      </c>
      <c r="M311" s="3" t="n">
        <v>4</v>
      </c>
      <c r="N311" s="3" t="n">
        <v>4</v>
      </c>
      <c r="O311" s="6" t="b">
        <f aca="false">FALSE()</f>
        <v>0</v>
      </c>
      <c r="P311" s="3"/>
      <c r="Q311" s="5" t="n">
        <v>46155.475</v>
      </c>
      <c r="R311" s="5" t="n">
        <v>46157.4625</v>
      </c>
      <c r="S311" s="3" t="s">
        <v>37</v>
      </c>
      <c r="T311" s="7" t="n">
        <f aca="false">ROUND(MIN(IF(OR(O311=TRUE(),O311="TRUE",O311="Yes"),59,100),(I311*Rubric!$C$2+J311*Rubric!$C$3+K311*Rubric!$C$4+L311*Rubric!$C$5+M311*Rubric!$C$6+N311*Rubric!$C$7)/5),1)</f>
        <v>77</v>
      </c>
      <c r="U311" s="8" t="str">
        <f aca="false">LOOKUP(T311,Bands!$A$2:$A$6,Bands!$B$2:$B$6)</f>
        <v>Meets Expectations</v>
      </c>
      <c r="V311" s="8" t="n">
        <f aca="false">IF(Q311="","",ROUND((Q311-B311)*24,1))</f>
        <v>168</v>
      </c>
    </row>
    <row r="312" customFormat="false" ht="15" hidden="false" customHeight="false" outlineLevel="0" collapsed="false">
      <c r="A312" s="3" t="s">
        <v>753</v>
      </c>
      <c r="B312" s="5" t="n">
        <v>46148.5534722222</v>
      </c>
      <c r="C312" s="3" t="s">
        <v>68</v>
      </c>
      <c r="D312" s="3" t="s">
        <v>202</v>
      </c>
      <c r="E312" s="3" t="s">
        <v>203</v>
      </c>
      <c r="F312" s="3" t="s">
        <v>53</v>
      </c>
      <c r="G312" s="3" t="s">
        <v>54</v>
      </c>
      <c r="H312" s="3" t="s">
        <v>754</v>
      </c>
      <c r="I312" s="3" t="n">
        <v>4</v>
      </c>
      <c r="J312" s="3" t="n">
        <v>4</v>
      </c>
      <c r="K312" s="3" t="n">
        <v>3</v>
      </c>
      <c r="L312" s="3" t="n">
        <v>2</v>
      </c>
      <c r="M312" s="3" t="n">
        <v>3</v>
      </c>
      <c r="N312" s="3" t="n">
        <v>3</v>
      </c>
      <c r="O312" s="6" t="b">
        <f aca="false">FALSE()</f>
        <v>0</v>
      </c>
      <c r="P312" s="3" t="s">
        <v>44</v>
      </c>
      <c r="Q312" s="5" t="n">
        <v>46157.5534722222</v>
      </c>
      <c r="R312" s="5" t="n">
        <v>46159.9340277778</v>
      </c>
      <c r="S312" s="3" t="s">
        <v>37</v>
      </c>
      <c r="T312" s="7" t="n">
        <f aca="false">ROUND(MIN(IF(OR(O312=TRUE(),O312="TRUE",O312="Yes"),59,100),(I312*Rubric!$C$2+J312*Rubric!$C$3+K312*Rubric!$C$4+L312*Rubric!$C$5+M312*Rubric!$C$6+N312*Rubric!$C$7)/5),1)</f>
        <v>65</v>
      </c>
      <c r="U312" s="8" t="str">
        <f aca="false">LOOKUP(T312,Bands!$A$2:$A$6,Bands!$B$2:$B$6)</f>
        <v>Needs Improvement</v>
      </c>
      <c r="V312" s="8" t="n">
        <f aca="false">IF(Q312="","",ROUND((Q312-B312)*24,1))</f>
        <v>216</v>
      </c>
    </row>
    <row r="313" customFormat="false" ht="15" hidden="false" customHeight="false" outlineLevel="0" collapsed="false">
      <c r="A313" s="3" t="s">
        <v>755</v>
      </c>
      <c r="B313" s="5" t="n">
        <v>46148.4666666667</v>
      </c>
      <c r="C313" s="3" t="s">
        <v>30</v>
      </c>
      <c r="D313" s="3" t="s">
        <v>40</v>
      </c>
      <c r="E313" s="3" t="s">
        <v>41</v>
      </c>
      <c r="F313" s="3" t="s">
        <v>33</v>
      </c>
      <c r="G313" s="3" t="s">
        <v>54</v>
      </c>
      <c r="H313" s="3" t="s">
        <v>756</v>
      </c>
      <c r="I313" s="3" t="n">
        <v>5</v>
      </c>
      <c r="J313" s="3" t="n">
        <v>5</v>
      </c>
      <c r="K313" s="3" t="n">
        <v>3</v>
      </c>
      <c r="L313" s="3" t="n">
        <v>1</v>
      </c>
      <c r="M313" s="3" t="n">
        <v>4</v>
      </c>
      <c r="N313" s="3" t="n">
        <v>4</v>
      </c>
      <c r="O313" s="6" t="b">
        <f aca="false">FALSE()</f>
        <v>0</v>
      </c>
      <c r="P313" s="3" t="s">
        <v>44</v>
      </c>
      <c r="Q313" s="5" t="n">
        <v>46152.4666666667</v>
      </c>
      <c r="R313" s="5" t="n">
        <v>46153.1833333333</v>
      </c>
      <c r="S313" s="3" t="s">
        <v>37</v>
      </c>
      <c r="T313" s="7" t="n">
        <f aca="false">ROUND(MIN(IF(OR(O313=TRUE(),O313="TRUE",O313="Yes"),59,100),(I313*Rubric!$C$2+J313*Rubric!$C$3+K313*Rubric!$C$4+L313*Rubric!$C$5+M313*Rubric!$C$6+N313*Rubric!$C$7)/5),1)</f>
        <v>75</v>
      </c>
      <c r="U313" s="8" t="str">
        <f aca="false">LOOKUP(T313,Bands!$A$2:$A$6,Bands!$B$2:$B$6)</f>
        <v>Meets Expectations</v>
      </c>
      <c r="V313" s="8" t="n">
        <f aca="false">IF(Q313="","",ROUND((Q313-B313)*24,1))</f>
        <v>96</v>
      </c>
    </row>
    <row r="314" customFormat="false" ht="15" hidden="false" customHeight="false" outlineLevel="0" collapsed="false">
      <c r="A314" s="3" t="s">
        <v>757</v>
      </c>
      <c r="B314" s="5" t="n">
        <v>46149.6604166667</v>
      </c>
      <c r="C314" s="3" t="s">
        <v>68</v>
      </c>
      <c r="D314" s="3" t="s">
        <v>151</v>
      </c>
      <c r="E314" s="3" t="s">
        <v>152</v>
      </c>
      <c r="F314" s="3" t="s">
        <v>33</v>
      </c>
      <c r="G314" s="3" t="s">
        <v>42</v>
      </c>
      <c r="H314" s="3" t="s">
        <v>758</v>
      </c>
      <c r="I314" s="3" t="n">
        <v>4</v>
      </c>
      <c r="J314" s="3" t="n">
        <v>3</v>
      </c>
      <c r="K314" s="3" t="n">
        <v>5</v>
      </c>
      <c r="L314" s="3" t="n">
        <v>4</v>
      </c>
      <c r="M314" s="3" t="n">
        <v>4</v>
      </c>
      <c r="N314" s="3" t="n">
        <v>5</v>
      </c>
      <c r="O314" s="6" t="b">
        <f aca="false">FALSE()</f>
        <v>0</v>
      </c>
      <c r="P314" s="3"/>
      <c r="Q314" s="5" t="n">
        <v>46154.6604166667</v>
      </c>
      <c r="R314" s="5" t="n">
        <v>46155.0041666667</v>
      </c>
      <c r="S314" s="3" t="s">
        <v>37</v>
      </c>
      <c r="T314" s="7" t="n">
        <f aca="false">ROUND(MIN(IF(OR(O314=TRUE(),O314="TRUE",O314="Yes"),59,100),(I314*Rubric!$C$2+J314*Rubric!$C$3+K314*Rubric!$C$4+L314*Rubric!$C$5+M314*Rubric!$C$6+N314*Rubric!$C$7)/5),1)</f>
        <v>82</v>
      </c>
      <c r="U314" s="8" t="str">
        <f aca="false">LOOKUP(T314,Bands!$A$2:$A$6,Bands!$B$2:$B$6)</f>
        <v>Solid Performance</v>
      </c>
      <c r="V314" s="8" t="n">
        <f aca="false">IF(Q314="","",ROUND((Q314-B314)*24,1))</f>
        <v>120</v>
      </c>
    </row>
    <row r="315" customFormat="false" ht="15" hidden="false" customHeight="false" outlineLevel="0" collapsed="false">
      <c r="A315" s="3" t="s">
        <v>759</v>
      </c>
      <c r="B315" s="5" t="n">
        <v>46149.3777777778</v>
      </c>
      <c r="C315" s="3" t="s">
        <v>68</v>
      </c>
      <c r="D315" s="3" t="s">
        <v>198</v>
      </c>
      <c r="E315" s="3" t="s">
        <v>199</v>
      </c>
      <c r="F315" s="3" t="s">
        <v>33</v>
      </c>
      <c r="G315" s="3" t="s">
        <v>42</v>
      </c>
      <c r="H315" s="3" t="s">
        <v>760</v>
      </c>
      <c r="I315" s="3" t="n">
        <v>4</v>
      </c>
      <c r="J315" s="3" t="n">
        <v>2</v>
      </c>
      <c r="K315" s="3" t="n">
        <v>5</v>
      </c>
      <c r="L315" s="3" t="n">
        <v>4</v>
      </c>
      <c r="M315" s="3" t="n">
        <v>4</v>
      </c>
      <c r="N315" s="3" t="n">
        <v>4</v>
      </c>
      <c r="O315" s="6" t="b">
        <f aca="false">FALSE()</f>
        <v>0</v>
      </c>
      <c r="P315" s="3" t="s">
        <v>56</v>
      </c>
      <c r="Q315" s="5" t="n">
        <v>46153.3777777778</v>
      </c>
      <c r="R315" s="5" t="n">
        <v>46155.34375</v>
      </c>
      <c r="S315" s="3" t="s">
        <v>37</v>
      </c>
      <c r="T315" s="7" t="n">
        <f aca="false">ROUND(MIN(IF(OR(O315=TRUE(),O315="TRUE",O315="Yes"),59,100),(I315*Rubric!$C$2+J315*Rubric!$C$3+K315*Rubric!$C$4+L315*Rubric!$C$5+M315*Rubric!$C$6+N315*Rubric!$C$7)/5),1)</f>
        <v>74</v>
      </c>
      <c r="U315" s="8" t="str">
        <f aca="false">LOOKUP(T315,Bands!$A$2:$A$6,Bands!$B$2:$B$6)</f>
        <v>Meets Expectations</v>
      </c>
      <c r="V315" s="8" t="n">
        <f aca="false">IF(Q315="","",ROUND((Q315-B315)*24,1))</f>
        <v>96</v>
      </c>
    </row>
    <row r="316" customFormat="false" ht="15" hidden="false" customHeight="false" outlineLevel="0" collapsed="false">
      <c r="A316" s="3" t="s">
        <v>761</v>
      </c>
      <c r="B316" s="5" t="n">
        <v>46149.4986111111</v>
      </c>
      <c r="C316" s="3" t="s">
        <v>68</v>
      </c>
      <c r="D316" s="3" t="s">
        <v>293</v>
      </c>
      <c r="E316" s="3" t="s">
        <v>294</v>
      </c>
      <c r="F316" s="3" t="s">
        <v>65</v>
      </c>
      <c r="G316" s="3" t="s">
        <v>54</v>
      </c>
      <c r="H316" s="3" t="s">
        <v>762</v>
      </c>
      <c r="I316" s="3" t="n">
        <v>5</v>
      </c>
      <c r="J316" s="3" t="n">
        <v>5</v>
      </c>
      <c r="K316" s="3" t="n">
        <v>5</v>
      </c>
      <c r="L316" s="3" t="n">
        <v>2</v>
      </c>
      <c r="M316" s="3" t="n">
        <v>5</v>
      </c>
      <c r="N316" s="3" t="n">
        <v>5</v>
      </c>
      <c r="O316" s="6" t="b">
        <f aca="false">FALSE()</f>
        <v>0</v>
      </c>
      <c r="P316" s="3" t="s">
        <v>44</v>
      </c>
      <c r="Q316" s="5" t="n">
        <v>46152.4986111111</v>
      </c>
      <c r="R316" s="5" t="n">
        <v>46153.2840277778</v>
      </c>
      <c r="S316" s="3" t="s">
        <v>37</v>
      </c>
      <c r="T316" s="7" t="n">
        <f aca="false">ROUND(MIN(IF(OR(O316=TRUE(),O316="TRUE",O316="Yes"),59,100),(I316*Rubric!$C$2+J316*Rubric!$C$3+K316*Rubric!$C$4+L316*Rubric!$C$5+M316*Rubric!$C$6+N316*Rubric!$C$7)/5),1)</f>
        <v>91</v>
      </c>
      <c r="U316" s="8" t="str">
        <f aca="false">LOOKUP(T316,Bands!$A$2:$A$6,Bands!$B$2:$B$6)</f>
        <v>Outstanding</v>
      </c>
      <c r="V316" s="8" t="n">
        <f aca="false">IF(Q316="","",ROUND((Q316-B316)*24,1))</f>
        <v>72</v>
      </c>
    </row>
    <row r="317" customFormat="false" ht="15" hidden="false" customHeight="false" outlineLevel="0" collapsed="false">
      <c r="A317" s="3" t="s">
        <v>763</v>
      </c>
      <c r="B317" s="5" t="n">
        <v>46149.5840277778</v>
      </c>
      <c r="C317" s="3" t="s">
        <v>68</v>
      </c>
      <c r="D317" s="3" t="s">
        <v>111</v>
      </c>
      <c r="E317" s="3" t="s">
        <v>112</v>
      </c>
      <c r="F317" s="3" t="s">
        <v>33</v>
      </c>
      <c r="G317" s="3" t="s">
        <v>54</v>
      </c>
      <c r="H317" s="3" t="s">
        <v>764</v>
      </c>
      <c r="I317" s="3" t="n">
        <v>1</v>
      </c>
      <c r="J317" s="3" t="n">
        <v>5</v>
      </c>
      <c r="K317" s="3" t="n">
        <v>5</v>
      </c>
      <c r="L317" s="3" t="n">
        <v>5</v>
      </c>
      <c r="M317" s="3" t="n">
        <v>5</v>
      </c>
      <c r="N317" s="3" t="n">
        <v>5</v>
      </c>
      <c r="O317" s="6" t="b">
        <f aca="false">FALSE()</f>
        <v>0</v>
      </c>
      <c r="P317" s="3" t="s">
        <v>88</v>
      </c>
      <c r="Q317" s="5" t="n">
        <v>46154.5840277778</v>
      </c>
      <c r="R317" s="5" t="n">
        <v>46155.2069444444</v>
      </c>
      <c r="S317" s="3" t="s">
        <v>37</v>
      </c>
      <c r="T317" s="7" t="n">
        <f aca="false">ROUND(MIN(IF(OR(O317=TRUE(),O317="TRUE",O317="Yes"),59,100),(I317*Rubric!$C$2+J317*Rubric!$C$3+K317*Rubric!$C$4+L317*Rubric!$C$5+M317*Rubric!$C$6+N317*Rubric!$C$7)/5),1)</f>
        <v>88</v>
      </c>
      <c r="U317" s="8" t="str">
        <f aca="false">LOOKUP(T317,Bands!$A$2:$A$6,Bands!$B$2:$B$6)</f>
        <v>Solid Performance</v>
      </c>
      <c r="V317" s="8" t="n">
        <f aca="false">IF(Q317="","",ROUND((Q317-B317)*24,1))</f>
        <v>120</v>
      </c>
    </row>
    <row r="318" customFormat="false" ht="15" hidden="false" customHeight="false" outlineLevel="0" collapsed="false">
      <c r="A318" s="3" t="s">
        <v>765</v>
      </c>
      <c r="B318" s="5" t="n">
        <v>46149.5159722222</v>
      </c>
      <c r="C318" s="3" t="s">
        <v>39</v>
      </c>
      <c r="D318" s="3" t="s">
        <v>100</v>
      </c>
      <c r="E318" s="3" t="s">
        <v>101</v>
      </c>
      <c r="F318" s="3" t="s">
        <v>33</v>
      </c>
      <c r="G318" s="3" t="s">
        <v>42</v>
      </c>
      <c r="H318" s="3" t="s">
        <v>766</v>
      </c>
      <c r="I318" s="3" t="n">
        <v>4</v>
      </c>
      <c r="J318" s="3" t="n">
        <v>4</v>
      </c>
      <c r="K318" s="3" t="n">
        <v>5</v>
      </c>
      <c r="L318" s="3" t="n">
        <v>4</v>
      </c>
      <c r="M318" s="3" t="n">
        <v>3</v>
      </c>
      <c r="N318" s="3" t="n">
        <v>5</v>
      </c>
      <c r="O318" s="6" t="b">
        <f aca="false">FALSE()</f>
        <v>0</v>
      </c>
      <c r="P318" s="3"/>
      <c r="Q318" s="5" t="n">
        <v>46156.5159722222</v>
      </c>
      <c r="R318" s="5" t="n">
        <v>46161.8673611111</v>
      </c>
      <c r="S318" s="3" t="s">
        <v>37</v>
      </c>
      <c r="T318" s="7" t="n">
        <f aca="false">ROUND(MIN(IF(OR(O318=TRUE(),O318="TRUE",O318="Yes"),59,100),(I318*Rubric!$C$2+J318*Rubric!$C$3+K318*Rubric!$C$4+L318*Rubric!$C$5+M318*Rubric!$C$6+N318*Rubric!$C$7)/5),1)</f>
        <v>85</v>
      </c>
      <c r="U318" s="8" t="str">
        <f aca="false">LOOKUP(T318,Bands!$A$2:$A$6,Bands!$B$2:$B$6)</f>
        <v>Solid Performance</v>
      </c>
      <c r="V318" s="8" t="n">
        <f aca="false">IF(Q318="","",ROUND((Q318-B318)*24,1))</f>
        <v>168</v>
      </c>
    </row>
    <row r="319" customFormat="false" ht="15" hidden="false" customHeight="false" outlineLevel="0" collapsed="false">
      <c r="A319" s="3" t="s">
        <v>767</v>
      </c>
      <c r="B319" s="5" t="n">
        <v>46149.5284722222</v>
      </c>
      <c r="C319" s="3" t="s">
        <v>39</v>
      </c>
      <c r="D319" s="3" t="s">
        <v>133</v>
      </c>
      <c r="E319" s="3" t="s">
        <v>134</v>
      </c>
      <c r="F319" s="3" t="s">
        <v>33</v>
      </c>
      <c r="G319" s="3" t="s">
        <v>34</v>
      </c>
      <c r="H319" s="3" t="s">
        <v>768</v>
      </c>
      <c r="I319" s="3" t="n">
        <v>5</v>
      </c>
      <c r="J319" s="3" t="n">
        <v>3</v>
      </c>
      <c r="K319" s="3" t="n">
        <v>4</v>
      </c>
      <c r="L319" s="3" t="n">
        <v>5</v>
      </c>
      <c r="M319" s="3" t="n">
        <v>5</v>
      </c>
      <c r="N319" s="3" t="n">
        <v>5</v>
      </c>
      <c r="O319" s="6" t="b">
        <f aca="false">FALSE()</f>
        <v>0</v>
      </c>
      <c r="P319" s="3"/>
      <c r="Q319" s="5" t="n">
        <v>46152.5284722222</v>
      </c>
      <c r="R319" s="5" t="n">
        <v>46154.2395833333</v>
      </c>
      <c r="S319" s="3" t="s">
        <v>37</v>
      </c>
      <c r="T319" s="7" t="n">
        <f aca="false">ROUND(MIN(IF(OR(O319=TRUE(),O319="TRUE",O319="Yes"),59,100),(I319*Rubric!$C$2+J319*Rubric!$C$3+K319*Rubric!$C$4+L319*Rubric!$C$5+M319*Rubric!$C$6+N319*Rubric!$C$7)/5),1)</f>
        <v>86</v>
      </c>
      <c r="U319" s="8" t="str">
        <f aca="false">LOOKUP(T319,Bands!$A$2:$A$6,Bands!$B$2:$B$6)</f>
        <v>Solid Performance</v>
      </c>
      <c r="V319" s="8" t="n">
        <f aca="false">IF(Q319="","",ROUND((Q319-B319)*24,1))</f>
        <v>72</v>
      </c>
    </row>
    <row r="320" customFormat="false" ht="15" hidden="false" customHeight="false" outlineLevel="0" collapsed="false">
      <c r="A320" s="3" t="s">
        <v>769</v>
      </c>
      <c r="B320" s="5" t="n">
        <v>46149.5840277778</v>
      </c>
      <c r="C320" s="3" t="s">
        <v>39</v>
      </c>
      <c r="D320" s="3" t="s">
        <v>115</v>
      </c>
      <c r="E320" s="3" t="s">
        <v>116</v>
      </c>
      <c r="F320" s="3" t="s">
        <v>33</v>
      </c>
      <c r="G320" s="3" t="s">
        <v>34</v>
      </c>
      <c r="H320" s="3" t="s">
        <v>770</v>
      </c>
      <c r="I320" s="3" t="n">
        <v>5</v>
      </c>
      <c r="J320" s="3" t="n">
        <v>4</v>
      </c>
      <c r="K320" s="3" t="n">
        <v>5</v>
      </c>
      <c r="L320" s="3" t="n">
        <v>5</v>
      </c>
      <c r="M320" s="3" t="n">
        <v>2</v>
      </c>
      <c r="N320" s="3" t="n">
        <v>4</v>
      </c>
      <c r="O320" s="6" t="b">
        <f aca="false">FALSE()</f>
        <v>0</v>
      </c>
      <c r="P320" s="3" t="s">
        <v>103</v>
      </c>
      <c r="Q320" s="5" t="n">
        <v>46156.5840277778</v>
      </c>
      <c r="R320" s="5" t="n">
        <v>46157.4465277778</v>
      </c>
      <c r="S320" s="3" t="s">
        <v>37</v>
      </c>
      <c r="T320" s="7" t="n">
        <f aca="false">ROUND(MIN(IF(OR(O320=TRUE(),O320="TRUE",O320="Yes"),59,100),(I320*Rubric!$C$2+J320*Rubric!$C$3+K320*Rubric!$C$4+L320*Rubric!$C$5+M320*Rubric!$C$6+N320*Rubric!$C$7)/5),1)</f>
        <v>86</v>
      </c>
      <c r="U320" s="8" t="str">
        <f aca="false">LOOKUP(T320,Bands!$A$2:$A$6,Bands!$B$2:$B$6)</f>
        <v>Solid Performance</v>
      </c>
      <c r="V320" s="8" t="n">
        <f aca="false">IF(Q320="","",ROUND((Q320-B320)*24,1))</f>
        <v>168</v>
      </c>
    </row>
    <row r="321" customFormat="false" ht="15" hidden="false" customHeight="false" outlineLevel="0" collapsed="false">
      <c r="A321" s="3" t="s">
        <v>771</v>
      </c>
      <c r="B321" s="5" t="n">
        <v>46149.6604166667</v>
      </c>
      <c r="C321" s="3" t="s">
        <v>30</v>
      </c>
      <c r="D321" s="3" t="s">
        <v>69</v>
      </c>
      <c r="E321" s="3" t="s">
        <v>70</v>
      </c>
      <c r="F321" s="3" t="s">
        <v>65</v>
      </c>
      <c r="G321" s="3" t="s">
        <v>34</v>
      </c>
      <c r="H321" s="3" t="s">
        <v>772</v>
      </c>
      <c r="I321" s="3" t="n">
        <v>4</v>
      </c>
      <c r="J321" s="3" t="n">
        <v>5</v>
      </c>
      <c r="K321" s="3" t="n">
        <v>4</v>
      </c>
      <c r="L321" s="3" t="n">
        <v>5</v>
      </c>
      <c r="M321" s="3" t="n">
        <v>4</v>
      </c>
      <c r="N321" s="3" t="n">
        <v>3</v>
      </c>
      <c r="O321" s="6" t="b">
        <f aca="false">FALSE()</f>
        <v>0</v>
      </c>
      <c r="P321" s="3"/>
      <c r="Q321" s="5" t="n">
        <v>46156.6604166667</v>
      </c>
      <c r="R321" s="5" t="n">
        <v>46157.54375</v>
      </c>
      <c r="S321" s="3" t="s">
        <v>37</v>
      </c>
      <c r="T321" s="7" t="n">
        <f aca="false">ROUND(MIN(IF(OR(O321=TRUE(),O321="TRUE",O321="Yes"),59,100),(I321*Rubric!$C$2+J321*Rubric!$C$3+K321*Rubric!$C$4+L321*Rubric!$C$5+M321*Rubric!$C$6+N321*Rubric!$C$7)/5),1)</f>
        <v>85</v>
      </c>
      <c r="U321" s="8" t="str">
        <f aca="false">LOOKUP(T321,Bands!$A$2:$A$6,Bands!$B$2:$B$6)</f>
        <v>Solid Performance</v>
      </c>
      <c r="V321" s="8" t="n">
        <f aca="false">IF(Q321="","",ROUND((Q321-B321)*24,1))</f>
        <v>168</v>
      </c>
    </row>
    <row r="322" customFormat="false" ht="15" hidden="false" customHeight="false" outlineLevel="0" collapsed="false">
      <c r="A322" s="3" t="s">
        <v>773</v>
      </c>
      <c r="B322" s="5" t="n">
        <v>46149.6034722222</v>
      </c>
      <c r="C322" s="3" t="s">
        <v>30</v>
      </c>
      <c r="D322" s="3" t="s">
        <v>119</v>
      </c>
      <c r="E322" s="3" t="s">
        <v>120</v>
      </c>
      <c r="F322" s="3" t="s">
        <v>33</v>
      </c>
      <c r="G322" s="3" t="s">
        <v>42</v>
      </c>
      <c r="H322" s="3" t="s">
        <v>774</v>
      </c>
      <c r="I322" s="3" t="n">
        <v>4</v>
      </c>
      <c r="J322" s="3" t="n">
        <v>4</v>
      </c>
      <c r="K322" s="3" t="n">
        <v>4</v>
      </c>
      <c r="L322" s="3" t="n">
        <v>5</v>
      </c>
      <c r="M322" s="3" t="n">
        <v>3</v>
      </c>
      <c r="N322" s="3" t="n">
        <v>0</v>
      </c>
      <c r="O322" s="6" t="b">
        <f aca="false">TRUE()</f>
        <v>1</v>
      </c>
      <c r="P322" s="3" t="s">
        <v>36</v>
      </c>
      <c r="Q322" s="5" t="n">
        <v>46155.6034722222</v>
      </c>
      <c r="R322" s="5" t="n">
        <v>46156.0722222222</v>
      </c>
      <c r="S322" s="3" t="s">
        <v>37</v>
      </c>
      <c r="T322" s="7" t="n">
        <f aca="false">ROUND(MIN(IF(OR(O322=TRUE(),O322="TRUE",O322="Yes"),59,100),(I322*Rubric!$C$2+J322*Rubric!$C$3+K322*Rubric!$C$4+L322*Rubric!$C$5+M322*Rubric!$C$6+N322*Rubric!$C$7)/5),1)</f>
        <v>59</v>
      </c>
      <c r="U322" s="8" t="str">
        <f aca="false">LOOKUP(T322,Bands!$A$2:$A$6,Bands!$B$2:$B$6)</f>
        <v>Critical</v>
      </c>
      <c r="V322" s="8" t="n">
        <f aca="false">IF(Q322="","",ROUND((Q322-B322)*24,1))</f>
        <v>144</v>
      </c>
    </row>
    <row r="323" customFormat="false" ht="15" hidden="false" customHeight="false" outlineLevel="0" collapsed="false">
      <c r="A323" s="3" t="s">
        <v>775</v>
      </c>
      <c r="B323" s="5" t="n">
        <v>46149.5569444444</v>
      </c>
      <c r="C323" s="3" t="s">
        <v>68</v>
      </c>
      <c r="D323" s="3" t="s">
        <v>307</v>
      </c>
      <c r="E323" s="3" t="s">
        <v>308</v>
      </c>
      <c r="F323" s="3" t="s">
        <v>33</v>
      </c>
      <c r="G323" s="3" t="s">
        <v>54</v>
      </c>
      <c r="H323" s="3" t="s">
        <v>776</v>
      </c>
      <c r="I323" s="3" t="n">
        <v>5</v>
      </c>
      <c r="J323" s="3" t="n">
        <v>2</v>
      </c>
      <c r="K323" s="3" t="n">
        <v>5</v>
      </c>
      <c r="L323" s="3" t="n">
        <v>5</v>
      </c>
      <c r="M323" s="3" t="n">
        <v>5</v>
      </c>
      <c r="N323" s="3" t="n">
        <v>5</v>
      </c>
      <c r="O323" s="6" t="b">
        <f aca="false">FALSE()</f>
        <v>0</v>
      </c>
      <c r="P323" s="3" t="s">
        <v>56</v>
      </c>
      <c r="Q323" s="5" t="n">
        <v>46152.5569444444</v>
      </c>
      <c r="R323" s="5" t="n">
        <v>46154.1</v>
      </c>
      <c r="S323" s="3" t="s">
        <v>37</v>
      </c>
      <c r="T323" s="7" t="n">
        <f aca="false">ROUND(MIN(IF(OR(O323=TRUE(),O323="TRUE",O323="Yes"),59,100),(I323*Rubric!$C$2+J323*Rubric!$C$3+K323*Rubric!$C$4+L323*Rubric!$C$5+M323*Rubric!$C$6+N323*Rubric!$C$7)/5),1)</f>
        <v>85</v>
      </c>
      <c r="U323" s="8" t="str">
        <f aca="false">LOOKUP(T323,Bands!$A$2:$A$6,Bands!$B$2:$B$6)</f>
        <v>Solid Performance</v>
      </c>
      <c r="V323" s="8" t="n">
        <f aca="false">IF(Q323="","",ROUND((Q323-B323)*24,1))</f>
        <v>72</v>
      </c>
    </row>
    <row r="324" customFormat="false" ht="15" hidden="false" customHeight="false" outlineLevel="0" collapsed="false">
      <c r="A324" s="3" t="s">
        <v>777</v>
      </c>
      <c r="B324" s="5" t="n">
        <v>46149.65625</v>
      </c>
      <c r="C324" s="3" t="s">
        <v>68</v>
      </c>
      <c r="D324" s="3" t="s">
        <v>194</v>
      </c>
      <c r="E324" s="3" t="s">
        <v>195</v>
      </c>
      <c r="F324" s="3" t="s">
        <v>53</v>
      </c>
      <c r="G324" s="3" t="s">
        <v>54</v>
      </c>
      <c r="H324" s="3" t="s">
        <v>778</v>
      </c>
      <c r="I324" s="3" t="n">
        <v>5</v>
      </c>
      <c r="J324" s="3" t="n">
        <v>3</v>
      </c>
      <c r="K324" s="3" t="n">
        <v>4</v>
      </c>
      <c r="L324" s="3" t="n">
        <v>3</v>
      </c>
      <c r="M324" s="3" t="n">
        <v>4</v>
      </c>
      <c r="N324" s="3" t="n">
        <v>5</v>
      </c>
      <c r="O324" s="6" t="b">
        <f aca="false">FALSE()</f>
        <v>0</v>
      </c>
      <c r="P324" s="3"/>
      <c r="Q324" s="5" t="n">
        <v>46154.65625</v>
      </c>
      <c r="R324" s="5" t="n">
        <v>46157.0625</v>
      </c>
      <c r="S324" s="3" t="s">
        <v>37</v>
      </c>
      <c r="T324" s="7" t="n">
        <f aca="false">ROUND(MIN(IF(OR(O324=TRUE(),O324="TRUE",O324="Yes"),59,100),(I324*Rubric!$C$2+J324*Rubric!$C$3+K324*Rubric!$C$4+L324*Rubric!$C$5+M324*Rubric!$C$6+N324*Rubric!$C$7)/5),1)</f>
        <v>78</v>
      </c>
      <c r="U324" s="8" t="str">
        <f aca="false">LOOKUP(T324,Bands!$A$2:$A$6,Bands!$B$2:$B$6)</f>
        <v>Meets Expectations</v>
      </c>
      <c r="V324" s="8" t="n">
        <f aca="false">IF(Q324="","",ROUND((Q324-B324)*24,1))</f>
        <v>120</v>
      </c>
    </row>
    <row r="325" customFormat="false" ht="15" hidden="false" customHeight="false" outlineLevel="0" collapsed="false">
      <c r="A325" s="3" t="s">
        <v>779</v>
      </c>
      <c r="B325" s="5" t="n">
        <v>46149.6368055556</v>
      </c>
      <c r="C325" s="3" t="s">
        <v>39</v>
      </c>
      <c r="D325" s="3" t="s">
        <v>51</v>
      </c>
      <c r="E325" s="3" t="s">
        <v>52</v>
      </c>
      <c r="F325" s="3" t="s">
        <v>53</v>
      </c>
      <c r="G325" s="3" t="s">
        <v>54</v>
      </c>
      <c r="H325" s="3" t="s">
        <v>780</v>
      </c>
      <c r="I325" s="3" t="n">
        <v>3</v>
      </c>
      <c r="J325" s="3" t="n">
        <v>3</v>
      </c>
      <c r="K325" s="3" t="n">
        <v>4</v>
      </c>
      <c r="L325" s="3" t="n">
        <v>4</v>
      </c>
      <c r="M325" s="3" t="n">
        <v>4</v>
      </c>
      <c r="N325" s="3" t="n">
        <v>4</v>
      </c>
      <c r="O325" s="6" t="b">
        <f aca="false">FALSE()</f>
        <v>0</v>
      </c>
      <c r="P325" s="3"/>
      <c r="Q325" s="5" t="n">
        <v>46158.6368055556</v>
      </c>
      <c r="R325" s="5" t="n">
        <v>46159.0118055556</v>
      </c>
      <c r="S325" s="3" t="s">
        <v>37</v>
      </c>
      <c r="T325" s="7" t="n">
        <f aca="false">ROUND(MIN(IF(OR(O325=TRUE(),O325="TRUE",O325="Yes"),59,100),(I325*Rubric!$C$2+J325*Rubric!$C$3+K325*Rubric!$C$4+L325*Rubric!$C$5+M325*Rubric!$C$6+N325*Rubric!$C$7)/5),1)</f>
        <v>72</v>
      </c>
      <c r="U325" s="8" t="str">
        <f aca="false">LOOKUP(T325,Bands!$A$2:$A$6,Bands!$B$2:$B$6)</f>
        <v>Meets Expectations</v>
      </c>
      <c r="V325" s="8" t="n">
        <f aca="false">IF(Q325="","",ROUND((Q325-B325)*24,1))</f>
        <v>216</v>
      </c>
    </row>
    <row r="326" customFormat="false" ht="15" hidden="false" customHeight="false" outlineLevel="0" collapsed="false">
      <c r="A326" s="3" t="s">
        <v>781</v>
      </c>
      <c r="B326" s="5" t="n">
        <v>46150.4715277778</v>
      </c>
      <c r="C326" s="3" t="s">
        <v>68</v>
      </c>
      <c r="D326" s="3" t="s">
        <v>161</v>
      </c>
      <c r="E326" s="3" t="s">
        <v>162</v>
      </c>
      <c r="F326" s="3" t="s">
        <v>33</v>
      </c>
      <c r="G326" s="3" t="s">
        <v>42</v>
      </c>
      <c r="H326" s="3" t="s">
        <v>782</v>
      </c>
      <c r="I326" s="3" t="n">
        <v>4</v>
      </c>
      <c r="J326" s="3" t="n">
        <v>5</v>
      </c>
      <c r="K326" s="3" t="n">
        <v>4</v>
      </c>
      <c r="L326" s="3" t="n">
        <v>5</v>
      </c>
      <c r="M326" s="3" t="n">
        <v>2</v>
      </c>
      <c r="N326" s="3" t="n">
        <v>4</v>
      </c>
      <c r="O326" s="6" t="b">
        <f aca="false">FALSE()</f>
        <v>0</v>
      </c>
      <c r="P326" s="3" t="s">
        <v>103</v>
      </c>
      <c r="Q326" s="5" t="n">
        <v>46155.4715277778</v>
      </c>
      <c r="R326" s="5" t="n">
        <v>46156.1694444444</v>
      </c>
      <c r="S326" s="3" t="s">
        <v>37</v>
      </c>
      <c r="T326" s="7" t="n">
        <f aca="false">ROUND(MIN(IF(OR(O326=TRUE(),O326="TRUE",O326="Yes"),59,100),(I326*Rubric!$C$2+J326*Rubric!$C$3+K326*Rubric!$C$4+L326*Rubric!$C$5+M326*Rubric!$C$6+N326*Rubric!$C$7)/5),1)</f>
        <v>84</v>
      </c>
      <c r="U326" s="8" t="str">
        <f aca="false">LOOKUP(T326,Bands!$A$2:$A$6,Bands!$B$2:$B$6)</f>
        <v>Solid Performance</v>
      </c>
      <c r="V326" s="8" t="n">
        <f aca="false">IF(Q326="","",ROUND((Q326-B326)*24,1))</f>
        <v>120</v>
      </c>
    </row>
    <row r="327" customFormat="false" ht="15" hidden="false" customHeight="false" outlineLevel="0" collapsed="false">
      <c r="A327" s="3" t="s">
        <v>783</v>
      </c>
      <c r="B327" s="5" t="n">
        <v>46150.5486111111</v>
      </c>
      <c r="C327" s="3" t="s">
        <v>30</v>
      </c>
      <c r="D327" s="3" t="s">
        <v>202</v>
      </c>
      <c r="E327" s="3" t="s">
        <v>203</v>
      </c>
      <c r="F327" s="3" t="s">
        <v>53</v>
      </c>
      <c r="G327" s="3" t="s">
        <v>42</v>
      </c>
      <c r="H327" s="3" t="s">
        <v>784</v>
      </c>
      <c r="I327" s="3" t="n">
        <v>3</v>
      </c>
      <c r="J327" s="3" t="n">
        <v>3</v>
      </c>
      <c r="K327" s="3" t="n">
        <v>4</v>
      </c>
      <c r="L327" s="3" t="n">
        <v>2</v>
      </c>
      <c r="M327" s="3" t="n">
        <v>3</v>
      </c>
      <c r="N327" s="3" t="n">
        <v>3</v>
      </c>
      <c r="O327" s="6" t="b">
        <f aca="false">FALSE()</f>
        <v>0</v>
      </c>
      <c r="P327" s="3" t="s">
        <v>44</v>
      </c>
      <c r="Q327" s="5" t="n">
        <v>46156.5486111111</v>
      </c>
      <c r="R327" s="5" t="n">
        <v>46156.6</v>
      </c>
      <c r="S327" s="3" t="s">
        <v>37</v>
      </c>
      <c r="T327" s="7" t="n">
        <f aca="false">ROUND(MIN(IF(OR(O327=TRUE(),O327="TRUE",O327="Yes"),59,100),(I327*Rubric!$C$2+J327*Rubric!$C$3+K327*Rubric!$C$4+L327*Rubric!$C$5+M327*Rubric!$C$6+N327*Rubric!$C$7)/5),1)</f>
        <v>61</v>
      </c>
      <c r="U327" s="8" t="str">
        <f aca="false">LOOKUP(T327,Bands!$A$2:$A$6,Bands!$B$2:$B$6)</f>
        <v>Needs Improvement</v>
      </c>
      <c r="V327" s="8" t="n">
        <f aca="false">IF(Q327="","",ROUND((Q327-B327)*24,1))</f>
        <v>144</v>
      </c>
    </row>
    <row r="328" customFormat="false" ht="15" hidden="false" customHeight="false" outlineLevel="0" collapsed="false">
      <c r="A328" s="3" t="s">
        <v>785</v>
      </c>
      <c r="B328" s="5" t="n">
        <v>46150.4104166667</v>
      </c>
      <c r="C328" s="3" t="s">
        <v>30</v>
      </c>
      <c r="D328" s="3" t="s">
        <v>40</v>
      </c>
      <c r="E328" s="3" t="s">
        <v>41</v>
      </c>
      <c r="F328" s="3" t="s">
        <v>33</v>
      </c>
      <c r="G328" s="3" t="s">
        <v>42</v>
      </c>
      <c r="H328" s="3" t="s">
        <v>786</v>
      </c>
      <c r="I328" s="3" t="n">
        <v>4</v>
      </c>
      <c r="J328" s="3" t="n">
        <v>4</v>
      </c>
      <c r="K328" s="3" t="n">
        <v>4</v>
      </c>
      <c r="L328" s="3" t="n">
        <v>4</v>
      </c>
      <c r="M328" s="3" t="n">
        <v>5</v>
      </c>
      <c r="N328" s="3" t="n">
        <v>3</v>
      </c>
      <c r="O328" s="6" t="b">
        <f aca="false">FALSE()</f>
        <v>0</v>
      </c>
      <c r="P328" s="3"/>
      <c r="Q328" s="5" t="n">
        <v>46157.4104166667</v>
      </c>
      <c r="R328" s="5" t="n">
        <v>46158.5659722222</v>
      </c>
      <c r="S328" s="3" t="s">
        <v>37</v>
      </c>
      <c r="T328" s="7" t="n">
        <f aca="false">ROUND(MIN(IF(OR(O328=TRUE(),O328="TRUE",O328="Yes"),59,100),(I328*Rubric!$C$2+J328*Rubric!$C$3+K328*Rubric!$C$4+L328*Rubric!$C$5+M328*Rubric!$C$6+N328*Rubric!$C$7)/5),1)</f>
        <v>79</v>
      </c>
      <c r="U328" s="8" t="str">
        <f aca="false">LOOKUP(T328,Bands!$A$2:$A$6,Bands!$B$2:$B$6)</f>
        <v>Meets Expectations</v>
      </c>
      <c r="V328" s="8" t="n">
        <f aca="false">IF(Q328="","",ROUND((Q328-B328)*24,1))</f>
        <v>168</v>
      </c>
    </row>
    <row r="329" customFormat="false" ht="15" hidden="false" customHeight="false" outlineLevel="0" collapsed="false">
      <c r="A329" s="3" t="s">
        <v>787</v>
      </c>
      <c r="B329" s="5" t="n">
        <v>46150.6201388889</v>
      </c>
      <c r="C329" s="3" t="s">
        <v>68</v>
      </c>
      <c r="D329" s="3" t="s">
        <v>265</v>
      </c>
      <c r="E329" s="3" t="s">
        <v>266</v>
      </c>
      <c r="F329" s="3" t="s">
        <v>33</v>
      </c>
      <c r="G329" s="3" t="s">
        <v>42</v>
      </c>
      <c r="H329" s="3" t="s">
        <v>788</v>
      </c>
      <c r="I329" s="3" t="n">
        <v>4</v>
      </c>
      <c r="J329" s="3" t="n">
        <v>2</v>
      </c>
      <c r="K329" s="3" t="n">
        <v>4</v>
      </c>
      <c r="L329" s="3" t="n">
        <v>4</v>
      </c>
      <c r="M329" s="3" t="n">
        <v>4</v>
      </c>
      <c r="N329" s="3" t="n">
        <v>4</v>
      </c>
      <c r="O329" s="6" t="b">
        <f aca="false">FALSE()</f>
        <v>0</v>
      </c>
      <c r="P329" s="3" t="s">
        <v>56</v>
      </c>
      <c r="Q329" s="5" t="n">
        <v>46156.6201388889</v>
      </c>
      <c r="R329" s="5" t="n">
        <v>46157.4895833333</v>
      </c>
      <c r="S329" s="3" t="s">
        <v>37</v>
      </c>
      <c r="T329" s="7" t="n">
        <f aca="false">ROUND(MIN(IF(OR(O329=TRUE(),O329="TRUE",O329="Yes"),59,100),(I329*Rubric!$C$2+J329*Rubric!$C$3+K329*Rubric!$C$4+L329*Rubric!$C$5+M329*Rubric!$C$6+N329*Rubric!$C$7)/5),1)</f>
        <v>70</v>
      </c>
      <c r="U329" s="8" t="str">
        <f aca="false">LOOKUP(T329,Bands!$A$2:$A$6,Bands!$B$2:$B$6)</f>
        <v>Meets Expectations</v>
      </c>
      <c r="V329" s="8" t="n">
        <f aca="false">IF(Q329="","",ROUND((Q329-B329)*24,1))</f>
        <v>144</v>
      </c>
    </row>
    <row r="330" customFormat="false" ht="15" hidden="false" customHeight="false" outlineLevel="0" collapsed="false">
      <c r="A330" s="3" t="s">
        <v>789</v>
      </c>
      <c r="B330" s="5" t="n">
        <v>46150.5458333333</v>
      </c>
      <c r="C330" s="3" t="s">
        <v>68</v>
      </c>
      <c r="D330" s="3" t="s">
        <v>194</v>
      </c>
      <c r="E330" s="3" t="s">
        <v>195</v>
      </c>
      <c r="F330" s="3" t="s">
        <v>53</v>
      </c>
      <c r="G330" s="3" t="s">
        <v>54</v>
      </c>
      <c r="H330" s="3" t="s">
        <v>790</v>
      </c>
      <c r="I330" s="3" t="n">
        <v>5</v>
      </c>
      <c r="J330" s="3" t="n">
        <v>5</v>
      </c>
      <c r="K330" s="3" t="n">
        <v>4</v>
      </c>
      <c r="L330" s="3" t="n">
        <v>2</v>
      </c>
      <c r="M330" s="3" t="n">
        <v>5</v>
      </c>
      <c r="N330" s="3" t="n">
        <v>1</v>
      </c>
      <c r="O330" s="6" t="b">
        <f aca="false">TRUE()</f>
        <v>1</v>
      </c>
      <c r="P330" s="3" t="s">
        <v>128</v>
      </c>
      <c r="Q330" s="5" t="n">
        <v>46155.5458333333</v>
      </c>
      <c r="R330" s="5" t="n">
        <v>46158.8694444444</v>
      </c>
      <c r="S330" s="3" t="s">
        <v>37</v>
      </c>
      <c r="T330" s="7" t="n">
        <f aca="false">ROUND(MIN(IF(OR(O330=TRUE(),O330="TRUE",O330="Yes"),59,100),(I330*Rubric!$C$2+J330*Rubric!$C$3+K330*Rubric!$C$4+L330*Rubric!$C$5+M330*Rubric!$C$6+N330*Rubric!$C$7)/5),1)</f>
        <v>59</v>
      </c>
      <c r="U330" s="8" t="str">
        <f aca="false">LOOKUP(T330,Bands!$A$2:$A$6,Bands!$B$2:$B$6)</f>
        <v>Critical</v>
      </c>
      <c r="V330" s="8" t="n">
        <f aca="false">IF(Q330="","",ROUND((Q330-B330)*24,1))</f>
        <v>120</v>
      </c>
    </row>
    <row r="331" customFormat="false" ht="15" hidden="false" customHeight="false" outlineLevel="0" collapsed="false">
      <c r="A331" s="3" t="s">
        <v>791</v>
      </c>
      <c r="B331" s="5" t="n">
        <v>46150.6520833333</v>
      </c>
      <c r="C331" s="3" t="s">
        <v>30</v>
      </c>
      <c r="D331" s="3" t="s">
        <v>307</v>
      </c>
      <c r="E331" s="3" t="s">
        <v>308</v>
      </c>
      <c r="F331" s="3" t="s">
        <v>33</v>
      </c>
      <c r="G331" s="3" t="s">
        <v>54</v>
      </c>
      <c r="H331" s="3" t="s">
        <v>792</v>
      </c>
      <c r="I331" s="3" t="n">
        <v>5</v>
      </c>
      <c r="J331" s="3" t="n">
        <v>3</v>
      </c>
      <c r="K331" s="3" t="n">
        <v>5</v>
      </c>
      <c r="L331" s="3" t="n">
        <v>5</v>
      </c>
      <c r="M331" s="3" t="n">
        <v>5</v>
      </c>
      <c r="N331" s="3" t="n">
        <v>5</v>
      </c>
      <c r="O331" s="6" t="b">
        <f aca="false">FALSE()</f>
        <v>0</v>
      </c>
      <c r="P331" s="3"/>
      <c r="Q331" s="5" t="n">
        <v>46156.6520833333</v>
      </c>
      <c r="R331" s="5" t="n">
        <v>46157.5659722222</v>
      </c>
      <c r="S331" s="3" t="s">
        <v>37</v>
      </c>
      <c r="T331" s="7" t="n">
        <f aca="false">ROUND(MIN(IF(OR(O331=TRUE(),O331="TRUE",O331="Yes"),59,100),(I331*Rubric!$C$2+J331*Rubric!$C$3+K331*Rubric!$C$4+L331*Rubric!$C$5+M331*Rubric!$C$6+N331*Rubric!$C$7)/5),1)</f>
        <v>90</v>
      </c>
      <c r="U331" s="8" t="str">
        <f aca="false">LOOKUP(T331,Bands!$A$2:$A$6,Bands!$B$2:$B$6)</f>
        <v>Outstanding</v>
      </c>
      <c r="V331" s="8" t="n">
        <f aca="false">IF(Q331="","",ROUND((Q331-B331)*24,1))</f>
        <v>144</v>
      </c>
    </row>
    <row r="332" customFormat="false" ht="15" hidden="false" customHeight="false" outlineLevel="0" collapsed="false">
      <c r="A332" s="3" t="s">
        <v>793</v>
      </c>
      <c r="B332" s="5" t="n">
        <v>46150.3923611111</v>
      </c>
      <c r="C332" s="3" t="s">
        <v>68</v>
      </c>
      <c r="D332" s="3" t="s">
        <v>125</v>
      </c>
      <c r="E332" s="3" t="s">
        <v>126</v>
      </c>
      <c r="F332" s="3" t="s">
        <v>53</v>
      </c>
      <c r="G332" s="3" t="s">
        <v>54</v>
      </c>
      <c r="H332" s="3" t="s">
        <v>794</v>
      </c>
      <c r="I332" s="3" t="n">
        <v>3</v>
      </c>
      <c r="J332" s="3" t="n">
        <v>5</v>
      </c>
      <c r="K332" s="3" t="n">
        <v>5</v>
      </c>
      <c r="L332" s="3" t="n">
        <v>3</v>
      </c>
      <c r="M332" s="3" t="n">
        <v>5</v>
      </c>
      <c r="N332" s="3" t="n">
        <v>4</v>
      </c>
      <c r="O332" s="6" t="b">
        <f aca="false">FALSE()</f>
        <v>0</v>
      </c>
      <c r="P332" s="3"/>
      <c r="Q332" s="5" t="n">
        <v>46157.3923611111</v>
      </c>
      <c r="R332" s="5" t="n">
        <v>46158.55625</v>
      </c>
      <c r="S332" s="3" t="s">
        <v>37</v>
      </c>
      <c r="T332" s="7" t="n">
        <f aca="false">ROUND(MIN(IF(OR(O332=TRUE(),O332="TRUE",O332="Yes"),59,100),(I332*Rubric!$C$2+J332*Rubric!$C$3+K332*Rubric!$C$4+L332*Rubric!$C$5+M332*Rubric!$C$6+N332*Rubric!$C$7)/5),1)</f>
        <v>85</v>
      </c>
      <c r="U332" s="8" t="str">
        <f aca="false">LOOKUP(T332,Bands!$A$2:$A$6,Bands!$B$2:$B$6)</f>
        <v>Solid Performance</v>
      </c>
      <c r="V332" s="8" t="n">
        <f aca="false">IF(Q332="","",ROUND((Q332-B332)*24,1))</f>
        <v>168</v>
      </c>
    </row>
    <row r="333" customFormat="false" ht="15" hidden="false" customHeight="false" outlineLevel="0" collapsed="false">
      <c r="A333" s="3" t="s">
        <v>795</v>
      </c>
      <c r="B333" s="5" t="n">
        <v>46150.5625</v>
      </c>
      <c r="C333" s="3" t="s">
        <v>68</v>
      </c>
      <c r="D333" s="3" t="s">
        <v>212</v>
      </c>
      <c r="E333" s="3" t="s">
        <v>213</v>
      </c>
      <c r="F333" s="3" t="s">
        <v>33</v>
      </c>
      <c r="G333" s="3" t="s">
        <v>42</v>
      </c>
      <c r="H333" s="3" t="s">
        <v>796</v>
      </c>
      <c r="I333" s="3" t="n">
        <v>2</v>
      </c>
      <c r="J333" s="3" t="n">
        <v>4</v>
      </c>
      <c r="K333" s="3" t="n">
        <v>3</v>
      </c>
      <c r="L333" s="3" t="n">
        <v>4</v>
      </c>
      <c r="M333" s="3" t="n">
        <v>3</v>
      </c>
      <c r="N333" s="3" t="n">
        <v>4</v>
      </c>
      <c r="O333" s="6" t="b">
        <f aca="false">FALSE()</f>
        <v>0</v>
      </c>
      <c r="P333" s="3" t="s">
        <v>88</v>
      </c>
      <c r="Q333" s="5" t="n">
        <v>46159.5625</v>
      </c>
      <c r="R333" s="5" t="n">
        <v>46161.4972222222</v>
      </c>
      <c r="S333" s="3" t="s">
        <v>37</v>
      </c>
      <c r="T333" s="7" t="n">
        <f aca="false">ROUND(MIN(IF(OR(O333=TRUE(),O333="TRUE",O333="Yes"),59,100),(I333*Rubric!$C$2+J333*Rubric!$C$3+K333*Rubric!$C$4+L333*Rubric!$C$5+M333*Rubric!$C$6+N333*Rubric!$C$7)/5),1)</f>
        <v>68</v>
      </c>
      <c r="U333" s="8" t="str">
        <f aca="false">LOOKUP(T333,Bands!$A$2:$A$6,Bands!$B$2:$B$6)</f>
        <v>Needs Improvement</v>
      </c>
      <c r="V333" s="8" t="n">
        <f aca="false">IF(Q333="","",ROUND((Q333-B333)*24,1))</f>
        <v>216</v>
      </c>
    </row>
    <row r="334" customFormat="false" ht="15" hidden="false" customHeight="false" outlineLevel="0" collapsed="false">
      <c r="A334" s="3" t="s">
        <v>797</v>
      </c>
      <c r="B334" s="5" t="n">
        <v>46150.6520833333</v>
      </c>
      <c r="C334" s="3" t="s">
        <v>39</v>
      </c>
      <c r="D334" s="3" t="s">
        <v>145</v>
      </c>
      <c r="E334" s="3" t="s">
        <v>146</v>
      </c>
      <c r="F334" s="3" t="s">
        <v>33</v>
      </c>
      <c r="G334" s="3" t="s">
        <v>42</v>
      </c>
      <c r="H334" s="3" t="s">
        <v>798</v>
      </c>
      <c r="I334" s="3" t="n">
        <v>4</v>
      </c>
      <c r="J334" s="3" t="n">
        <v>3</v>
      </c>
      <c r="K334" s="3" t="n">
        <v>4</v>
      </c>
      <c r="L334" s="3" t="n">
        <v>5</v>
      </c>
      <c r="M334" s="3" t="n">
        <v>4</v>
      </c>
      <c r="N334" s="3" t="n">
        <v>4</v>
      </c>
      <c r="O334" s="6" t="b">
        <f aca="false">FALSE()</f>
        <v>0</v>
      </c>
      <c r="P334" s="3"/>
      <c r="Q334" s="5" t="n">
        <v>46154.6520833333</v>
      </c>
      <c r="R334" s="5" t="n">
        <v>46154.9291666667</v>
      </c>
      <c r="S334" s="3" t="s">
        <v>37</v>
      </c>
      <c r="T334" s="7" t="n">
        <f aca="false">ROUND(MIN(IF(OR(O334=TRUE(),O334="TRUE",O334="Yes"),59,100),(I334*Rubric!$C$2+J334*Rubric!$C$3+K334*Rubric!$C$4+L334*Rubric!$C$5+M334*Rubric!$C$6+N334*Rubric!$C$7)/5),1)</f>
        <v>78</v>
      </c>
      <c r="U334" s="8" t="str">
        <f aca="false">LOOKUP(T334,Bands!$A$2:$A$6,Bands!$B$2:$B$6)</f>
        <v>Meets Expectations</v>
      </c>
      <c r="V334" s="8" t="n">
        <f aca="false">IF(Q334="","",ROUND((Q334-B334)*24,1))</f>
        <v>96</v>
      </c>
    </row>
    <row r="335" customFormat="false" ht="15" hidden="false" customHeight="false" outlineLevel="0" collapsed="false">
      <c r="A335" s="3" t="s">
        <v>799</v>
      </c>
      <c r="B335" s="5" t="n">
        <v>46150.5972222222</v>
      </c>
      <c r="C335" s="3" t="s">
        <v>39</v>
      </c>
      <c r="D335" s="3" t="s">
        <v>222</v>
      </c>
      <c r="E335" s="3" t="s">
        <v>223</v>
      </c>
      <c r="F335" s="3" t="s">
        <v>53</v>
      </c>
      <c r="G335" s="3" t="s">
        <v>34</v>
      </c>
      <c r="H335" s="3" t="s">
        <v>800</v>
      </c>
      <c r="I335" s="3" t="n">
        <v>4</v>
      </c>
      <c r="J335" s="3" t="n">
        <v>4</v>
      </c>
      <c r="K335" s="3" t="n">
        <v>5</v>
      </c>
      <c r="L335" s="3" t="n">
        <v>5</v>
      </c>
      <c r="M335" s="3" t="n">
        <v>4</v>
      </c>
      <c r="N335" s="3" t="n">
        <v>1</v>
      </c>
      <c r="O335" s="6" t="b">
        <f aca="false">TRUE()</f>
        <v>1</v>
      </c>
      <c r="P335" s="3" t="s">
        <v>36</v>
      </c>
      <c r="Q335" s="5" t="n">
        <v>46157.5972222222</v>
      </c>
      <c r="R335" s="5" t="n">
        <v>46158.0083333333</v>
      </c>
      <c r="S335" s="3" t="s">
        <v>37</v>
      </c>
      <c r="T335" s="7" t="n">
        <f aca="false">ROUND(MIN(IF(OR(O335=TRUE(),O335="TRUE",O335="Yes"),59,100),(I335*Rubric!$C$2+J335*Rubric!$C$3+K335*Rubric!$C$4+L335*Rubric!$C$5+M335*Rubric!$C$6+N335*Rubric!$C$7)/5),1)</f>
        <v>59</v>
      </c>
      <c r="U335" s="8" t="str">
        <f aca="false">LOOKUP(T335,Bands!$A$2:$A$6,Bands!$B$2:$B$6)</f>
        <v>Critical</v>
      </c>
      <c r="V335" s="8" t="n">
        <f aca="false">IF(Q335="","",ROUND((Q335-B335)*24,1))</f>
        <v>168</v>
      </c>
    </row>
    <row r="336" customFormat="false" ht="15" hidden="false" customHeight="false" outlineLevel="0" collapsed="false">
      <c r="A336" s="3" t="s">
        <v>801</v>
      </c>
      <c r="B336" s="5" t="n">
        <v>46150.4826388889</v>
      </c>
      <c r="C336" s="3" t="s">
        <v>68</v>
      </c>
      <c r="D336" s="3" t="s">
        <v>31</v>
      </c>
      <c r="E336" s="3" t="s">
        <v>32</v>
      </c>
      <c r="F336" s="3" t="s">
        <v>33</v>
      </c>
      <c r="G336" s="3" t="s">
        <v>34</v>
      </c>
      <c r="H336" s="3" t="s">
        <v>802</v>
      </c>
      <c r="I336" s="3" t="n">
        <v>4</v>
      </c>
      <c r="J336" s="3" t="n">
        <v>4</v>
      </c>
      <c r="K336" s="3" t="n">
        <v>4</v>
      </c>
      <c r="L336" s="3" t="n">
        <v>4</v>
      </c>
      <c r="M336" s="3" t="n">
        <v>4</v>
      </c>
      <c r="N336" s="3" t="n">
        <v>1</v>
      </c>
      <c r="O336" s="6" t="b">
        <f aca="false">TRUE()</f>
        <v>1</v>
      </c>
      <c r="P336" s="3" t="s">
        <v>36</v>
      </c>
      <c r="Q336" s="5" t="n">
        <v>46154.4826388889</v>
      </c>
      <c r="R336" s="5" t="n">
        <v>46155.1125</v>
      </c>
      <c r="S336" s="3" t="s">
        <v>37</v>
      </c>
      <c r="T336" s="7" t="n">
        <f aca="false">ROUND(MIN(IF(OR(O336=TRUE(),O336="TRUE",O336="Yes"),59,100),(I336*Rubric!$C$2+J336*Rubric!$C$3+K336*Rubric!$C$4+L336*Rubric!$C$5+M336*Rubric!$C$6+N336*Rubric!$C$7)/5),1)</f>
        <v>59</v>
      </c>
      <c r="U336" s="8" t="str">
        <f aca="false">LOOKUP(T336,Bands!$A$2:$A$6,Bands!$B$2:$B$6)</f>
        <v>Critical</v>
      </c>
      <c r="V336" s="8" t="n">
        <f aca="false">IF(Q336="","",ROUND((Q336-B336)*24,1))</f>
        <v>96</v>
      </c>
    </row>
    <row r="337" customFormat="false" ht="15" hidden="false" customHeight="false" outlineLevel="0" collapsed="false">
      <c r="A337" s="3" t="s">
        <v>803</v>
      </c>
      <c r="B337" s="5" t="n">
        <v>46150.4125</v>
      </c>
      <c r="C337" s="3" t="s">
        <v>30</v>
      </c>
      <c r="D337" s="3" t="s">
        <v>198</v>
      </c>
      <c r="E337" s="3" t="s">
        <v>199</v>
      </c>
      <c r="F337" s="3" t="s">
        <v>33</v>
      </c>
      <c r="G337" s="3" t="s">
        <v>42</v>
      </c>
      <c r="H337" s="3" t="s">
        <v>804</v>
      </c>
      <c r="I337" s="3" t="n">
        <v>3</v>
      </c>
      <c r="J337" s="3" t="n">
        <v>3</v>
      </c>
      <c r="K337" s="3" t="n">
        <v>3</v>
      </c>
      <c r="L337" s="3" t="n">
        <v>4</v>
      </c>
      <c r="M337" s="3" t="n">
        <v>4</v>
      </c>
      <c r="N337" s="3" t="n">
        <v>3</v>
      </c>
      <c r="O337" s="6" t="b">
        <f aca="false">FALSE()</f>
        <v>0</v>
      </c>
      <c r="P337" s="3"/>
      <c r="Q337" s="5" t="n">
        <v>46157.4125</v>
      </c>
      <c r="R337" s="5" t="n">
        <v>46160.2972222222</v>
      </c>
      <c r="S337" s="3" t="s">
        <v>37</v>
      </c>
      <c r="T337" s="7" t="n">
        <f aca="false">ROUND(MIN(IF(OR(O337=TRUE(),O337="TRUE",O337="Yes"),59,100),(I337*Rubric!$C$2+J337*Rubric!$C$3+K337*Rubric!$C$4+L337*Rubric!$C$5+M337*Rubric!$C$6+N337*Rubric!$C$7)/5),1)</f>
        <v>65</v>
      </c>
      <c r="U337" s="8" t="str">
        <f aca="false">LOOKUP(T337,Bands!$A$2:$A$6,Bands!$B$2:$B$6)</f>
        <v>Needs Improvement</v>
      </c>
      <c r="V337" s="8" t="n">
        <f aca="false">IF(Q337="","",ROUND((Q337-B337)*24,1))</f>
        <v>168</v>
      </c>
    </row>
    <row r="338" customFormat="false" ht="15" hidden="false" customHeight="false" outlineLevel="0" collapsed="false">
      <c r="A338" s="3" t="s">
        <v>805</v>
      </c>
      <c r="B338" s="5" t="n">
        <v>46153.6055555556</v>
      </c>
      <c r="C338" s="3" t="s">
        <v>68</v>
      </c>
      <c r="D338" s="3" t="s">
        <v>69</v>
      </c>
      <c r="E338" s="3" t="s">
        <v>70</v>
      </c>
      <c r="F338" s="3" t="s">
        <v>65</v>
      </c>
      <c r="G338" s="3" t="s">
        <v>54</v>
      </c>
      <c r="H338" s="3" t="s">
        <v>806</v>
      </c>
      <c r="I338" s="3" t="n">
        <v>4</v>
      </c>
      <c r="J338" s="3" t="n">
        <v>4</v>
      </c>
      <c r="K338" s="3" t="n">
        <v>5</v>
      </c>
      <c r="L338" s="3" t="n">
        <v>5</v>
      </c>
      <c r="M338" s="3" t="n">
        <v>4</v>
      </c>
      <c r="N338" s="3" t="n">
        <v>3</v>
      </c>
      <c r="O338" s="6" t="b">
        <f aca="false">FALSE()</f>
        <v>0</v>
      </c>
      <c r="P338" s="3"/>
      <c r="Q338" s="5" t="n">
        <v>46160.6055555556</v>
      </c>
      <c r="R338" s="5" t="n">
        <v>46160.8326388889</v>
      </c>
      <c r="S338" s="3" t="s">
        <v>37</v>
      </c>
      <c r="T338" s="7" t="n">
        <f aca="false">ROUND(MIN(IF(OR(O338=TRUE(),O338="TRUE",O338="Yes"),59,100),(I338*Rubric!$C$2+J338*Rubric!$C$3+K338*Rubric!$C$4+L338*Rubric!$C$5+M338*Rubric!$C$6+N338*Rubric!$C$7)/5),1)</f>
        <v>84</v>
      </c>
      <c r="U338" s="8" t="str">
        <f aca="false">LOOKUP(T338,Bands!$A$2:$A$6,Bands!$B$2:$B$6)</f>
        <v>Solid Performance</v>
      </c>
      <c r="V338" s="8" t="n">
        <f aca="false">IF(Q338="","",ROUND((Q338-B338)*24,1))</f>
        <v>168</v>
      </c>
    </row>
    <row r="339" customFormat="false" ht="15" hidden="false" customHeight="false" outlineLevel="0" collapsed="false">
      <c r="A339" s="3" t="s">
        <v>807</v>
      </c>
      <c r="B339" s="5" t="n">
        <v>46153.6409722222</v>
      </c>
      <c r="C339" s="3" t="s">
        <v>39</v>
      </c>
      <c r="D339" s="3" t="s">
        <v>111</v>
      </c>
      <c r="E339" s="3" t="s">
        <v>112</v>
      </c>
      <c r="F339" s="3" t="s">
        <v>33</v>
      </c>
      <c r="G339" s="3" t="s">
        <v>54</v>
      </c>
      <c r="H339" s="3" t="s">
        <v>808</v>
      </c>
      <c r="I339" s="3" t="n">
        <v>2</v>
      </c>
      <c r="J339" s="3" t="n">
        <v>4</v>
      </c>
      <c r="K339" s="3" t="n">
        <v>5</v>
      </c>
      <c r="L339" s="3" t="n">
        <v>4</v>
      </c>
      <c r="M339" s="3" t="n">
        <v>3</v>
      </c>
      <c r="N339" s="3" t="n">
        <v>4</v>
      </c>
      <c r="O339" s="6" t="b">
        <f aca="false">FALSE()</f>
        <v>0</v>
      </c>
      <c r="P339" s="3" t="s">
        <v>88</v>
      </c>
      <c r="Q339" s="5" t="n">
        <v>46157.6409722222</v>
      </c>
      <c r="R339" s="5" t="n">
        <v>46158.1138888889</v>
      </c>
      <c r="S339" s="3" t="s">
        <v>37</v>
      </c>
      <c r="T339" s="7" t="n">
        <f aca="false">ROUND(MIN(IF(OR(O339=TRUE(),O339="TRUE",O339="Yes"),59,100),(I339*Rubric!$C$2+J339*Rubric!$C$3+K339*Rubric!$C$4+L339*Rubric!$C$5+M339*Rubric!$C$6+N339*Rubric!$C$7)/5),1)</f>
        <v>76</v>
      </c>
      <c r="U339" s="8" t="str">
        <f aca="false">LOOKUP(T339,Bands!$A$2:$A$6,Bands!$B$2:$B$6)</f>
        <v>Meets Expectations</v>
      </c>
      <c r="V339" s="8" t="n">
        <f aca="false">IF(Q339="","",ROUND((Q339-B339)*24,1))</f>
        <v>96</v>
      </c>
    </row>
    <row r="340" customFormat="false" ht="15" hidden="false" customHeight="false" outlineLevel="0" collapsed="false">
      <c r="A340" s="3" t="s">
        <v>809</v>
      </c>
      <c r="B340" s="5" t="n">
        <v>46153.6138888889</v>
      </c>
      <c r="C340" s="3" t="s">
        <v>39</v>
      </c>
      <c r="D340" s="3" t="s">
        <v>40</v>
      </c>
      <c r="E340" s="3" t="s">
        <v>41</v>
      </c>
      <c r="F340" s="3" t="s">
        <v>33</v>
      </c>
      <c r="G340" s="3" t="s">
        <v>42</v>
      </c>
      <c r="H340" s="3" t="s">
        <v>810</v>
      </c>
      <c r="I340" s="3" t="n">
        <v>4</v>
      </c>
      <c r="J340" s="3" t="n">
        <v>5</v>
      </c>
      <c r="K340" s="3" t="n">
        <v>3</v>
      </c>
      <c r="L340" s="3" t="n">
        <v>3</v>
      </c>
      <c r="M340" s="3" t="n">
        <v>4</v>
      </c>
      <c r="N340" s="3" t="n">
        <v>5</v>
      </c>
      <c r="O340" s="6" t="b">
        <f aca="false">FALSE()</f>
        <v>0</v>
      </c>
      <c r="P340" s="3"/>
      <c r="Q340" s="5" t="n">
        <v>46158.6138888889</v>
      </c>
      <c r="R340" s="5" t="n">
        <v>46159.7854166667</v>
      </c>
      <c r="S340" s="3" t="s">
        <v>37</v>
      </c>
      <c r="T340" s="7" t="n">
        <f aca="false">ROUND(MIN(IF(OR(O340=TRUE(),O340="TRUE",O340="Yes"),59,100),(I340*Rubric!$C$2+J340*Rubric!$C$3+K340*Rubric!$C$4+L340*Rubric!$C$5+M340*Rubric!$C$6+N340*Rubric!$C$7)/5),1)</f>
        <v>81</v>
      </c>
      <c r="U340" s="8" t="str">
        <f aca="false">LOOKUP(T340,Bands!$A$2:$A$6,Bands!$B$2:$B$6)</f>
        <v>Solid Performance</v>
      </c>
      <c r="V340" s="8" t="n">
        <f aca="false">IF(Q340="","",ROUND((Q340-B340)*24,1))</f>
        <v>120</v>
      </c>
    </row>
    <row r="341" customFormat="false" ht="15" hidden="false" customHeight="false" outlineLevel="0" collapsed="false">
      <c r="A341" s="3" t="s">
        <v>811</v>
      </c>
      <c r="B341" s="5" t="n">
        <v>46153.5638888889</v>
      </c>
      <c r="C341" s="3" t="s">
        <v>30</v>
      </c>
      <c r="D341" s="3" t="s">
        <v>31</v>
      </c>
      <c r="E341" s="3" t="s">
        <v>32</v>
      </c>
      <c r="F341" s="3" t="s">
        <v>33</v>
      </c>
      <c r="G341" s="3" t="s">
        <v>54</v>
      </c>
      <c r="H341" s="3" t="s">
        <v>812</v>
      </c>
      <c r="I341" s="3" t="n">
        <v>4</v>
      </c>
      <c r="J341" s="3" t="n">
        <v>5</v>
      </c>
      <c r="K341" s="3" t="n">
        <v>4</v>
      </c>
      <c r="L341" s="3" t="n">
        <v>3</v>
      </c>
      <c r="M341" s="3" t="n">
        <v>4</v>
      </c>
      <c r="N341" s="3" t="n">
        <v>2</v>
      </c>
      <c r="O341" s="6" t="b">
        <f aca="false">FALSE()</f>
        <v>0</v>
      </c>
      <c r="P341" s="3" t="s">
        <v>36</v>
      </c>
      <c r="Q341" s="5" t="n">
        <v>46159.5638888889</v>
      </c>
      <c r="R341" s="5" t="n">
        <v>46159.5652777778</v>
      </c>
      <c r="S341" s="3" t="s">
        <v>37</v>
      </c>
      <c r="T341" s="7" t="n">
        <f aca="false">ROUND(MIN(IF(OR(O341=TRUE(),O341="TRUE",O341="Yes"),59,100),(I341*Rubric!$C$2+J341*Rubric!$C$3+K341*Rubric!$C$4+L341*Rubric!$C$5+M341*Rubric!$C$6+N341*Rubric!$C$7)/5),1)</f>
        <v>76</v>
      </c>
      <c r="U341" s="8" t="str">
        <f aca="false">LOOKUP(T341,Bands!$A$2:$A$6,Bands!$B$2:$B$6)</f>
        <v>Meets Expectations</v>
      </c>
      <c r="V341" s="8" t="n">
        <f aca="false">IF(Q341="","",ROUND((Q341-B341)*24,1))</f>
        <v>144</v>
      </c>
    </row>
    <row r="342" customFormat="false" ht="15" hidden="false" customHeight="false" outlineLevel="0" collapsed="false">
      <c r="A342" s="3" t="s">
        <v>813</v>
      </c>
      <c r="B342" s="5" t="n">
        <v>46153.6215277778</v>
      </c>
      <c r="C342" s="3" t="s">
        <v>68</v>
      </c>
      <c r="D342" s="3" t="s">
        <v>222</v>
      </c>
      <c r="E342" s="3" t="s">
        <v>223</v>
      </c>
      <c r="F342" s="3" t="s">
        <v>53</v>
      </c>
      <c r="G342" s="3" t="s">
        <v>54</v>
      </c>
      <c r="H342" s="3" t="s">
        <v>814</v>
      </c>
      <c r="I342" s="3" t="n">
        <v>4</v>
      </c>
      <c r="J342" s="3" t="n">
        <v>3</v>
      </c>
      <c r="K342" s="3" t="n">
        <v>4</v>
      </c>
      <c r="L342" s="3" t="n">
        <v>4</v>
      </c>
      <c r="M342" s="3" t="n">
        <v>4</v>
      </c>
      <c r="N342" s="3" t="n">
        <v>2</v>
      </c>
      <c r="O342" s="6" t="b">
        <f aca="false">FALSE()</f>
        <v>0</v>
      </c>
      <c r="P342" s="3" t="s">
        <v>36</v>
      </c>
      <c r="Q342" s="5" t="n">
        <v>46162.6215277778</v>
      </c>
      <c r="R342" s="5" t="n">
        <v>46162.9513888889</v>
      </c>
      <c r="S342" s="3" t="s">
        <v>37</v>
      </c>
      <c r="T342" s="7" t="n">
        <f aca="false">ROUND(MIN(IF(OR(O342=TRUE(),O342="TRUE",O342="Yes"),59,100),(I342*Rubric!$C$2+J342*Rubric!$C$3+K342*Rubric!$C$4+L342*Rubric!$C$5+M342*Rubric!$C$6+N342*Rubric!$C$7)/5),1)</f>
        <v>69</v>
      </c>
      <c r="U342" s="8" t="str">
        <f aca="false">LOOKUP(T342,Bands!$A$2:$A$6,Bands!$B$2:$B$6)</f>
        <v>Needs Improvement</v>
      </c>
      <c r="V342" s="8" t="n">
        <f aca="false">IF(Q342="","",ROUND((Q342-B342)*24,1))</f>
        <v>216</v>
      </c>
    </row>
    <row r="343" customFormat="false" ht="15" hidden="false" customHeight="false" outlineLevel="0" collapsed="false">
      <c r="A343" s="3" t="s">
        <v>815</v>
      </c>
      <c r="B343" s="5" t="n">
        <v>46153.4618055556</v>
      </c>
      <c r="C343" s="3" t="s">
        <v>30</v>
      </c>
      <c r="D343" s="3" t="s">
        <v>77</v>
      </c>
      <c r="E343" s="3" t="s">
        <v>78</v>
      </c>
      <c r="F343" s="3" t="s">
        <v>33</v>
      </c>
      <c r="G343" s="3" t="s">
        <v>34</v>
      </c>
      <c r="H343" s="3" t="s">
        <v>816</v>
      </c>
      <c r="I343" s="3" t="n">
        <v>5</v>
      </c>
      <c r="J343" s="3" t="n">
        <v>5</v>
      </c>
      <c r="K343" s="3" t="n">
        <v>2</v>
      </c>
      <c r="L343" s="3" t="n">
        <v>5</v>
      </c>
      <c r="M343" s="3" t="n">
        <v>4</v>
      </c>
      <c r="N343" s="3" t="n">
        <v>5</v>
      </c>
      <c r="O343" s="6" t="b">
        <f aca="false">FALSE()</f>
        <v>0</v>
      </c>
      <c r="P343" s="3" t="s">
        <v>49</v>
      </c>
      <c r="Q343" s="5" t="n">
        <v>46158.4618055556</v>
      </c>
      <c r="R343" s="5" t="n">
        <v>46160.3944444444</v>
      </c>
      <c r="S343" s="3" t="s">
        <v>37</v>
      </c>
      <c r="T343" s="7" t="n">
        <f aca="false">ROUND(MIN(IF(OR(O343=TRUE(),O343="TRUE",O343="Yes"),59,100),(I343*Rubric!$C$2+J343*Rubric!$C$3+K343*Rubric!$C$4+L343*Rubric!$C$5+M343*Rubric!$C$6+N343*Rubric!$C$7)/5),1)</f>
        <v>86</v>
      </c>
      <c r="U343" s="8" t="str">
        <f aca="false">LOOKUP(T343,Bands!$A$2:$A$6,Bands!$B$2:$B$6)</f>
        <v>Solid Performance</v>
      </c>
      <c r="V343" s="8" t="n">
        <f aca="false">IF(Q343="","",ROUND((Q343-B343)*24,1))</f>
        <v>120</v>
      </c>
    </row>
    <row r="344" customFormat="false" ht="15" hidden="false" customHeight="false" outlineLevel="0" collapsed="false">
      <c r="A344" s="3" t="s">
        <v>817</v>
      </c>
      <c r="B344" s="5" t="n">
        <v>46153.5930555556</v>
      </c>
      <c r="C344" s="3" t="s">
        <v>30</v>
      </c>
      <c r="D344" s="3" t="s">
        <v>265</v>
      </c>
      <c r="E344" s="3" t="s">
        <v>266</v>
      </c>
      <c r="F344" s="3" t="s">
        <v>33</v>
      </c>
      <c r="G344" s="3" t="s">
        <v>42</v>
      </c>
      <c r="H344" s="3" t="s">
        <v>818</v>
      </c>
      <c r="I344" s="3" t="n">
        <v>4</v>
      </c>
      <c r="J344" s="3" t="n">
        <v>2</v>
      </c>
      <c r="K344" s="3" t="n">
        <v>4</v>
      </c>
      <c r="L344" s="3" t="n">
        <v>3</v>
      </c>
      <c r="M344" s="3" t="n">
        <v>4</v>
      </c>
      <c r="N344" s="3" t="n">
        <v>4</v>
      </c>
      <c r="O344" s="6" t="b">
        <f aca="false">FALSE()</f>
        <v>0</v>
      </c>
      <c r="P344" s="3" t="s">
        <v>56</v>
      </c>
      <c r="Q344" s="5" t="n">
        <v>46159.5930555556</v>
      </c>
      <c r="R344" s="5" t="n">
        <v>46162.5423611111</v>
      </c>
      <c r="S344" s="3" t="s">
        <v>37</v>
      </c>
      <c r="T344" s="7" t="n">
        <f aca="false">ROUND(MIN(IF(OR(O344=TRUE(),O344="TRUE",O344="Yes"),59,100),(I344*Rubric!$C$2+J344*Rubric!$C$3+K344*Rubric!$C$4+L344*Rubric!$C$5+M344*Rubric!$C$6+N344*Rubric!$C$7)/5),1)</f>
        <v>67</v>
      </c>
      <c r="U344" s="8" t="str">
        <f aca="false">LOOKUP(T344,Bands!$A$2:$A$6,Bands!$B$2:$B$6)</f>
        <v>Needs Improvement</v>
      </c>
      <c r="V344" s="8" t="n">
        <f aca="false">IF(Q344="","",ROUND((Q344-B344)*24,1))</f>
        <v>144</v>
      </c>
    </row>
    <row r="345" customFormat="false" ht="15" hidden="false" customHeight="false" outlineLevel="0" collapsed="false">
      <c r="A345" s="3" t="s">
        <v>819</v>
      </c>
      <c r="B345" s="5" t="n">
        <v>46153.6895833333</v>
      </c>
      <c r="C345" s="3" t="s">
        <v>68</v>
      </c>
      <c r="D345" s="3" t="s">
        <v>251</v>
      </c>
      <c r="E345" s="3" t="s">
        <v>252</v>
      </c>
      <c r="F345" s="3" t="s">
        <v>53</v>
      </c>
      <c r="G345" s="3" t="s">
        <v>54</v>
      </c>
      <c r="H345" s="3" t="s">
        <v>820</v>
      </c>
      <c r="I345" s="3" t="n">
        <v>4</v>
      </c>
      <c r="J345" s="3" t="n">
        <v>5</v>
      </c>
      <c r="K345" s="3" t="n">
        <v>3</v>
      </c>
      <c r="L345" s="3" t="n">
        <v>3</v>
      </c>
      <c r="M345" s="3" t="n">
        <v>3</v>
      </c>
      <c r="N345" s="3" t="n">
        <v>4</v>
      </c>
      <c r="O345" s="6" t="b">
        <f aca="false">FALSE()</f>
        <v>0</v>
      </c>
      <c r="P345" s="3"/>
      <c r="Q345" s="5" t="n">
        <v>46162.6895833333</v>
      </c>
      <c r="R345" s="5" t="n">
        <v>46163.2805555556</v>
      </c>
      <c r="S345" s="3" t="s">
        <v>37</v>
      </c>
      <c r="T345" s="7" t="n">
        <f aca="false">ROUND(MIN(IF(OR(O345=TRUE(),O345="TRUE",O345="Yes"),59,100),(I345*Rubric!$C$2+J345*Rubric!$C$3+K345*Rubric!$C$4+L345*Rubric!$C$5+M345*Rubric!$C$6+N345*Rubric!$C$7)/5),1)</f>
        <v>76</v>
      </c>
      <c r="U345" s="8" t="str">
        <f aca="false">LOOKUP(T345,Bands!$A$2:$A$6,Bands!$B$2:$B$6)</f>
        <v>Meets Expectations</v>
      </c>
      <c r="V345" s="8" t="n">
        <f aca="false">IF(Q345="","",ROUND((Q345-B345)*24,1))</f>
        <v>216</v>
      </c>
    </row>
    <row r="346" customFormat="false" ht="15" hidden="false" customHeight="false" outlineLevel="0" collapsed="false">
      <c r="A346" s="3" t="s">
        <v>821</v>
      </c>
      <c r="B346" s="5" t="n">
        <v>46153.4375</v>
      </c>
      <c r="C346" s="3" t="s">
        <v>39</v>
      </c>
      <c r="D346" s="3" t="s">
        <v>58</v>
      </c>
      <c r="E346" s="3" t="s">
        <v>59</v>
      </c>
      <c r="F346" s="3" t="s">
        <v>53</v>
      </c>
      <c r="G346" s="3" t="s">
        <v>54</v>
      </c>
      <c r="H346" s="3" t="s">
        <v>822</v>
      </c>
      <c r="I346" s="3" t="n">
        <v>4</v>
      </c>
      <c r="J346" s="3" t="n">
        <v>3</v>
      </c>
      <c r="K346" s="3" t="n">
        <v>2</v>
      </c>
      <c r="L346" s="3" t="n">
        <v>4</v>
      </c>
      <c r="M346" s="3" t="n">
        <v>3</v>
      </c>
      <c r="N346" s="3" t="n">
        <v>4</v>
      </c>
      <c r="O346" s="6" t="b">
        <f aca="false">FALSE()</f>
        <v>0</v>
      </c>
      <c r="P346" s="3" t="s">
        <v>49</v>
      </c>
      <c r="Q346" s="5" t="n">
        <v>46159.4375</v>
      </c>
      <c r="R346" s="5" t="n">
        <v>46164.6048611111</v>
      </c>
      <c r="S346" s="3" t="s">
        <v>37</v>
      </c>
      <c r="T346" s="7" t="n">
        <f aca="false">ROUND(MIN(IF(OR(O346=TRUE(),O346="TRUE",O346="Yes"),59,100),(I346*Rubric!$C$2+J346*Rubric!$C$3+K346*Rubric!$C$4+L346*Rubric!$C$5+M346*Rubric!$C$6+N346*Rubric!$C$7)/5),1)</f>
        <v>65</v>
      </c>
      <c r="U346" s="8" t="str">
        <f aca="false">LOOKUP(T346,Bands!$A$2:$A$6,Bands!$B$2:$B$6)</f>
        <v>Needs Improvement</v>
      </c>
      <c r="V346" s="8" t="n">
        <f aca="false">IF(Q346="","",ROUND((Q346-B346)*24,1))</f>
        <v>144</v>
      </c>
    </row>
    <row r="347" customFormat="false" ht="15" hidden="false" customHeight="false" outlineLevel="0" collapsed="false">
      <c r="A347" s="3" t="s">
        <v>823</v>
      </c>
      <c r="B347" s="5" t="n">
        <v>46153.5472222222</v>
      </c>
      <c r="C347" s="3" t="s">
        <v>39</v>
      </c>
      <c r="D347" s="3" t="s">
        <v>293</v>
      </c>
      <c r="E347" s="3" t="s">
        <v>294</v>
      </c>
      <c r="F347" s="3" t="s">
        <v>65</v>
      </c>
      <c r="G347" s="3" t="s">
        <v>34</v>
      </c>
      <c r="H347" s="3" t="s">
        <v>824</v>
      </c>
      <c r="I347" s="3" t="n">
        <v>5</v>
      </c>
      <c r="J347" s="3" t="n">
        <v>5</v>
      </c>
      <c r="K347" s="3" t="n">
        <v>5</v>
      </c>
      <c r="L347" s="3" t="n">
        <v>1</v>
      </c>
      <c r="M347" s="3" t="n">
        <v>5</v>
      </c>
      <c r="N347" s="3" t="n">
        <v>4</v>
      </c>
      <c r="O347" s="6" t="b">
        <f aca="false">FALSE()</f>
        <v>0</v>
      </c>
      <c r="P347" s="3" t="s">
        <v>44</v>
      </c>
      <c r="Q347" s="5" t="n">
        <v>46158.5472222222</v>
      </c>
      <c r="R347" s="5" t="n">
        <v>46159.41875</v>
      </c>
      <c r="S347" s="3" t="s">
        <v>37</v>
      </c>
      <c r="T347" s="7" t="n">
        <f aca="false">ROUND(MIN(IF(OR(O347=TRUE(),O347="TRUE",O347="Yes"),59,100),(I347*Rubric!$C$2+J347*Rubric!$C$3+K347*Rubric!$C$4+L347*Rubric!$C$5+M347*Rubric!$C$6+N347*Rubric!$C$7)/5),1)</f>
        <v>85</v>
      </c>
      <c r="U347" s="8" t="str">
        <f aca="false">LOOKUP(T347,Bands!$A$2:$A$6,Bands!$B$2:$B$6)</f>
        <v>Solid Performance</v>
      </c>
      <c r="V347" s="8" t="n">
        <f aca="false">IF(Q347="","",ROUND((Q347-B347)*24,1))</f>
        <v>120</v>
      </c>
    </row>
    <row r="348" customFormat="false" ht="15" hidden="false" customHeight="false" outlineLevel="0" collapsed="false">
      <c r="A348" s="3" t="s">
        <v>825</v>
      </c>
      <c r="B348" s="5" t="n">
        <v>46153.3916666667</v>
      </c>
      <c r="C348" s="3" t="s">
        <v>68</v>
      </c>
      <c r="D348" s="3" t="s">
        <v>90</v>
      </c>
      <c r="E348" s="3" t="s">
        <v>91</v>
      </c>
      <c r="F348" s="3" t="s">
        <v>65</v>
      </c>
      <c r="G348" s="3" t="s">
        <v>34</v>
      </c>
      <c r="H348" s="3" t="s">
        <v>826</v>
      </c>
      <c r="I348" s="3" t="n">
        <v>3</v>
      </c>
      <c r="J348" s="3" t="n">
        <v>5</v>
      </c>
      <c r="K348" s="3" t="n">
        <v>4</v>
      </c>
      <c r="L348" s="3" t="n">
        <v>2</v>
      </c>
      <c r="M348" s="3" t="n">
        <v>4</v>
      </c>
      <c r="N348" s="3" t="n">
        <v>4</v>
      </c>
      <c r="O348" s="6" t="b">
        <f aca="false">FALSE()</f>
        <v>0</v>
      </c>
      <c r="P348" s="3" t="s">
        <v>44</v>
      </c>
      <c r="Q348" s="5" t="n">
        <v>46160.3916666667</v>
      </c>
      <c r="R348" s="5" t="n">
        <v>46160.7958333333</v>
      </c>
      <c r="S348" s="3" t="s">
        <v>37</v>
      </c>
      <c r="T348" s="7" t="n">
        <f aca="false">ROUND(MIN(IF(OR(O348=TRUE(),O348="TRUE",O348="Yes"),59,100),(I348*Rubric!$C$2+J348*Rubric!$C$3+K348*Rubric!$C$4+L348*Rubric!$C$5+M348*Rubric!$C$6+N348*Rubric!$C$7)/5),1)</f>
        <v>76</v>
      </c>
      <c r="U348" s="8" t="str">
        <f aca="false">LOOKUP(T348,Bands!$A$2:$A$6,Bands!$B$2:$B$6)</f>
        <v>Meets Expectations</v>
      </c>
      <c r="V348" s="8" t="n">
        <f aca="false">IF(Q348="","",ROUND((Q348-B348)*24,1))</f>
        <v>168</v>
      </c>
    </row>
    <row r="349" customFormat="false" ht="15" hidden="false" customHeight="false" outlineLevel="0" collapsed="false">
      <c r="A349" s="3" t="s">
        <v>827</v>
      </c>
      <c r="B349" s="5" t="n">
        <v>46153.5743055556</v>
      </c>
      <c r="C349" s="3" t="s">
        <v>39</v>
      </c>
      <c r="D349" s="3" t="s">
        <v>238</v>
      </c>
      <c r="E349" s="3" t="s">
        <v>239</v>
      </c>
      <c r="F349" s="3" t="s">
        <v>33</v>
      </c>
      <c r="G349" s="3" t="s">
        <v>42</v>
      </c>
      <c r="H349" s="3" t="s">
        <v>828</v>
      </c>
      <c r="I349" s="3" t="n">
        <v>4</v>
      </c>
      <c r="J349" s="3" t="n">
        <v>4</v>
      </c>
      <c r="K349" s="3" t="n">
        <v>4</v>
      </c>
      <c r="L349" s="3" t="n">
        <v>4</v>
      </c>
      <c r="M349" s="3" t="n">
        <v>3</v>
      </c>
      <c r="N349" s="3" t="n">
        <v>3</v>
      </c>
      <c r="O349" s="6" t="b">
        <f aca="false">FALSE()</f>
        <v>0</v>
      </c>
      <c r="P349" s="3"/>
      <c r="Q349" s="5" t="n">
        <v>46158.5743055556</v>
      </c>
      <c r="R349" s="5" t="n">
        <v>46159.0319444445</v>
      </c>
      <c r="S349" s="3" t="s">
        <v>37</v>
      </c>
      <c r="T349" s="7" t="n">
        <f aca="false">ROUND(MIN(IF(OR(O349=TRUE(),O349="TRUE",O349="Yes"),59,100),(I349*Rubric!$C$2+J349*Rubric!$C$3+K349*Rubric!$C$4+L349*Rubric!$C$5+M349*Rubric!$C$6+N349*Rubric!$C$7)/5),1)</f>
        <v>75</v>
      </c>
      <c r="U349" s="8" t="str">
        <f aca="false">LOOKUP(T349,Bands!$A$2:$A$6,Bands!$B$2:$B$6)</f>
        <v>Meets Expectations</v>
      </c>
      <c r="V349" s="8" t="n">
        <f aca="false">IF(Q349="","",ROUND((Q349-B349)*24,1))</f>
        <v>120</v>
      </c>
    </row>
    <row r="350" customFormat="false" ht="15" hidden="false" customHeight="false" outlineLevel="0" collapsed="false">
      <c r="A350" s="3" t="s">
        <v>829</v>
      </c>
      <c r="B350" s="5" t="n">
        <v>46154.4993055556</v>
      </c>
      <c r="C350" s="3" t="s">
        <v>39</v>
      </c>
      <c r="D350" s="3" t="s">
        <v>77</v>
      </c>
      <c r="E350" s="3" t="s">
        <v>78</v>
      </c>
      <c r="F350" s="3" t="s">
        <v>33</v>
      </c>
      <c r="G350" s="3" t="s">
        <v>54</v>
      </c>
      <c r="H350" s="3" t="s">
        <v>830</v>
      </c>
      <c r="I350" s="3" t="n">
        <v>5</v>
      </c>
      <c r="J350" s="3" t="n">
        <v>5</v>
      </c>
      <c r="K350" s="3" t="n">
        <v>3</v>
      </c>
      <c r="L350" s="3" t="n">
        <v>5</v>
      </c>
      <c r="M350" s="3" t="n">
        <v>5</v>
      </c>
      <c r="N350" s="3" t="n">
        <v>5</v>
      </c>
      <c r="O350" s="6" t="b">
        <f aca="false">FALSE()</f>
        <v>0</v>
      </c>
      <c r="P350" s="3"/>
      <c r="Q350" s="5" t="n">
        <v>46161.4993055556</v>
      </c>
      <c r="R350" s="5" t="n">
        <v>46163.3791666667</v>
      </c>
      <c r="S350" s="3" t="s">
        <v>37</v>
      </c>
      <c r="T350" s="7" t="n">
        <f aca="false">ROUND(MIN(IF(OR(O350=TRUE(),O350="TRUE",O350="Yes"),59,100),(I350*Rubric!$C$2+J350*Rubric!$C$3+K350*Rubric!$C$4+L350*Rubric!$C$5+M350*Rubric!$C$6+N350*Rubric!$C$7)/5),1)</f>
        <v>92</v>
      </c>
      <c r="U350" s="8" t="str">
        <f aca="false">LOOKUP(T350,Bands!$A$2:$A$6,Bands!$B$2:$B$6)</f>
        <v>Outstanding</v>
      </c>
      <c r="V350" s="8" t="n">
        <f aca="false">IF(Q350="","",ROUND((Q350-B350)*24,1))</f>
        <v>168</v>
      </c>
    </row>
    <row r="351" customFormat="false" ht="15" hidden="false" customHeight="false" outlineLevel="0" collapsed="false">
      <c r="A351" s="3" t="s">
        <v>831</v>
      </c>
      <c r="B351" s="5" t="n">
        <v>46154.4194444444</v>
      </c>
      <c r="C351" s="3" t="s">
        <v>30</v>
      </c>
      <c r="D351" s="3" t="s">
        <v>238</v>
      </c>
      <c r="E351" s="3" t="s">
        <v>239</v>
      </c>
      <c r="F351" s="3" t="s">
        <v>33</v>
      </c>
      <c r="G351" s="3" t="s">
        <v>54</v>
      </c>
      <c r="H351" s="3" t="s">
        <v>832</v>
      </c>
      <c r="I351" s="3" t="n">
        <v>5</v>
      </c>
      <c r="J351" s="3" t="n">
        <v>4</v>
      </c>
      <c r="K351" s="3" t="n">
        <v>4</v>
      </c>
      <c r="L351" s="3" t="n">
        <v>4</v>
      </c>
      <c r="M351" s="3" t="n">
        <v>3</v>
      </c>
      <c r="N351" s="3" t="n">
        <v>4</v>
      </c>
      <c r="O351" s="6" t="b">
        <f aca="false">FALSE()</f>
        <v>0</v>
      </c>
      <c r="P351" s="3"/>
      <c r="Q351" s="5" t="n">
        <v>46159.4194444444</v>
      </c>
      <c r="R351" s="5" t="n">
        <v>46161.6118055556</v>
      </c>
      <c r="S351" s="3" t="s">
        <v>37</v>
      </c>
      <c r="T351" s="7" t="n">
        <f aca="false">ROUND(MIN(IF(OR(O351=TRUE(),O351="TRUE",O351="Yes"),59,100),(I351*Rubric!$C$2+J351*Rubric!$C$3+K351*Rubric!$C$4+L351*Rubric!$C$5+M351*Rubric!$C$6+N351*Rubric!$C$7)/5),1)</f>
        <v>81</v>
      </c>
      <c r="U351" s="8" t="str">
        <f aca="false">LOOKUP(T351,Bands!$A$2:$A$6,Bands!$B$2:$B$6)</f>
        <v>Solid Performance</v>
      </c>
      <c r="V351" s="8" t="n">
        <f aca="false">IF(Q351="","",ROUND((Q351-B351)*24,1))</f>
        <v>120</v>
      </c>
    </row>
    <row r="352" customFormat="false" ht="15" hidden="false" customHeight="false" outlineLevel="0" collapsed="false">
      <c r="A352" s="3" t="s">
        <v>833</v>
      </c>
      <c r="B352" s="5" t="n">
        <v>46154.5270833333</v>
      </c>
      <c r="C352" s="3" t="s">
        <v>68</v>
      </c>
      <c r="D352" s="3" t="s">
        <v>105</v>
      </c>
      <c r="E352" s="3" t="s">
        <v>106</v>
      </c>
      <c r="F352" s="3" t="s">
        <v>65</v>
      </c>
      <c r="G352" s="3" t="s">
        <v>54</v>
      </c>
      <c r="H352" s="3" t="s">
        <v>834</v>
      </c>
      <c r="I352" s="3" t="n">
        <v>4</v>
      </c>
      <c r="J352" s="3" t="n">
        <v>3</v>
      </c>
      <c r="K352" s="3" t="n">
        <v>5</v>
      </c>
      <c r="L352" s="3" t="n">
        <v>4</v>
      </c>
      <c r="M352" s="3" t="n">
        <v>5</v>
      </c>
      <c r="N352" s="3" t="n">
        <v>4</v>
      </c>
      <c r="O352" s="6" t="b">
        <f aca="false">FALSE()</f>
        <v>0</v>
      </c>
      <c r="P352" s="3"/>
      <c r="Q352" s="5" t="n">
        <v>46158.5270833333</v>
      </c>
      <c r="R352" s="5" t="n">
        <v>46159.3166666667</v>
      </c>
      <c r="S352" s="3" t="s">
        <v>37</v>
      </c>
      <c r="T352" s="7" t="n">
        <f aca="false">ROUND(MIN(IF(OR(O352=TRUE(),O352="TRUE",O352="Yes"),59,100),(I352*Rubric!$C$2+J352*Rubric!$C$3+K352*Rubric!$C$4+L352*Rubric!$C$5+M352*Rubric!$C$6+N352*Rubric!$C$7)/5),1)</f>
        <v>81</v>
      </c>
      <c r="U352" s="8" t="str">
        <f aca="false">LOOKUP(T352,Bands!$A$2:$A$6,Bands!$B$2:$B$6)</f>
        <v>Solid Performance</v>
      </c>
      <c r="V352" s="8" t="n">
        <f aca="false">IF(Q352="","",ROUND((Q352-B352)*24,1))</f>
        <v>96</v>
      </c>
    </row>
    <row r="353" customFormat="false" ht="15" hidden="false" customHeight="false" outlineLevel="0" collapsed="false">
      <c r="A353" s="3" t="s">
        <v>835</v>
      </c>
      <c r="B353" s="5" t="n">
        <v>46154.6895833333</v>
      </c>
      <c r="C353" s="3" t="s">
        <v>30</v>
      </c>
      <c r="D353" s="3" t="s">
        <v>119</v>
      </c>
      <c r="E353" s="3" t="s">
        <v>120</v>
      </c>
      <c r="F353" s="3" t="s">
        <v>33</v>
      </c>
      <c r="G353" s="3" t="s">
        <v>42</v>
      </c>
      <c r="H353" s="3" t="s">
        <v>836</v>
      </c>
      <c r="I353" s="3" t="n">
        <v>3</v>
      </c>
      <c r="J353" s="3" t="n">
        <v>4</v>
      </c>
      <c r="K353" s="3" t="n">
        <v>4</v>
      </c>
      <c r="L353" s="3" t="n">
        <v>5</v>
      </c>
      <c r="M353" s="3" t="n">
        <v>4</v>
      </c>
      <c r="N353" s="3" t="n">
        <v>0</v>
      </c>
      <c r="O353" s="6" t="b">
        <f aca="false">TRUE()</f>
        <v>1</v>
      </c>
      <c r="P353" s="3" t="s">
        <v>36</v>
      </c>
      <c r="Q353" s="5" t="n">
        <v>46158.6895833333</v>
      </c>
      <c r="R353" s="5" t="n">
        <v>46160.4090277778</v>
      </c>
      <c r="S353" s="3" t="s">
        <v>37</v>
      </c>
      <c r="T353" s="7" t="n">
        <f aca="false">ROUND(MIN(IF(OR(O353=TRUE(),O353="TRUE",O353="Yes"),59,100),(I353*Rubric!$C$2+J353*Rubric!$C$3+K353*Rubric!$C$4+L353*Rubric!$C$5+M353*Rubric!$C$6+N353*Rubric!$C$7)/5),1)</f>
        <v>59</v>
      </c>
      <c r="U353" s="8" t="str">
        <f aca="false">LOOKUP(T353,Bands!$A$2:$A$6,Bands!$B$2:$B$6)</f>
        <v>Critical</v>
      </c>
      <c r="V353" s="8" t="n">
        <f aca="false">IF(Q353="","",ROUND((Q353-B353)*24,1))</f>
        <v>96</v>
      </c>
    </row>
    <row r="354" customFormat="false" ht="15" hidden="false" customHeight="false" outlineLevel="0" collapsed="false">
      <c r="A354" s="3" t="s">
        <v>837</v>
      </c>
      <c r="B354" s="5" t="n">
        <v>46154.4743055556</v>
      </c>
      <c r="C354" s="3" t="s">
        <v>39</v>
      </c>
      <c r="D354" s="3" t="s">
        <v>251</v>
      </c>
      <c r="E354" s="3" t="s">
        <v>252</v>
      </c>
      <c r="F354" s="3" t="s">
        <v>53</v>
      </c>
      <c r="G354" s="3" t="s">
        <v>42</v>
      </c>
      <c r="H354" s="3" t="s">
        <v>838</v>
      </c>
      <c r="I354" s="3" t="n">
        <v>4</v>
      </c>
      <c r="J354" s="3" t="n">
        <v>4</v>
      </c>
      <c r="K354" s="3" t="n">
        <v>4</v>
      </c>
      <c r="L354" s="3" t="n">
        <v>4</v>
      </c>
      <c r="M354" s="3" t="n">
        <v>2</v>
      </c>
      <c r="N354" s="3" t="n">
        <v>5</v>
      </c>
      <c r="O354" s="6" t="b">
        <f aca="false">FALSE()</f>
        <v>0</v>
      </c>
      <c r="P354" s="3" t="s">
        <v>103</v>
      </c>
      <c r="Q354" s="5" t="n">
        <v>46159.4743055556</v>
      </c>
      <c r="R354" s="5" t="n">
        <v>46159.7138888889</v>
      </c>
      <c r="S354" s="3" t="s">
        <v>37</v>
      </c>
      <c r="T354" s="7" t="n">
        <f aca="false">ROUND(MIN(IF(OR(O354=TRUE(),O354="TRUE",O354="Yes"),59,100),(I354*Rubric!$C$2+J354*Rubric!$C$3+K354*Rubric!$C$4+L354*Rubric!$C$5+M354*Rubric!$C$6+N354*Rubric!$C$7)/5),1)</f>
        <v>79</v>
      </c>
      <c r="U354" s="8" t="str">
        <f aca="false">LOOKUP(T354,Bands!$A$2:$A$6,Bands!$B$2:$B$6)</f>
        <v>Meets Expectations</v>
      </c>
      <c r="V354" s="8" t="n">
        <f aca="false">IF(Q354="","",ROUND((Q354-B354)*24,1))</f>
        <v>120</v>
      </c>
    </row>
    <row r="355" customFormat="false" ht="15" hidden="false" customHeight="false" outlineLevel="0" collapsed="false">
      <c r="A355" s="3" t="s">
        <v>839</v>
      </c>
      <c r="B355" s="5" t="n">
        <v>46154.4715277778</v>
      </c>
      <c r="C355" s="3" t="s">
        <v>68</v>
      </c>
      <c r="D355" s="3" t="s">
        <v>125</v>
      </c>
      <c r="E355" s="3" t="s">
        <v>126</v>
      </c>
      <c r="F355" s="3" t="s">
        <v>53</v>
      </c>
      <c r="G355" s="3" t="s">
        <v>54</v>
      </c>
      <c r="H355" s="3" t="s">
        <v>840</v>
      </c>
      <c r="I355" s="3" t="n">
        <v>4</v>
      </c>
      <c r="J355" s="3" t="n">
        <v>5</v>
      </c>
      <c r="K355" s="3" t="n">
        <v>4</v>
      </c>
      <c r="L355" s="3" t="n">
        <v>2</v>
      </c>
      <c r="M355" s="3" t="n">
        <v>4</v>
      </c>
      <c r="N355" s="3" t="n">
        <v>4</v>
      </c>
      <c r="O355" s="6" t="b">
        <f aca="false">FALSE()</f>
        <v>0</v>
      </c>
      <c r="P355" s="3" t="s">
        <v>44</v>
      </c>
      <c r="Q355" s="5" t="n">
        <v>46157.4715277778</v>
      </c>
      <c r="R355" s="5" t="n">
        <v>46157.6388888889</v>
      </c>
      <c r="S355" s="3" t="s">
        <v>37</v>
      </c>
      <c r="T355" s="7" t="n">
        <f aca="false">ROUND(MIN(IF(OR(O355=TRUE(),O355="TRUE",O355="Yes"),59,100),(I355*Rubric!$C$2+J355*Rubric!$C$3+K355*Rubric!$C$4+L355*Rubric!$C$5+M355*Rubric!$C$6+N355*Rubric!$C$7)/5),1)</f>
        <v>79</v>
      </c>
      <c r="U355" s="8" t="str">
        <f aca="false">LOOKUP(T355,Bands!$A$2:$A$6,Bands!$B$2:$B$6)</f>
        <v>Meets Expectations</v>
      </c>
      <c r="V355" s="8" t="n">
        <f aca="false">IF(Q355="","",ROUND((Q355-B355)*24,1))</f>
        <v>72</v>
      </c>
    </row>
    <row r="356" customFormat="false" ht="15" hidden="false" customHeight="false" outlineLevel="0" collapsed="false">
      <c r="A356" s="3" t="s">
        <v>841</v>
      </c>
      <c r="B356" s="5" t="n">
        <v>46154.4291666667</v>
      </c>
      <c r="C356" s="3" t="s">
        <v>68</v>
      </c>
      <c r="D356" s="3" t="s">
        <v>194</v>
      </c>
      <c r="E356" s="3" t="s">
        <v>195</v>
      </c>
      <c r="F356" s="3" t="s">
        <v>53</v>
      </c>
      <c r="G356" s="3" t="s">
        <v>54</v>
      </c>
      <c r="H356" s="3" t="s">
        <v>842</v>
      </c>
      <c r="I356" s="3" t="n">
        <v>5</v>
      </c>
      <c r="J356" s="3" t="n">
        <v>4</v>
      </c>
      <c r="K356" s="3" t="n">
        <v>5</v>
      </c>
      <c r="L356" s="3" t="n">
        <v>3</v>
      </c>
      <c r="M356" s="3" t="n">
        <v>5</v>
      </c>
      <c r="N356" s="3" t="n">
        <v>4</v>
      </c>
      <c r="O356" s="6" t="b">
        <f aca="false">FALSE()</f>
        <v>0</v>
      </c>
      <c r="P356" s="3"/>
      <c r="Q356" s="5" t="n">
        <v>46166.4291666667</v>
      </c>
      <c r="R356" s="5" t="n">
        <v>46167.2423611111</v>
      </c>
      <c r="S356" s="3" t="s">
        <v>37</v>
      </c>
      <c r="T356" s="7" t="n">
        <f aca="false">ROUND(MIN(IF(OR(O356=TRUE(),O356="TRUE",O356="Yes"),59,100),(I356*Rubric!$C$2+J356*Rubric!$C$3+K356*Rubric!$C$4+L356*Rubric!$C$5+M356*Rubric!$C$6+N356*Rubric!$C$7)/5),1)</f>
        <v>86</v>
      </c>
      <c r="U356" s="8" t="str">
        <f aca="false">LOOKUP(T356,Bands!$A$2:$A$6,Bands!$B$2:$B$6)</f>
        <v>Solid Performance</v>
      </c>
      <c r="V356" s="8" t="n">
        <f aca="false">IF(Q356="","",ROUND((Q356-B356)*24,1))</f>
        <v>288</v>
      </c>
    </row>
    <row r="357" customFormat="false" ht="15" hidden="false" customHeight="false" outlineLevel="0" collapsed="false">
      <c r="A357" s="3" t="s">
        <v>843</v>
      </c>
      <c r="B357" s="5" t="n">
        <v>46154.5520833333</v>
      </c>
      <c r="C357" s="3" t="s">
        <v>39</v>
      </c>
      <c r="D357" s="3" t="s">
        <v>133</v>
      </c>
      <c r="E357" s="3" t="s">
        <v>134</v>
      </c>
      <c r="F357" s="3" t="s">
        <v>33</v>
      </c>
      <c r="G357" s="3" t="s">
        <v>42</v>
      </c>
      <c r="H357" s="3" t="s">
        <v>844</v>
      </c>
      <c r="I357" s="3" t="n">
        <v>4</v>
      </c>
      <c r="J357" s="3" t="n">
        <v>2</v>
      </c>
      <c r="K357" s="3" t="n">
        <v>5</v>
      </c>
      <c r="L357" s="3" t="n">
        <v>4</v>
      </c>
      <c r="M357" s="3" t="n">
        <v>5</v>
      </c>
      <c r="N357" s="3" t="n">
        <v>4</v>
      </c>
      <c r="O357" s="6" t="b">
        <f aca="false">FALSE()</f>
        <v>0</v>
      </c>
      <c r="P357" s="3" t="s">
        <v>56</v>
      </c>
      <c r="Q357" s="5" t="n">
        <v>46159.5520833333</v>
      </c>
      <c r="R357" s="5" t="n">
        <v>46160.6916666667</v>
      </c>
      <c r="S357" s="3" t="s">
        <v>37</v>
      </c>
      <c r="T357" s="7" t="n">
        <f aca="false">ROUND(MIN(IF(OR(O357=TRUE(),O357="TRUE",O357="Yes"),59,100),(I357*Rubric!$C$2+J357*Rubric!$C$3+K357*Rubric!$C$4+L357*Rubric!$C$5+M357*Rubric!$C$6+N357*Rubric!$C$7)/5),1)</f>
        <v>76</v>
      </c>
      <c r="U357" s="8" t="str">
        <f aca="false">LOOKUP(T357,Bands!$A$2:$A$6,Bands!$B$2:$B$6)</f>
        <v>Meets Expectations</v>
      </c>
      <c r="V357" s="8" t="n">
        <f aca="false">IF(Q357="","",ROUND((Q357-B357)*24,1))</f>
        <v>120</v>
      </c>
    </row>
    <row r="358" customFormat="false" ht="15" hidden="false" customHeight="false" outlineLevel="0" collapsed="false">
      <c r="A358" s="3" t="s">
        <v>845</v>
      </c>
      <c r="B358" s="5" t="n">
        <v>46154.5736111111</v>
      </c>
      <c r="C358" s="3" t="s">
        <v>68</v>
      </c>
      <c r="D358" s="3" t="s">
        <v>167</v>
      </c>
      <c r="E358" s="3" t="s">
        <v>168</v>
      </c>
      <c r="F358" s="3" t="s">
        <v>33</v>
      </c>
      <c r="G358" s="3" t="s">
        <v>54</v>
      </c>
      <c r="H358" s="3" t="s">
        <v>846</v>
      </c>
      <c r="I358" s="3" t="n">
        <v>3</v>
      </c>
      <c r="J358" s="3" t="n">
        <v>3</v>
      </c>
      <c r="K358" s="3" t="n">
        <v>4</v>
      </c>
      <c r="L358" s="3" t="n">
        <v>4</v>
      </c>
      <c r="M358" s="3" t="n">
        <v>4</v>
      </c>
      <c r="N358" s="3" t="n">
        <v>5</v>
      </c>
      <c r="O358" s="6" t="b">
        <f aca="false">FALSE()</f>
        <v>0</v>
      </c>
      <c r="P358" s="3"/>
      <c r="Q358" s="5" t="n">
        <v>46161.5736111111</v>
      </c>
      <c r="R358" s="5" t="n">
        <v>46162.5020833333</v>
      </c>
      <c r="S358" s="3" t="s">
        <v>37</v>
      </c>
      <c r="T358" s="7" t="n">
        <f aca="false">ROUND(MIN(IF(OR(O358=TRUE(),O358="TRUE",O358="Yes"),59,100),(I358*Rubric!$C$2+J358*Rubric!$C$3+K358*Rubric!$C$4+L358*Rubric!$C$5+M358*Rubric!$C$6+N358*Rubric!$C$7)/5),1)</f>
        <v>75</v>
      </c>
      <c r="U358" s="8" t="str">
        <f aca="false">LOOKUP(T358,Bands!$A$2:$A$6,Bands!$B$2:$B$6)</f>
        <v>Meets Expectations</v>
      </c>
      <c r="V358" s="8" t="n">
        <f aca="false">IF(Q358="","",ROUND((Q358-B358)*24,1))</f>
        <v>168</v>
      </c>
    </row>
    <row r="359" customFormat="false" ht="15" hidden="false" customHeight="false" outlineLevel="0" collapsed="false">
      <c r="A359" s="3" t="s">
        <v>847</v>
      </c>
      <c r="B359" s="5" t="n">
        <v>46154.5388888889</v>
      </c>
      <c r="C359" s="3" t="s">
        <v>68</v>
      </c>
      <c r="D359" s="3" t="s">
        <v>259</v>
      </c>
      <c r="E359" s="3" t="s">
        <v>260</v>
      </c>
      <c r="F359" s="3" t="s">
        <v>33</v>
      </c>
      <c r="G359" s="3" t="s">
        <v>54</v>
      </c>
      <c r="H359" s="3" t="s">
        <v>848</v>
      </c>
      <c r="I359" s="3" t="n">
        <v>5</v>
      </c>
      <c r="J359" s="3" t="n">
        <v>5</v>
      </c>
      <c r="K359" s="3" t="n">
        <v>3</v>
      </c>
      <c r="L359" s="3" t="n">
        <v>4</v>
      </c>
      <c r="M359" s="3" t="n">
        <v>5</v>
      </c>
      <c r="N359" s="3" t="n">
        <v>4</v>
      </c>
      <c r="O359" s="6" t="b">
        <f aca="false">FALSE()</f>
        <v>0</v>
      </c>
      <c r="P359" s="3"/>
      <c r="Q359" s="5" t="n">
        <v>46157.5388888889</v>
      </c>
      <c r="R359" s="5" t="n">
        <v>46158.3916666667</v>
      </c>
      <c r="S359" s="3" t="s">
        <v>37</v>
      </c>
      <c r="T359" s="7" t="n">
        <f aca="false">ROUND(MIN(IF(OR(O359=TRUE(),O359="TRUE",O359="Yes"),59,100),(I359*Rubric!$C$2+J359*Rubric!$C$3+K359*Rubric!$C$4+L359*Rubric!$C$5+M359*Rubric!$C$6+N359*Rubric!$C$7)/5),1)</f>
        <v>86</v>
      </c>
      <c r="U359" s="8" t="str">
        <f aca="false">LOOKUP(T359,Bands!$A$2:$A$6,Bands!$B$2:$B$6)</f>
        <v>Solid Performance</v>
      </c>
      <c r="V359" s="8" t="n">
        <f aca="false">IF(Q359="","",ROUND((Q359-B359)*24,1))</f>
        <v>72</v>
      </c>
    </row>
    <row r="360" customFormat="false" ht="15" hidden="false" customHeight="false" outlineLevel="0" collapsed="false">
      <c r="A360" s="3" t="s">
        <v>849</v>
      </c>
      <c r="B360" s="5" t="n">
        <v>46154.4597222222</v>
      </c>
      <c r="C360" s="3" t="s">
        <v>39</v>
      </c>
      <c r="D360" s="3" t="s">
        <v>212</v>
      </c>
      <c r="E360" s="3" t="s">
        <v>213</v>
      </c>
      <c r="F360" s="3" t="s">
        <v>33</v>
      </c>
      <c r="G360" s="3" t="s">
        <v>42</v>
      </c>
      <c r="H360" s="3" t="s">
        <v>850</v>
      </c>
      <c r="I360" s="3" t="n">
        <v>3</v>
      </c>
      <c r="J360" s="3" t="n">
        <v>3</v>
      </c>
      <c r="K360" s="3" t="n">
        <v>2</v>
      </c>
      <c r="L360" s="3" t="n">
        <v>3</v>
      </c>
      <c r="M360" s="3" t="n">
        <v>4</v>
      </c>
      <c r="N360" s="3" t="n">
        <v>4</v>
      </c>
      <c r="O360" s="6" t="b">
        <f aca="false">FALSE()</f>
        <v>0</v>
      </c>
      <c r="P360" s="3" t="s">
        <v>49</v>
      </c>
      <c r="Q360" s="5" t="n">
        <v>46163.4597222222</v>
      </c>
      <c r="R360" s="5" t="n">
        <v>46165.2340277778</v>
      </c>
      <c r="S360" s="3" t="s">
        <v>37</v>
      </c>
      <c r="T360" s="7" t="n">
        <f aca="false">ROUND(MIN(IF(OR(O360=TRUE(),O360="TRUE",O360="Yes"),59,100),(I360*Rubric!$C$2+J360*Rubric!$C$3+K360*Rubric!$C$4+L360*Rubric!$C$5+M360*Rubric!$C$6+N360*Rubric!$C$7)/5),1)</f>
        <v>61</v>
      </c>
      <c r="U360" s="8" t="str">
        <f aca="false">LOOKUP(T360,Bands!$A$2:$A$6,Bands!$B$2:$B$6)</f>
        <v>Needs Improvement</v>
      </c>
      <c r="V360" s="8" t="n">
        <f aca="false">IF(Q360="","",ROUND((Q360-B360)*24,1))</f>
        <v>216</v>
      </c>
    </row>
    <row r="361" customFormat="false" ht="15" hidden="false" customHeight="false" outlineLevel="0" collapsed="false">
      <c r="A361" s="3" t="s">
        <v>851</v>
      </c>
      <c r="B361" s="5" t="n">
        <v>46154.6854166667</v>
      </c>
      <c r="C361" s="3" t="s">
        <v>68</v>
      </c>
      <c r="D361" s="3" t="s">
        <v>85</v>
      </c>
      <c r="E361" s="3" t="s">
        <v>86</v>
      </c>
      <c r="F361" s="3" t="s">
        <v>33</v>
      </c>
      <c r="G361" s="3" t="s">
        <v>34</v>
      </c>
      <c r="H361" s="3" t="s">
        <v>852</v>
      </c>
      <c r="I361" s="3" t="n">
        <v>3</v>
      </c>
      <c r="J361" s="3" t="n">
        <v>4</v>
      </c>
      <c r="K361" s="3" t="n">
        <v>4</v>
      </c>
      <c r="L361" s="3" t="n">
        <v>4</v>
      </c>
      <c r="M361" s="3" t="n">
        <v>2</v>
      </c>
      <c r="N361" s="3" t="n">
        <v>5</v>
      </c>
      <c r="O361" s="6" t="b">
        <f aca="false">FALSE()</f>
        <v>0</v>
      </c>
      <c r="P361" s="3" t="s">
        <v>103</v>
      </c>
      <c r="Q361" s="5" t="n">
        <v>46160.6854166667</v>
      </c>
      <c r="R361" s="5" t="n">
        <v>46165.3194444445</v>
      </c>
      <c r="S361" s="3" t="s">
        <v>37</v>
      </c>
      <c r="T361" s="7" t="n">
        <f aca="false">ROUND(MIN(IF(OR(O361=TRUE(),O361="TRUE",O361="Yes"),59,100),(I361*Rubric!$C$2+J361*Rubric!$C$3+K361*Rubric!$C$4+L361*Rubric!$C$5+M361*Rubric!$C$6+N361*Rubric!$C$7)/5),1)</f>
        <v>76</v>
      </c>
      <c r="U361" s="8" t="str">
        <f aca="false">LOOKUP(T361,Bands!$A$2:$A$6,Bands!$B$2:$B$6)</f>
        <v>Meets Expectations</v>
      </c>
      <c r="V361" s="8" t="n">
        <f aca="false">IF(Q361="","",ROUND((Q361-B361)*24,1))</f>
        <v>144</v>
      </c>
    </row>
    <row r="362" customFormat="false" ht="15" hidden="false" customHeight="false" outlineLevel="0" collapsed="false">
      <c r="A362" s="3" t="s">
        <v>853</v>
      </c>
      <c r="B362" s="5" t="n">
        <v>46155.6743055556</v>
      </c>
      <c r="C362" s="3" t="s">
        <v>68</v>
      </c>
      <c r="D362" s="3" t="s">
        <v>90</v>
      </c>
      <c r="E362" s="3" t="s">
        <v>91</v>
      </c>
      <c r="F362" s="3" t="s">
        <v>65</v>
      </c>
      <c r="G362" s="3" t="s">
        <v>54</v>
      </c>
      <c r="H362" s="3" t="s">
        <v>854</v>
      </c>
      <c r="I362" s="3" t="n">
        <v>5</v>
      </c>
      <c r="J362" s="3" t="n">
        <v>4</v>
      </c>
      <c r="K362" s="3" t="n">
        <v>4</v>
      </c>
      <c r="L362" s="3" t="n">
        <v>1</v>
      </c>
      <c r="M362" s="3" t="n">
        <v>4</v>
      </c>
      <c r="N362" s="3" t="n">
        <v>4</v>
      </c>
      <c r="O362" s="6" t="b">
        <f aca="false">FALSE()</f>
        <v>0</v>
      </c>
      <c r="P362" s="3" t="s">
        <v>44</v>
      </c>
      <c r="Q362" s="5" t="n">
        <v>46167.6743055556</v>
      </c>
      <c r="R362" s="5" t="n">
        <v>46169.4013888889</v>
      </c>
      <c r="S362" s="3" t="s">
        <v>37</v>
      </c>
      <c r="T362" s="7" t="n">
        <f aca="false">ROUND(MIN(IF(OR(O362=TRUE(),O362="TRUE",O362="Yes"),59,100),(I362*Rubric!$C$2+J362*Rubric!$C$3+K362*Rubric!$C$4+L362*Rubric!$C$5+M362*Rubric!$C$6+N362*Rubric!$C$7)/5),1)</f>
        <v>74</v>
      </c>
      <c r="U362" s="8" t="str">
        <f aca="false">LOOKUP(T362,Bands!$A$2:$A$6,Bands!$B$2:$B$6)</f>
        <v>Meets Expectations</v>
      </c>
      <c r="V362" s="8" t="n">
        <f aca="false">IF(Q362="","",ROUND((Q362-B362)*24,1))</f>
        <v>288</v>
      </c>
    </row>
    <row r="363" customFormat="false" ht="15" hidden="false" customHeight="false" outlineLevel="0" collapsed="false">
      <c r="A363" s="3" t="s">
        <v>855</v>
      </c>
      <c r="B363" s="5" t="n">
        <v>46155.6930555556</v>
      </c>
      <c r="C363" s="3" t="s">
        <v>39</v>
      </c>
      <c r="D363" s="3" t="s">
        <v>119</v>
      </c>
      <c r="E363" s="3" t="s">
        <v>120</v>
      </c>
      <c r="F363" s="3" t="s">
        <v>33</v>
      </c>
      <c r="G363" s="3" t="s">
        <v>54</v>
      </c>
      <c r="H363" s="3" t="s">
        <v>856</v>
      </c>
      <c r="I363" s="3" t="n">
        <v>4</v>
      </c>
      <c r="J363" s="3" t="n">
        <v>4</v>
      </c>
      <c r="K363" s="3" t="n">
        <v>3</v>
      </c>
      <c r="L363" s="3" t="n">
        <v>3</v>
      </c>
      <c r="M363" s="3" t="n">
        <v>3</v>
      </c>
      <c r="N363" s="3" t="n">
        <v>2</v>
      </c>
      <c r="O363" s="6" t="b">
        <f aca="false">FALSE()</f>
        <v>0</v>
      </c>
      <c r="P363" s="3" t="s">
        <v>36</v>
      </c>
      <c r="Q363" s="5" t="n">
        <v>46167.6930555556</v>
      </c>
      <c r="R363" s="5" t="n">
        <v>46169.0194444444</v>
      </c>
      <c r="S363" s="3" t="s">
        <v>37</v>
      </c>
      <c r="T363" s="7" t="n">
        <f aca="false">ROUND(MIN(IF(OR(O363=TRUE(),O363="TRUE",O363="Yes"),59,100),(I363*Rubric!$C$2+J363*Rubric!$C$3+K363*Rubric!$C$4+L363*Rubric!$C$5+M363*Rubric!$C$6+N363*Rubric!$C$7)/5),1)</f>
        <v>65</v>
      </c>
      <c r="U363" s="8" t="str">
        <f aca="false">LOOKUP(T363,Bands!$A$2:$A$6,Bands!$B$2:$B$6)</f>
        <v>Needs Improvement</v>
      </c>
      <c r="V363" s="8" t="n">
        <f aca="false">IF(Q363="","",ROUND((Q363-B363)*24,1))</f>
        <v>288</v>
      </c>
    </row>
    <row r="364" customFormat="false" ht="15" hidden="false" customHeight="false" outlineLevel="0" collapsed="false">
      <c r="A364" s="3" t="s">
        <v>857</v>
      </c>
      <c r="B364" s="5" t="n">
        <v>46155.625</v>
      </c>
      <c r="C364" s="3" t="s">
        <v>68</v>
      </c>
      <c r="D364" s="3" t="s">
        <v>238</v>
      </c>
      <c r="E364" s="3" t="s">
        <v>239</v>
      </c>
      <c r="F364" s="3" t="s">
        <v>33</v>
      </c>
      <c r="G364" s="3" t="s">
        <v>54</v>
      </c>
      <c r="H364" s="3" t="s">
        <v>858</v>
      </c>
      <c r="I364" s="3" t="n">
        <v>5</v>
      </c>
      <c r="J364" s="3" t="n">
        <v>4</v>
      </c>
      <c r="K364" s="3" t="n">
        <v>4</v>
      </c>
      <c r="L364" s="3" t="n">
        <v>4</v>
      </c>
      <c r="M364" s="3" t="n">
        <v>2</v>
      </c>
      <c r="N364" s="3" t="n">
        <v>4</v>
      </c>
      <c r="O364" s="6" t="b">
        <f aca="false">FALSE()</f>
        <v>0</v>
      </c>
      <c r="P364" s="3" t="s">
        <v>103</v>
      </c>
      <c r="Q364" s="5" t="n">
        <v>46164.625</v>
      </c>
      <c r="R364" s="5" t="n">
        <v>46164.7118055556</v>
      </c>
      <c r="S364" s="3" t="s">
        <v>37</v>
      </c>
      <c r="T364" s="7" t="n">
        <f aca="false">ROUND(MIN(IF(OR(O364=TRUE(),O364="TRUE",O364="Yes"),59,100),(I364*Rubric!$C$2+J364*Rubric!$C$3+K364*Rubric!$C$4+L364*Rubric!$C$5+M364*Rubric!$C$6+N364*Rubric!$C$7)/5),1)</f>
        <v>79</v>
      </c>
      <c r="U364" s="8" t="str">
        <f aca="false">LOOKUP(T364,Bands!$A$2:$A$6,Bands!$B$2:$B$6)</f>
        <v>Meets Expectations</v>
      </c>
      <c r="V364" s="8" t="n">
        <f aca="false">IF(Q364="","",ROUND((Q364-B364)*24,1))</f>
        <v>216</v>
      </c>
    </row>
    <row r="365" customFormat="false" ht="15" hidden="false" customHeight="false" outlineLevel="0" collapsed="false">
      <c r="A365" s="3" t="s">
        <v>859</v>
      </c>
      <c r="B365" s="5" t="n">
        <v>46155.5666666667</v>
      </c>
      <c r="C365" s="3" t="s">
        <v>39</v>
      </c>
      <c r="D365" s="3" t="s">
        <v>202</v>
      </c>
      <c r="E365" s="3" t="s">
        <v>203</v>
      </c>
      <c r="F365" s="3" t="s">
        <v>53</v>
      </c>
      <c r="G365" s="3" t="s">
        <v>54</v>
      </c>
      <c r="H365" s="3" t="s">
        <v>860</v>
      </c>
      <c r="I365" s="3" t="n">
        <v>3</v>
      </c>
      <c r="J365" s="3" t="n">
        <v>4</v>
      </c>
      <c r="K365" s="3" t="n">
        <v>4</v>
      </c>
      <c r="L365" s="3" t="n">
        <v>2</v>
      </c>
      <c r="M365" s="3" t="n">
        <v>3</v>
      </c>
      <c r="N365" s="3" t="n">
        <v>4</v>
      </c>
      <c r="O365" s="6" t="b">
        <f aca="false">FALSE()</f>
        <v>0</v>
      </c>
      <c r="P365" s="3" t="s">
        <v>44</v>
      </c>
      <c r="Q365" s="5" t="n">
        <v>46161.5666666667</v>
      </c>
      <c r="R365" s="5" t="n">
        <v>46164.0534722222</v>
      </c>
      <c r="S365" s="3" t="s">
        <v>37</v>
      </c>
      <c r="T365" s="7" t="n">
        <f aca="false">ROUND(MIN(IF(OR(O365=TRUE(),O365="TRUE",O365="Yes"),59,100),(I365*Rubric!$C$2+J365*Rubric!$C$3+K365*Rubric!$C$4+L365*Rubric!$C$5+M365*Rubric!$C$6+N365*Rubric!$C$7)/5),1)</f>
        <v>69</v>
      </c>
      <c r="U365" s="8" t="str">
        <f aca="false">LOOKUP(T365,Bands!$A$2:$A$6,Bands!$B$2:$B$6)</f>
        <v>Needs Improvement</v>
      </c>
      <c r="V365" s="8" t="n">
        <f aca="false">IF(Q365="","",ROUND((Q365-B365)*24,1))</f>
        <v>144</v>
      </c>
    </row>
    <row r="366" customFormat="false" ht="15" hidden="false" customHeight="false" outlineLevel="0" collapsed="false">
      <c r="A366" s="3" t="s">
        <v>861</v>
      </c>
      <c r="B366" s="5" t="n">
        <v>46155.6270833333</v>
      </c>
      <c r="C366" s="3" t="s">
        <v>39</v>
      </c>
      <c r="D366" s="3" t="s">
        <v>51</v>
      </c>
      <c r="E366" s="3" t="s">
        <v>52</v>
      </c>
      <c r="F366" s="3" t="s">
        <v>53</v>
      </c>
      <c r="G366" s="3" t="s">
        <v>34</v>
      </c>
      <c r="H366" s="3" t="s">
        <v>862</v>
      </c>
      <c r="I366" s="3" t="n">
        <v>3</v>
      </c>
      <c r="J366" s="3" t="n">
        <v>3</v>
      </c>
      <c r="K366" s="3" t="n">
        <v>4</v>
      </c>
      <c r="L366" s="3" t="n">
        <v>4</v>
      </c>
      <c r="M366" s="3" t="n">
        <v>5</v>
      </c>
      <c r="N366" s="3" t="n">
        <v>4</v>
      </c>
      <c r="O366" s="6" t="b">
        <f aca="false">FALSE()</f>
        <v>0</v>
      </c>
      <c r="P366" s="3"/>
      <c r="Q366" s="5" t="n">
        <v>46160.6270833333</v>
      </c>
      <c r="R366" s="5" t="n">
        <v>46164.5868055556</v>
      </c>
      <c r="S366" s="3" t="s">
        <v>37</v>
      </c>
      <c r="T366" s="7" t="n">
        <f aca="false">ROUND(MIN(IF(OR(O366=TRUE(),O366="TRUE",O366="Yes"),59,100),(I366*Rubric!$C$2+J366*Rubric!$C$3+K366*Rubric!$C$4+L366*Rubric!$C$5+M366*Rubric!$C$6+N366*Rubric!$C$7)/5),1)</f>
        <v>74</v>
      </c>
      <c r="U366" s="8" t="str">
        <f aca="false">LOOKUP(T366,Bands!$A$2:$A$6,Bands!$B$2:$B$6)</f>
        <v>Meets Expectations</v>
      </c>
      <c r="V366" s="8" t="n">
        <f aca="false">IF(Q366="","",ROUND((Q366-B366)*24,1))</f>
        <v>120</v>
      </c>
    </row>
    <row r="367" customFormat="false" ht="15" hidden="false" customHeight="false" outlineLevel="0" collapsed="false">
      <c r="A367" s="3" t="s">
        <v>863</v>
      </c>
      <c r="B367" s="5" t="n">
        <v>46155.59375</v>
      </c>
      <c r="C367" s="3" t="s">
        <v>68</v>
      </c>
      <c r="D367" s="3" t="s">
        <v>212</v>
      </c>
      <c r="E367" s="3" t="s">
        <v>213</v>
      </c>
      <c r="F367" s="3" t="s">
        <v>33</v>
      </c>
      <c r="G367" s="3" t="s">
        <v>42</v>
      </c>
      <c r="H367" s="3" t="s">
        <v>864</v>
      </c>
      <c r="I367" s="3" t="n">
        <v>3</v>
      </c>
      <c r="J367" s="3" t="n">
        <v>3</v>
      </c>
      <c r="K367" s="3" t="n">
        <v>2</v>
      </c>
      <c r="L367" s="3" t="n">
        <v>3</v>
      </c>
      <c r="M367" s="3" t="n">
        <v>4</v>
      </c>
      <c r="N367" s="3" t="n">
        <v>3</v>
      </c>
      <c r="O367" s="6" t="b">
        <f aca="false">FALSE()</f>
        <v>0</v>
      </c>
      <c r="P367" s="3" t="s">
        <v>49</v>
      </c>
      <c r="Q367" s="5" t="n">
        <v>46161.59375</v>
      </c>
      <c r="R367" s="5" t="n">
        <v>46161.61875</v>
      </c>
      <c r="S367" s="3" t="s">
        <v>37</v>
      </c>
      <c r="T367" s="7" t="n">
        <f aca="false">ROUND(MIN(IF(OR(O367=TRUE(),O367="TRUE",O367="Yes"),59,100),(I367*Rubric!$C$2+J367*Rubric!$C$3+K367*Rubric!$C$4+L367*Rubric!$C$5+M367*Rubric!$C$6+N367*Rubric!$C$7)/5),1)</f>
        <v>58</v>
      </c>
      <c r="U367" s="8" t="str">
        <f aca="false">LOOKUP(T367,Bands!$A$2:$A$6,Bands!$B$2:$B$6)</f>
        <v>Critical</v>
      </c>
      <c r="V367" s="8" t="n">
        <f aca="false">IF(Q367="","",ROUND((Q367-B367)*24,1))</f>
        <v>144</v>
      </c>
    </row>
    <row r="368" customFormat="false" ht="15" hidden="false" customHeight="false" outlineLevel="0" collapsed="false">
      <c r="A368" s="3" t="s">
        <v>865</v>
      </c>
      <c r="B368" s="5" t="n">
        <v>46155.6958333333</v>
      </c>
      <c r="C368" s="3" t="s">
        <v>30</v>
      </c>
      <c r="D368" s="3" t="s">
        <v>198</v>
      </c>
      <c r="E368" s="3" t="s">
        <v>199</v>
      </c>
      <c r="F368" s="3" t="s">
        <v>33</v>
      </c>
      <c r="G368" s="3" t="s">
        <v>42</v>
      </c>
      <c r="H368" s="3" t="s">
        <v>866</v>
      </c>
      <c r="I368" s="3" t="n">
        <v>4</v>
      </c>
      <c r="J368" s="3" t="n">
        <v>2</v>
      </c>
      <c r="K368" s="3" t="n">
        <v>4</v>
      </c>
      <c r="L368" s="3" t="n">
        <v>4</v>
      </c>
      <c r="M368" s="3" t="n">
        <v>4</v>
      </c>
      <c r="N368" s="3" t="n">
        <v>3</v>
      </c>
      <c r="O368" s="6" t="b">
        <f aca="false">FALSE()</f>
        <v>0</v>
      </c>
      <c r="P368" s="3" t="s">
        <v>56</v>
      </c>
      <c r="Q368" s="5" t="n">
        <v>46162.6958333333</v>
      </c>
      <c r="R368" s="5" t="n">
        <v>46163.5673611111</v>
      </c>
      <c r="S368" s="3" t="s">
        <v>37</v>
      </c>
      <c r="T368" s="7" t="n">
        <f aca="false">ROUND(MIN(IF(OR(O368=TRUE(),O368="TRUE",O368="Yes"),59,100),(I368*Rubric!$C$2+J368*Rubric!$C$3+K368*Rubric!$C$4+L368*Rubric!$C$5+M368*Rubric!$C$6+N368*Rubric!$C$7)/5),1)</f>
        <v>67</v>
      </c>
      <c r="U368" s="8" t="str">
        <f aca="false">LOOKUP(T368,Bands!$A$2:$A$6,Bands!$B$2:$B$6)</f>
        <v>Needs Improvement</v>
      </c>
      <c r="V368" s="8" t="n">
        <f aca="false">IF(Q368="","",ROUND((Q368-B368)*24,1))</f>
        <v>168</v>
      </c>
    </row>
    <row r="369" customFormat="false" ht="15" hidden="false" customHeight="false" outlineLevel="0" collapsed="false">
      <c r="A369" s="3" t="s">
        <v>867</v>
      </c>
      <c r="B369" s="5" t="n">
        <v>46155.3840277778</v>
      </c>
      <c r="C369" s="3" t="s">
        <v>39</v>
      </c>
      <c r="D369" s="3" t="s">
        <v>366</v>
      </c>
      <c r="E369" s="3" t="s">
        <v>367</v>
      </c>
      <c r="F369" s="3" t="s">
        <v>53</v>
      </c>
      <c r="G369" s="3" t="s">
        <v>54</v>
      </c>
      <c r="H369" s="3" t="s">
        <v>868</v>
      </c>
      <c r="I369" s="3" t="n">
        <v>4</v>
      </c>
      <c r="J369" s="3" t="n">
        <v>4</v>
      </c>
      <c r="K369" s="3" t="n">
        <v>2</v>
      </c>
      <c r="L369" s="3" t="n">
        <v>5</v>
      </c>
      <c r="M369" s="3" t="n">
        <v>5</v>
      </c>
      <c r="N369" s="3" t="n">
        <v>4</v>
      </c>
      <c r="O369" s="6" t="b">
        <f aca="false">FALSE()</f>
        <v>0</v>
      </c>
      <c r="P369" s="3" t="s">
        <v>49</v>
      </c>
      <c r="Q369" s="5" t="n">
        <v>46159.3840277778</v>
      </c>
      <c r="R369" s="5" t="n">
        <v>46159.4611111111</v>
      </c>
      <c r="S369" s="3" t="s">
        <v>37</v>
      </c>
      <c r="T369" s="7" t="n">
        <f aca="false">ROUND(MIN(IF(OR(O369=TRUE(),O369="TRUE",O369="Yes"),59,100),(I369*Rubric!$C$2+J369*Rubric!$C$3+K369*Rubric!$C$4+L369*Rubric!$C$5+M369*Rubric!$C$6+N369*Rubric!$C$7)/5),1)</f>
        <v>77</v>
      </c>
      <c r="U369" s="8" t="str">
        <f aca="false">LOOKUP(T369,Bands!$A$2:$A$6,Bands!$B$2:$B$6)</f>
        <v>Meets Expectations</v>
      </c>
      <c r="V369" s="8" t="n">
        <f aca="false">IF(Q369="","",ROUND((Q369-B369)*24,1))</f>
        <v>96</v>
      </c>
    </row>
    <row r="370" customFormat="false" ht="15" hidden="false" customHeight="false" outlineLevel="0" collapsed="false">
      <c r="A370" s="3" t="s">
        <v>869</v>
      </c>
      <c r="B370" s="5" t="n">
        <v>46155.6618055556</v>
      </c>
      <c r="C370" s="3" t="s">
        <v>68</v>
      </c>
      <c r="D370" s="3" t="s">
        <v>145</v>
      </c>
      <c r="E370" s="3" t="s">
        <v>146</v>
      </c>
      <c r="F370" s="3" t="s">
        <v>33</v>
      </c>
      <c r="G370" s="3" t="s">
        <v>34</v>
      </c>
      <c r="H370" s="3" t="s">
        <v>870</v>
      </c>
      <c r="I370" s="3" t="n">
        <v>3</v>
      </c>
      <c r="J370" s="3" t="n">
        <v>3</v>
      </c>
      <c r="K370" s="3" t="n">
        <v>4</v>
      </c>
      <c r="L370" s="3" t="n">
        <v>4</v>
      </c>
      <c r="M370" s="3" t="n">
        <v>4</v>
      </c>
      <c r="N370" s="3" t="n">
        <v>4</v>
      </c>
      <c r="O370" s="6" t="b">
        <f aca="false">FALSE()</f>
        <v>0</v>
      </c>
      <c r="P370" s="3"/>
      <c r="Q370" s="5" t="n">
        <v>46158.6618055556</v>
      </c>
      <c r="R370" s="5" t="n">
        <v>46160.2972222222</v>
      </c>
      <c r="S370" s="3" t="s">
        <v>37</v>
      </c>
      <c r="T370" s="7" t="n">
        <f aca="false">ROUND(MIN(IF(OR(O370=TRUE(),O370="TRUE",O370="Yes"),59,100),(I370*Rubric!$C$2+J370*Rubric!$C$3+K370*Rubric!$C$4+L370*Rubric!$C$5+M370*Rubric!$C$6+N370*Rubric!$C$7)/5),1)</f>
        <v>72</v>
      </c>
      <c r="U370" s="8" t="str">
        <f aca="false">LOOKUP(T370,Bands!$A$2:$A$6,Bands!$B$2:$B$6)</f>
        <v>Meets Expectations</v>
      </c>
      <c r="V370" s="8" t="n">
        <f aca="false">IF(Q370="","",ROUND((Q370-B370)*24,1))</f>
        <v>72</v>
      </c>
    </row>
    <row r="371" customFormat="false" ht="15" hidden="false" customHeight="false" outlineLevel="0" collapsed="false">
      <c r="A371" s="3" t="s">
        <v>871</v>
      </c>
      <c r="B371" s="5" t="n">
        <v>46155.4854166667</v>
      </c>
      <c r="C371" s="3" t="s">
        <v>30</v>
      </c>
      <c r="D371" s="3" t="s">
        <v>100</v>
      </c>
      <c r="E371" s="3" t="s">
        <v>101</v>
      </c>
      <c r="F371" s="3" t="s">
        <v>33</v>
      </c>
      <c r="G371" s="3" t="s">
        <v>42</v>
      </c>
      <c r="H371" s="3" t="s">
        <v>872</v>
      </c>
      <c r="I371" s="3" t="n">
        <v>4</v>
      </c>
      <c r="J371" s="3" t="n">
        <v>5</v>
      </c>
      <c r="K371" s="3" t="n">
        <v>5</v>
      </c>
      <c r="L371" s="3" t="n">
        <v>5</v>
      </c>
      <c r="M371" s="3" t="n">
        <v>2</v>
      </c>
      <c r="N371" s="3" t="n">
        <v>5</v>
      </c>
      <c r="O371" s="6" t="b">
        <f aca="false">FALSE()</f>
        <v>0</v>
      </c>
      <c r="P371" s="3" t="s">
        <v>103</v>
      </c>
      <c r="Q371" s="5" t="n">
        <v>46167.4854166667</v>
      </c>
      <c r="R371" s="5" t="n">
        <v>46169.4819444444</v>
      </c>
      <c r="S371" s="3" t="s">
        <v>37</v>
      </c>
      <c r="T371" s="7" t="n">
        <f aca="false">ROUND(MIN(IF(OR(O371=TRUE(),O371="TRUE",O371="Yes"),59,100),(I371*Rubric!$C$2+J371*Rubric!$C$3+K371*Rubric!$C$4+L371*Rubric!$C$5+M371*Rubric!$C$6+N371*Rubric!$C$7)/5),1)</f>
        <v>91</v>
      </c>
      <c r="U371" s="8" t="str">
        <f aca="false">LOOKUP(T371,Bands!$A$2:$A$6,Bands!$B$2:$B$6)</f>
        <v>Outstanding</v>
      </c>
      <c r="V371" s="8" t="n">
        <f aca="false">IF(Q371="","",ROUND((Q371-B371)*24,1))</f>
        <v>288</v>
      </c>
    </row>
    <row r="372" customFormat="false" ht="15" hidden="false" customHeight="false" outlineLevel="0" collapsed="false">
      <c r="A372" s="3" t="s">
        <v>873</v>
      </c>
      <c r="B372" s="5" t="n">
        <v>46155.45625</v>
      </c>
      <c r="C372" s="3" t="s">
        <v>68</v>
      </c>
      <c r="D372" s="3" t="s">
        <v>228</v>
      </c>
      <c r="E372" s="3" t="s">
        <v>229</v>
      </c>
      <c r="F372" s="3" t="s">
        <v>65</v>
      </c>
      <c r="G372" s="3" t="s">
        <v>42</v>
      </c>
      <c r="H372" s="3" t="s">
        <v>874</v>
      </c>
      <c r="I372" s="3" t="n">
        <v>4</v>
      </c>
      <c r="J372" s="3" t="n">
        <v>3</v>
      </c>
      <c r="K372" s="3" t="n">
        <v>4</v>
      </c>
      <c r="L372" s="3" t="n">
        <v>4</v>
      </c>
      <c r="M372" s="3" t="n">
        <v>4</v>
      </c>
      <c r="N372" s="3" t="n">
        <v>2</v>
      </c>
      <c r="O372" s="6" t="b">
        <f aca="false">FALSE()</f>
        <v>0</v>
      </c>
      <c r="P372" s="3" t="s">
        <v>36</v>
      </c>
      <c r="Q372" s="5" t="n">
        <v>46161.45625</v>
      </c>
      <c r="R372" s="5" t="n">
        <v>46162.4013888889</v>
      </c>
      <c r="S372" s="3" t="s">
        <v>37</v>
      </c>
      <c r="T372" s="7" t="n">
        <f aca="false">ROUND(MIN(IF(OR(O372=TRUE(),O372="TRUE",O372="Yes"),59,100),(I372*Rubric!$C$2+J372*Rubric!$C$3+K372*Rubric!$C$4+L372*Rubric!$C$5+M372*Rubric!$C$6+N372*Rubric!$C$7)/5),1)</f>
        <v>69</v>
      </c>
      <c r="U372" s="8" t="str">
        <f aca="false">LOOKUP(T372,Bands!$A$2:$A$6,Bands!$B$2:$B$6)</f>
        <v>Needs Improvement</v>
      </c>
      <c r="V372" s="8" t="n">
        <f aca="false">IF(Q372="","",ROUND((Q372-B372)*24,1))</f>
        <v>144</v>
      </c>
    </row>
    <row r="373" customFormat="false" ht="15" hidden="false" customHeight="false" outlineLevel="0" collapsed="false">
      <c r="A373" s="3" t="s">
        <v>875</v>
      </c>
      <c r="B373" s="5" t="n">
        <v>46155.4576388889</v>
      </c>
      <c r="C373" s="3" t="s">
        <v>30</v>
      </c>
      <c r="D373" s="3" t="s">
        <v>96</v>
      </c>
      <c r="E373" s="3" t="s">
        <v>97</v>
      </c>
      <c r="F373" s="3" t="s">
        <v>33</v>
      </c>
      <c r="G373" s="3" t="s">
        <v>42</v>
      </c>
      <c r="H373" s="3" t="s">
        <v>876</v>
      </c>
      <c r="I373" s="3" t="n">
        <v>3</v>
      </c>
      <c r="J373" s="3" t="n">
        <v>3</v>
      </c>
      <c r="K373" s="3" t="n">
        <v>5</v>
      </c>
      <c r="L373" s="3" t="n">
        <v>4</v>
      </c>
      <c r="M373" s="3" t="n">
        <v>5</v>
      </c>
      <c r="N373" s="3" t="n">
        <v>4</v>
      </c>
      <c r="O373" s="6" t="b">
        <f aca="false">FALSE()</f>
        <v>0</v>
      </c>
      <c r="P373" s="3"/>
      <c r="Q373" s="5" t="n">
        <v>46160.4576388889</v>
      </c>
      <c r="R373" s="5" t="n">
        <v>46161.2895833333</v>
      </c>
      <c r="S373" s="3" t="s">
        <v>37</v>
      </c>
      <c r="T373" s="7" t="n">
        <f aca="false">ROUND(MIN(IF(OR(O373=TRUE(),O373="TRUE",O373="Yes"),59,100),(I373*Rubric!$C$2+J373*Rubric!$C$3+K373*Rubric!$C$4+L373*Rubric!$C$5+M373*Rubric!$C$6+N373*Rubric!$C$7)/5),1)</f>
        <v>78</v>
      </c>
      <c r="U373" s="8" t="str">
        <f aca="false">LOOKUP(T373,Bands!$A$2:$A$6,Bands!$B$2:$B$6)</f>
        <v>Meets Expectations</v>
      </c>
      <c r="V373" s="8" t="n">
        <f aca="false">IF(Q373="","",ROUND((Q373-B373)*24,1))</f>
        <v>120</v>
      </c>
    </row>
    <row r="374" customFormat="false" ht="15" hidden="false" customHeight="false" outlineLevel="0" collapsed="false">
      <c r="A374" s="3" t="s">
        <v>877</v>
      </c>
      <c r="B374" s="5" t="n">
        <v>46156.4923611111</v>
      </c>
      <c r="C374" s="3" t="s">
        <v>68</v>
      </c>
      <c r="D374" s="3" t="s">
        <v>73</v>
      </c>
      <c r="E374" s="3" t="s">
        <v>74</v>
      </c>
      <c r="F374" s="3" t="s">
        <v>33</v>
      </c>
      <c r="G374" s="3" t="s">
        <v>54</v>
      </c>
      <c r="H374" s="3" t="s">
        <v>878</v>
      </c>
      <c r="I374" s="3" t="n">
        <v>5</v>
      </c>
      <c r="J374" s="3" t="n">
        <v>5</v>
      </c>
      <c r="K374" s="3" t="n">
        <v>5</v>
      </c>
      <c r="L374" s="3" t="n">
        <v>5</v>
      </c>
      <c r="M374" s="3" t="n">
        <v>4</v>
      </c>
      <c r="N374" s="3" t="n">
        <v>2</v>
      </c>
      <c r="O374" s="6" t="b">
        <f aca="false">FALSE()</f>
        <v>0</v>
      </c>
      <c r="P374" s="3" t="s">
        <v>36</v>
      </c>
      <c r="Q374" s="5" t="n">
        <v>46159.4923611111</v>
      </c>
      <c r="R374" s="5" t="n">
        <v>46159.5472222222</v>
      </c>
      <c r="S374" s="3" t="s">
        <v>37</v>
      </c>
      <c r="T374" s="7" t="n">
        <f aca="false">ROUND(MIN(IF(OR(O374=TRUE(),O374="TRUE",O374="Yes"),59,100),(I374*Rubric!$C$2+J374*Rubric!$C$3+K374*Rubric!$C$4+L374*Rubric!$C$5+M374*Rubric!$C$6+N374*Rubric!$C$7)/5),1)</f>
        <v>89</v>
      </c>
      <c r="U374" s="8" t="str">
        <f aca="false">LOOKUP(T374,Bands!$A$2:$A$6,Bands!$B$2:$B$6)</f>
        <v>Solid Performance</v>
      </c>
      <c r="V374" s="8" t="n">
        <f aca="false">IF(Q374="","",ROUND((Q374-B374)*24,1))</f>
        <v>72</v>
      </c>
    </row>
    <row r="375" customFormat="false" ht="15" hidden="false" customHeight="false" outlineLevel="0" collapsed="false">
      <c r="A375" s="3" t="s">
        <v>879</v>
      </c>
      <c r="B375" s="5" t="n">
        <v>46156.5756944444</v>
      </c>
      <c r="C375" s="3" t="s">
        <v>30</v>
      </c>
      <c r="D375" s="3" t="s">
        <v>69</v>
      </c>
      <c r="E375" s="3" t="s">
        <v>70</v>
      </c>
      <c r="F375" s="3" t="s">
        <v>65</v>
      </c>
      <c r="G375" s="3" t="s">
        <v>54</v>
      </c>
      <c r="H375" s="3" t="s">
        <v>880</v>
      </c>
      <c r="I375" s="3" t="n">
        <v>3</v>
      </c>
      <c r="J375" s="3" t="n">
        <v>4</v>
      </c>
      <c r="K375" s="3" t="n">
        <v>4</v>
      </c>
      <c r="L375" s="3" t="n">
        <v>4</v>
      </c>
      <c r="M375" s="3" t="n">
        <v>5</v>
      </c>
      <c r="N375" s="3" t="n">
        <v>2</v>
      </c>
      <c r="O375" s="6" t="b">
        <f aca="false">FALSE()</f>
        <v>0</v>
      </c>
      <c r="P375" s="3" t="s">
        <v>36</v>
      </c>
      <c r="Q375" s="5" t="n">
        <v>46165.5756944444</v>
      </c>
      <c r="R375" s="5" t="n">
        <v>46166.0277777778</v>
      </c>
      <c r="S375" s="3" t="s">
        <v>37</v>
      </c>
      <c r="T375" s="7" t="n">
        <f aca="false">ROUND(MIN(IF(OR(O375=TRUE(),O375="TRUE",O375="Yes"),59,100),(I375*Rubric!$C$2+J375*Rubric!$C$3+K375*Rubric!$C$4+L375*Rubric!$C$5+M375*Rubric!$C$6+N375*Rubric!$C$7)/5),1)</f>
        <v>73</v>
      </c>
      <c r="U375" s="8" t="str">
        <f aca="false">LOOKUP(T375,Bands!$A$2:$A$6,Bands!$B$2:$B$6)</f>
        <v>Meets Expectations</v>
      </c>
      <c r="V375" s="8" t="n">
        <f aca="false">IF(Q375="","",ROUND((Q375-B375)*24,1))</f>
        <v>216</v>
      </c>
    </row>
    <row r="376" customFormat="false" ht="15" hidden="false" customHeight="false" outlineLevel="0" collapsed="false">
      <c r="A376" s="3" t="s">
        <v>881</v>
      </c>
      <c r="B376" s="5" t="n">
        <v>46156.40625</v>
      </c>
      <c r="C376" s="3" t="s">
        <v>68</v>
      </c>
      <c r="D376" s="3" t="s">
        <v>198</v>
      </c>
      <c r="E376" s="3" t="s">
        <v>199</v>
      </c>
      <c r="F376" s="3" t="s">
        <v>33</v>
      </c>
      <c r="G376" s="3" t="s">
        <v>42</v>
      </c>
      <c r="H376" s="3" t="s">
        <v>882</v>
      </c>
      <c r="I376" s="3" t="n">
        <v>3</v>
      </c>
      <c r="J376" s="3" t="n">
        <v>2</v>
      </c>
      <c r="K376" s="3" t="n">
        <v>4</v>
      </c>
      <c r="L376" s="3" t="n">
        <v>4</v>
      </c>
      <c r="M376" s="3" t="n">
        <v>3</v>
      </c>
      <c r="N376" s="3" t="n">
        <v>4</v>
      </c>
      <c r="O376" s="6" t="b">
        <f aca="false">FALSE()</f>
        <v>0</v>
      </c>
      <c r="P376" s="3" t="s">
        <v>56</v>
      </c>
      <c r="Q376" s="5" t="n">
        <v>46160.40625</v>
      </c>
      <c r="R376" s="5" t="n">
        <v>46164.2354166667</v>
      </c>
      <c r="S376" s="3" t="s">
        <v>37</v>
      </c>
      <c r="T376" s="7" t="n">
        <f aca="false">ROUND(MIN(IF(OR(O376=TRUE(),O376="TRUE",O376="Yes"),59,100),(I376*Rubric!$C$2+J376*Rubric!$C$3+K376*Rubric!$C$4+L376*Rubric!$C$5+M376*Rubric!$C$6+N376*Rubric!$C$7)/5),1)</f>
        <v>65</v>
      </c>
      <c r="U376" s="8" t="str">
        <f aca="false">LOOKUP(T376,Bands!$A$2:$A$6,Bands!$B$2:$B$6)</f>
        <v>Needs Improvement</v>
      </c>
      <c r="V376" s="8" t="n">
        <f aca="false">IF(Q376="","",ROUND((Q376-B376)*24,1))</f>
        <v>96</v>
      </c>
    </row>
    <row r="377" customFormat="false" ht="15" hidden="false" customHeight="false" outlineLevel="0" collapsed="false">
      <c r="A377" s="3" t="s">
        <v>883</v>
      </c>
      <c r="B377" s="5" t="n">
        <v>46156.4375</v>
      </c>
      <c r="C377" s="3" t="s">
        <v>39</v>
      </c>
      <c r="D377" s="3" t="s">
        <v>155</v>
      </c>
      <c r="E377" s="3" t="s">
        <v>156</v>
      </c>
      <c r="F377" s="3" t="s">
        <v>65</v>
      </c>
      <c r="G377" s="3" t="s">
        <v>34</v>
      </c>
      <c r="H377" s="3" t="s">
        <v>884</v>
      </c>
      <c r="I377" s="3" t="n">
        <v>3</v>
      </c>
      <c r="J377" s="3" t="n">
        <v>5</v>
      </c>
      <c r="K377" s="3" t="n">
        <v>4</v>
      </c>
      <c r="L377" s="3" t="n">
        <v>4</v>
      </c>
      <c r="M377" s="3" t="n">
        <v>4</v>
      </c>
      <c r="N377" s="3" t="n">
        <v>5</v>
      </c>
      <c r="O377" s="6" t="b">
        <f aca="false">FALSE()</f>
        <v>0</v>
      </c>
      <c r="P377" s="3"/>
      <c r="Q377" s="5" t="n">
        <v>46159.4375</v>
      </c>
      <c r="R377" s="5" t="n">
        <v>46160.1479166667</v>
      </c>
      <c r="S377" s="3" t="s">
        <v>37</v>
      </c>
      <c r="T377" s="7" t="n">
        <f aca="false">ROUND(MIN(IF(OR(O377=TRUE(),O377="TRUE",O377="Yes"),59,100),(I377*Rubric!$C$2+J377*Rubric!$C$3+K377*Rubric!$C$4+L377*Rubric!$C$5+M377*Rubric!$C$6+N377*Rubric!$C$7)/5),1)</f>
        <v>85</v>
      </c>
      <c r="U377" s="8" t="str">
        <f aca="false">LOOKUP(T377,Bands!$A$2:$A$6,Bands!$B$2:$B$6)</f>
        <v>Solid Performance</v>
      </c>
      <c r="V377" s="8" t="n">
        <f aca="false">IF(Q377="","",ROUND((Q377-B377)*24,1))</f>
        <v>72</v>
      </c>
    </row>
    <row r="378" customFormat="false" ht="15" hidden="false" customHeight="false" outlineLevel="0" collapsed="false">
      <c r="A378" s="3" t="s">
        <v>885</v>
      </c>
      <c r="B378" s="5" t="n">
        <v>46156.7013888889</v>
      </c>
      <c r="C378" s="3" t="s">
        <v>39</v>
      </c>
      <c r="D378" s="3" t="s">
        <v>145</v>
      </c>
      <c r="E378" s="3" t="s">
        <v>146</v>
      </c>
      <c r="F378" s="3" t="s">
        <v>33</v>
      </c>
      <c r="G378" s="3" t="s">
        <v>42</v>
      </c>
      <c r="H378" s="3" t="s">
        <v>886</v>
      </c>
      <c r="I378" s="3" t="n">
        <v>4</v>
      </c>
      <c r="J378" s="3" t="n">
        <v>2</v>
      </c>
      <c r="K378" s="3" t="n">
        <v>3</v>
      </c>
      <c r="L378" s="3" t="n">
        <v>4</v>
      </c>
      <c r="M378" s="3" t="n">
        <v>4</v>
      </c>
      <c r="N378" s="3" t="n">
        <v>4</v>
      </c>
      <c r="O378" s="6" t="b">
        <f aca="false">FALSE()</f>
        <v>0</v>
      </c>
      <c r="P378" s="3" t="s">
        <v>56</v>
      </c>
      <c r="Q378" s="5" t="n">
        <v>46160.7013888889</v>
      </c>
      <c r="R378" s="5" t="n">
        <v>46161.4729166667</v>
      </c>
      <c r="S378" s="3" t="s">
        <v>37</v>
      </c>
      <c r="T378" s="7" t="n">
        <f aca="false">ROUND(MIN(IF(OR(O378=TRUE(),O378="TRUE",O378="Yes"),59,100),(I378*Rubric!$C$2+J378*Rubric!$C$3+K378*Rubric!$C$4+L378*Rubric!$C$5+M378*Rubric!$C$6+N378*Rubric!$C$7)/5),1)</f>
        <v>66</v>
      </c>
      <c r="U378" s="8" t="str">
        <f aca="false">LOOKUP(T378,Bands!$A$2:$A$6,Bands!$B$2:$B$6)</f>
        <v>Needs Improvement</v>
      </c>
      <c r="V378" s="8" t="n">
        <f aca="false">IF(Q378="","",ROUND((Q378-B378)*24,1))</f>
        <v>96</v>
      </c>
    </row>
    <row r="379" customFormat="false" ht="15" hidden="false" customHeight="false" outlineLevel="0" collapsed="false">
      <c r="A379" s="3" t="s">
        <v>887</v>
      </c>
      <c r="B379" s="5" t="n">
        <v>46156.4256944444</v>
      </c>
      <c r="C379" s="3" t="s">
        <v>30</v>
      </c>
      <c r="D379" s="3" t="s">
        <v>125</v>
      </c>
      <c r="E379" s="3" t="s">
        <v>126</v>
      </c>
      <c r="F379" s="3" t="s">
        <v>53</v>
      </c>
      <c r="G379" s="3" t="s">
        <v>54</v>
      </c>
      <c r="H379" s="3" t="s">
        <v>888</v>
      </c>
      <c r="I379" s="3" t="n">
        <v>4</v>
      </c>
      <c r="J379" s="3" t="n">
        <v>3</v>
      </c>
      <c r="K379" s="3" t="n">
        <v>4</v>
      </c>
      <c r="L379" s="3" t="n">
        <v>3</v>
      </c>
      <c r="M379" s="3" t="n">
        <v>4</v>
      </c>
      <c r="N379" s="3" t="n">
        <v>5</v>
      </c>
      <c r="O379" s="6" t="b">
        <f aca="false">FALSE()</f>
        <v>0</v>
      </c>
      <c r="P379" s="3"/>
      <c r="Q379" s="5" t="n">
        <v>46161.4256944444</v>
      </c>
      <c r="R379" s="5" t="n">
        <v>46161.8388888889</v>
      </c>
      <c r="S379" s="3" t="s">
        <v>37</v>
      </c>
      <c r="T379" s="7" t="n">
        <f aca="false">ROUND(MIN(IF(OR(O379=TRUE(),O379="TRUE",O379="Yes"),59,100),(I379*Rubric!$C$2+J379*Rubric!$C$3+K379*Rubric!$C$4+L379*Rubric!$C$5+M379*Rubric!$C$6+N379*Rubric!$C$7)/5),1)</f>
        <v>75</v>
      </c>
      <c r="U379" s="8" t="str">
        <f aca="false">LOOKUP(T379,Bands!$A$2:$A$6,Bands!$B$2:$B$6)</f>
        <v>Meets Expectations</v>
      </c>
      <c r="V379" s="8" t="n">
        <f aca="false">IF(Q379="","",ROUND((Q379-B379)*24,1))</f>
        <v>120</v>
      </c>
    </row>
    <row r="380" customFormat="false" ht="15" hidden="false" customHeight="false" outlineLevel="0" collapsed="false">
      <c r="A380" s="3" t="s">
        <v>889</v>
      </c>
      <c r="B380" s="5" t="n">
        <v>46156.6305555556</v>
      </c>
      <c r="C380" s="3" t="s">
        <v>68</v>
      </c>
      <c r="D380" s="3" t="s">
        <v>51</v>
      </c>
      <c r="E380" s="3" t="s">
        <v>52</v>
      </c>
      <c r="F380" s="3" t="s">
        <v>53</v>
      </c>
      <c r="G380" s="3" t="s">
        <v>42</v>
      </c>
      <c r="H380" s="3" t="s">
        <v>890</v>
      </c>
      <c r="I380" s="3" t="n">
        <v>4</v>
      </c>
      <c r="J380" s="3" t="n">
        <v>3</v>
      </c>
      <c r="K380" s="3" t="n">
        <v>4</v>
      </c>
      <c r="L380" s="3" t="n">
        <v>4</v>
      </c>
      <c r="M380" s="3" t="n">
        <v>4</v>
      </c>
      <c r="N380" s="3" t="n">
        <v>3</v>
      </c>
      <c r="O380" s="6" t="b">
        <f aca="false">FALSE()</f>
        <v>0</v>
      </c>
      <c r="P380" s="3"/>
      <c r="Q380" s="5" t="n">
        <v>46162.6305555556</v>
      </c>
      <c r="R380" s="5" t="n">
        <v>46162.7576388889</v>
      </c>
      <c r="S380" s="3" t="s">
        <v>37</v>
      </c>
      <c r="T380" s="7" t="n">
        <f aca="false">ROUND(MIN(IF(OR(O380=TRUE(),O380="TRUE",O380="Yes"),59,100),(I380*Rubric!$C$2+J380*Rubric!$C$3+K380*Rubric!$C$4+L380*Rubric!$C$5+M380*Rubric!$C$6+N380*Rubric!$C$7)/5),1)</f>
        <v>72</v>
      </c>
      <c r="U380" s="8" t="str">
        <f aca="false">LOOKUP(T380,Bands!$A$2:$A$6,Bands!$B$2:$B$6)</f>
        <v>Meets Expectations</v>
      </c>
      <c r="V380" s="8" t="n">
        <f aca="false">IF(Q380="","",ROUND((Q380-B380)*24,1))</f>
        <v>144</v>
      </c>
    </row>
    <row r="381" customFormat="false" ht="15" hidden="false" customHeight="false" outlineLevel="0" collapsed="false">
      <c r="A381" s="3" t="s">
        <v>891</v>
      </c>
      <c r="B381" s="5" t="n">
        <v>46156.4819444444</v>
      </c>
      <c r="C381" s="3" t="s">
        <v>39</v>
      </c>
      <c r="D381" s="3" t="s">
        <v>105</v>
      </c>
      <c r="E381" s="3" t="s">
        <v>106</v>
      </c>
      <c r="F381" s="3" t="s">
        <v>65</v>
      </c>
      <c r="G381" s="3" t="s">
        <v>42</v>
      </c>
      <c r="H381" s="3" t="s">
        <v>892</v>
      </c>
      <c r="I381" s="3" t="n">
        <v>4</v>
      </c>
      <c r="J381" s="3" t="n">
        <v>3</v>
      </c>
      <c r="K381" s="3" t="n">
        <v>4</v>
      </c>
      <c r="L381" s="3" t="n">
        <v>4</v>
      </c>
      <c r="M381" s="3" t="n">
        <v>4</v>
      </c>
      <c r="N381" s="3" t="n">
        <v>4</v>
      </c>
      <c r="O381" s="6" t="b">
        <f aca="false">FALSE()</f>
        <v>0</v>
      </c>
      <c r="P381" s="3"/>
      <c r="Q381" s="5" t="n">
        <v>46159.4819444444</v>
      </c>
      <c r="R381" s="5" t="n">
        <v>46159.6090277778</v>
      </c>
      <c r="S381" s="3" t="s">
        <v>37</v>
      </c>
      <c r="T381" s="7" t="n">
        <f aca="false">ROUND(MIN(IF(OR(O381=TRUE(),O381="TRUE",O381="Yes"),59,100),(I381*Rubric!$C$2+J381*Rubric!$C$3+K381*Rubric!$C$4+L381*Rubric!$C$5+M381*Rubric!$C$6+N381*Rubric!$C$7)/5),1)</f>
        <v>75</v>
      </c>
      <c r="U381" s="8" t="str">
        <f aca="false">LOOKUP(T381,Bands!$A$2:$A$6,Bands!$B$2:$B$6)</f>
        <v>Meets Expectations</v>
      </c>
      <c r="V381" s="8" t="n">
        <f aca="false">IF(Q381="","",ROUND((Q381-B381)*24,1))</f>
        <v>72</v>
      </c>
    </row>
    <row r="382" customFormat="false" ht="15" hidden="false" customHeight="false" outlineLevel="0" collapsed="false">
      <c r="A382" s="3" t="s">
        <v>893</v>
      </c>
      <c r="B382" s="5" t="n">
        <v>46156.5805555556</v>
      </c>
      <c r="C382" s="3" t="s">
        <v>30</v>
      </c>
      <c r="D382" s="3" t="s">
        <v>228</v>
      </c>
      <c r="E382" s="3" t="s">
        <v>229</v>
      </c>
      <c r="F382" s="3" t="s">
        <v>65</v>
      </c>
      <c r="G382" s="3" t="s">
        <v>54</v>
      </c>
      <c r="H382" s="3" t="s">
        <v>894</v>
      </c>
      <c r="I382" s="3" t="n">
        <v>3</v>
      </c>
      <c r="J382" s="3" t="n">
        <v>3</v>
      </c>
      <c r="K382" s="3" t="n">
        <v>3</v>
      </c>
      <c r="L382" s="3" t="n">
        <v>3</v>
      </c>
      <c r="M382" s="3" t="n">
        <v>3</v>
      </c>
      <c r="N382" s="3" t="n">
        <v>2</v>
      </c>
      <c r="O382" s="6" t="b">
        <f aca="false">FALSE()</f>
        <v>0</v>
      </c>
      <c r="P382" s="3" t="s">
        <v>36</v>
      </c>
      <c r="Q382" s="5" t="n">
        <v>46161.5805555556</v>
      </c>
      <c r="R382" s="5" t="n">
        <v>46161.7736111111</v>
      </c>
      <c r="S382" s="3" t="s">
        <v>37</v>
      </c>
      <c r="T382" s="7" t="n">
        <f aca="false">ROUND(MIN(IF(OR(O382=TRUE(),O382="TRUE",O382="Yes"),59,100),(I382*Rubric!$C$2+J382*Rubric!$C$3+K382*Rubric!$C$4+L382*Rubric!$C$5+M382*Rubric!$C$6+N382*Rubric!$C$7)/5),1)</f>
        <v>57</v>
      </c>
      <c r="U382" s="8" t="str">
        <f aca="false">LOOKUP(T382,Bands!$A$2:$A$6,Bands!$B$2:$B$6)</f>
        <v>Critical</v>
      </c>
      <c r="V382" s="8" t="n">
        <f aca="false">IF(Q382="","",ROUND((Q382-B382)*24,1))</f>
        <v>120</v>
      </c>
    </row>
    <row r="383" customFormat="false" ht="15" hidden="false" customHeight="false" outlineLevel="0" collapsed="false">
      <c r="A383" s="3" t="s">
        <v>895</v>
      </c>
      <c r="B383" s="5" t="n">
        <v>46156.4333333333</v>
      </c>
      <c r="C383" s="3" t="s">
        <v>39</v>
      </c>
      <c r="D383" s="3" t="s">
        <v>100</v>
      </c>
      <c r="E383" s="3" t="s">
        <v>101</v>
      </c>
      <c r="F383" s="3" t="s">
        <v>33</v>
      </c>
      <c r="G383" s="3" t="s">
        <v>42</v>
      </c>
      <c r="H383" s="3" t="s">
        <v>896</v>
      </c>
      <c r="I383" s="3" t="n">
        <v>4</v>
      </c>
      <c r="J383" s="3" t="n">
        <v>4</v>
      </c>
      <c r="K383" s="3" t="n">
        <v>5</v>
      </c>
      <c r="L383" s="3" t="n">
        <v>5</v>
      </c>
      <c r="M383" s="3" t="n">
        <v>4</v>
      </c>
      <c r="N383" s="3" t="n">
        <v>5</v>
      </c>
      <c r="O383" s="6" t="b">
        <f aca="false">FALSE()</f>
        <v>0</v>
      </c>
      <c r="P383" s="3"/>
      <c r="Q383" s="5" t="n">
        <v>46160.4333333333</v>
      </c>
      <c r="R383" s="5" t="n">
        <v>46161.4993055556</v>
      </c>
      <c r="S383" s="3" t="s">
        <v>37</v>
      </c>
      <c r="T383" s="7" t="n">
        <f aca="false">ROUND(MIN(IF(OR(O383=TRUE(),O383="TRUE",O383="Yes"),59,100),(I383*Rubric!$C$2+J383*Rubric!$C$3+K383*Rubric!$C$4+L383*Rubric!$C$5+M383*Rubric!$C$6+N383*Rubric!$C$7)/5),1)</f>
        <v>90</v>
      </c>
      <c r="U383" s="8" t="str">
        <f aca="false">LOOKUP(T383,Bands!$A$2:$A$6,Bands!$B$2:$B$6)</f>
        <v>Outstanding</v>
      </c>
      <c r="V383" s="8" t="n">
        <f aca="false">IF(Q383="","",ROUND((Q383-B383)*24,1))</f>
        <v>96</v>
      </c>
    </row>
    <row r="384" customFormat="false" ht="15" hidden="false" customHeight="false" outlineLevel="0" collapsed="false">
      <c r="A384" s="3" t="s">
        <v>897</v>
      </c>
      <c r="B384" s="5" t="n">
        <v>46156.4611111111</v>
      </c>
      <c r="C384" s="3" t="s">
        <v>30</v>
      </c>
      <c r="D384" s="3" t="s">
        <v>222</v>
      </c>
      <c r="E384" s="3" t="s">
        <v>223</v>
      </c>
      <c r="F384" s="3" t="s">
        <v>53</v>
      </c>
      <c r="G384" s="3" t="s">
        <v>54</v>
      </c>
      <c r="H384" s="3" t="s">
        <v>898</v>
      </c>
      <c r="I384" s="3" t="n">
        <v>4</v>
      </c>
      <c r="J384" s="3" t="n">
        <v>4</v>
      </c>
      <c r="K384" s="3" t="n">
        <v>4</v>
      </c>
      <c r="L384" s="3" t="n">
        <v>4</v>
      </c>
      <c r="M384" s="3" t="n">
        <v>5</v>
      </c>
      <c r="N384" s="3" t="n">
        <v>2</v>
      </c>
      <c r="O384" s="6" t="b">
        <f aca="false">FALSE()</f>
        <v>0</v>
      </c>
      <c r="P384" s="3" t="s">
        <v>36</v>
      </c>
      <c r="Q384" s="5" t="n">
        <v>46163.4611111111</v>
      </c>
      <c r="R384" s="5" t="n">
        <v>46165.1784722222</v>
      </c>
      <c r="S384" s="3" t="s">
        <v>37</v>
      </c>
      <c r="T384" s="7" t="n">
        <f aca="false">ROUND(MIN(IF(OR(O384=TRUE(),O384="TRUE",O384="Yes"),59,100),(I384*Rubric!$C$2+J384*Rubric!$C$3+K384*Rubric!$C$4+L384*Rubric!$C$5+M384*Rubric!$C$6+N384*Rubric!$C$7)/5),1)</f>
        <v>76</v>
      </c>
      <c r="U384" s="8" t="str">
        <f aca="false">LOOKUP(T384,Bands!$A$2:$A$6,Bands!$B$2:$B$6)</f>
        <v>Meets Expectations</v>
      </c>
      <c r="V384" s="8" t="n">
        <f aca="false">IF(Q384="","",ROUND((Q384-B384)*24,1))</f>
        <v>168</v>
      </c>
    </row>
    <row r="385" customFormat="false" ht="15" hidden="false" customHeight="false" outlineLevel="0" collapsed="false">
      <c r="A385" s="3" t="s">
        <v>899</v>
      </c>
      <c r="B385" s="5" t="n">
        <v>46156.4340277778</v>
      </c>
      <c r="C385" s="3" t="s">
        <v>39</v>
      </c>
      <c r="D385" s="3" t="s">
        <v>194</v>
      </c>
      <c r="E385" s="3" t="s">
        <v>195</v>
      </c>
      <c r="F385" s="3" t="s">
        <v>53</v>
      </c>
      <c r="G385" s="3" t="s">
        <v>54</v>
      </c>
      <c r="H385" s="3" t="s">
        <v>900</v>
      </c>
      <c r="I385" s="3" t="n">
        <v>5</v>
      </c>
      <c r="J385" s="3" t="n">
        <v>4</v>
      </c>
      <c r="K385" s="3" t="n">
        <v>4</v>
      </c>
      <c r="L385" s="3" t="n">
        <v>3</v>
      </c>
      <c r="M385" s="3" t="n">
        <v>4</v>
      </c>
      <c r="N385" s="3" t="n">
        <v>4</v>
      </c>
      <c r="O385" s="6" t="b">
        <f aca="false">FALSE()</f>
        <v>0</v>
      </c>
      <c r="P385" s="3"/>
      <c r="Q385" s="5" t="n">
        <v>46162.4340277778</v>
      </c>
      <c r="R385" s="5" t="n">
        <v>46162.7694444444</v>
      </c>
      <c r="S385" s="3" t="s">
        <v>37</v>
      </c>
      <c r="T385" s="7" t="n">
        <f aca="false">ROUND(MIN(IF(OR(O385=TRUE(),O385="TRUE",O385="Yes"),59,100),(I385*Rubric!$C$2+J385*Rubric!$C$3+K385*Rubric!$C$4+L385*Rubric!$C$5+M385*Rubric!$C$6+N385*Rubric!$C$7)/5),1)</f>
        <v>80</v>
      </c>
      <c r="U385" s="8" t="str">
        <f aca="false">LOOKUP(T385,Bands!$A$2:$A$6,Bands!$B$2:$B$6)</f>
        <v>Solid Performance</v>
      </c>
      <c r="V385" s="8" t="n">
        <f aca="false">IF(Q385="","",ROUND((Q385-B385)*24,1))</f>
        <v>144</v>
      </c>
    </row>
    <row r="386" customFormat="false" ht="15" hidden="false" customHeight="false" outlineLevel="0" collapsed="false">
      <c r="A386" s="3" t="s">
        <v>901</v>
      </c>
      <c r="B386" s="5" t="n">
        <v>46157.6666666667</v>
      </c>
      <c r="C386" s="3" t="s">
        <v>68</v>
      </c>
      <c r="D386" s="3" t="s">
        <v>58</v>
      </c>
      <c r="E386" s="3" t="s">
        <v>59</v>
      </c>
      <c r="F386" s="3" t="s">
        <v>53</v>
      </c>
      <c r="G386" s="3" t="s">
        <v>54</v>
      </c>
      <c r="H386" s="3" t="s">
        <v>902</v>
      </c>
      <c r="I386" s="3" t="n">
        <v>4</v>
      </c>
      <c r="J386" s="3" t="n">
        <v>2</v>
      </c>
      <c r="K386" s="3" t="n">
        <v>3</v>
      </c>
      <c r="L386" s="3" t="n">
        <v>3</v>
      </c>
      <c r="M386" s="3" t="n">
        <v>4</v>
      </c>
      <c r="N386" s="3" t="n">
        <v>3</v>
      </c>
      <c r="O386" s="6" t="b">
        <f aca="false">FALSE()</f>
        <v>0</v>
      </c>
      <c r="P386" s="3" t="s">
        <v>56</v>
      </c>
      <c r="Q386" s="5" t="n">
        <v>46161.6666666667</v>
      </c>
      <c r="R386" s="5" t="n">
        <v>46162.38125</v>
      </c>
      <c r="S386" s="3" t="s">
        <v>37</v>
      </c>
      <c r="T386" s="7" t="n">
        <f aca="false">ROUND(MIN(IF(OR(O386=TRUE(),O386="TRUE",O386="Yes"),59,100),(I386*Rubric!$C$2+J386*Rubric!$C$3+K386*Rubric!$C$4+L386*Rubric!$C$5+M386*Rubric!$C$6+N386*Rubric!$C$7)/5),1)</f>
        <v>60</v>
      </c>
      <c r="U386" s="8" t="str">
        <f aca="false">LOOKUP(T386,Bands!$A$2:$A$6,Bands!$B$2:$B$6)</f>
        <v>Needs Improvement</v>
      </c>
      <c r="V386" s="8" t="n">
        <f aca="false">IF(Q386="","",ROUND((Q386-B386)*24,1))</f>
        <v>96</v>
      </c>
    </row>
    <row r="387" customFormat="false" ht="15" hidden="false" customHeight="false" outlineLevel="0" collapsed="false">
      <c r="A387" s="3" t="s">
        <v>903</v>
      </c>
      <c r="B387" s="5" t="n">
        <v>46157.5694444445</v>
      </c>
      <c r="C387" s="3" t="s">
        <v>68</v>
      </c>
      <c r="D387" s="3" t="s">
        <v>119</v>
      </c>
      <c r="E387" s="3" t="s">
        <v>120</v>
      </c>
      <c r="F387" s="3" t="s">
        <v>33</v>
      </c>
      <c r="G387" s="3" t="s">
        <v>42</v>
      </c>
      <c r="H387" s="3" t="s">
        <v>904</v>
      </c>
      <c r="I387" s="3" t="n">
        <v>4</v>
      </c>
      <c r="J387" s="3" t="n">
        <v>4</v>
      </c>
      <c r="K387" s="3" t="n">
        <v>4</v>
      </c>
      <c r="L387" s="3" t="n">
        <v>4</v>
      </c>
      <c r="M387" s="3" t="n">
        <v>4</v>
      </c>
      <c r="N387" s="3" t="n">
        <v>3</v>
      </c>
      <c r="O387" s="6" t="b">
        <f aca="false">FALSE()</f>
        <v>0</v>
      </c>
      <c r="P387" s="3"/>
      <c r="Q387" s="5" t="n">
        <v>46160.5694444445</v>
      </c>
      <c r="R387" s="5" t="n">
        <v>46160.7722222222</v>
      </c>
      <c r="S387" s="3" t="s">
        <v>37</v>
      </c>
      <c r="T387" s="7" t="n">
        <f aca="false">ROUND(MIN(IF(OR(O387=TRUE(),O387="TRUE",O387="Yes"),59,100),(I387*Rubric!$C$2+J387*Rubric!$C$3+K387*Rubric!$C$4+L387*Rubric!$C$5+M387*Rubric!$C$6+N387*Rubric!$C$7)/5),1)</f>
        <v>77</v>
      </c>
      <c r="U387" s="8" t="str">
        <f aca="false">LOOKUP(T387,Bands!$A$2:$A$6,Bands!$B$2:$B$6)</f>
        <v>Meets Expectations</v>
      </c>
      <c r="V387" s="8" t="n">
        <f aca="false">IF(Q387="","",ROUND((Q387-B387)*24,1))</f>
        <v>72</v>
      </c>
    </row>
    <row r="388" customFormat="false" ht="15" hidden="false" customHeight="false" outlineLevel="0" collapsed="false">
      <c r="A388" s="3" t="s">
        <v>905</v>
      </c>
      <c r="B388" s="5" t="n">
        <v>46157.5340277778</v>
      </c>
      <c r="C388" s="3" t="s">
        <v>39</v>
      </c>
      <c r="D388" s="3" t="s">
        <v>202</v>
      </c>
      <c r="E388" s="3" t="s">
        <v>203</v>
      </c>
      <c r="F388" s="3" t="s">
        <v>53</v>
      </c>
      <c r="G388" s="3" t="s">
        <v>54</v>
      </c>
      <c r="H388" s="3" t="s">
        <v>906</v>
      </c>
      <c r="I388" s="3" t="n">
        <v>3</v>
      </c>
      <c r="J388" s="3" t="n">
        <v>4</v>
      </c>
      <c r="K388" s="3" t="n">
        <v>5</v>
      </c>
      <c r="L388" s="3" t="n">
        <v>3</v>
      </c>
      <c r="M388" s="3" t="n">
        <v>4</v>
      </c>
      <c r="N388" s="3" t="n">
        <v>3</v>
      </c>
      <c r="O388" s="6" t="b">
        <f aca="false">FALSE()</f>
        <v>0</v>
      </c>
      <c r="P388" s="3"/>
      <c r="Q388" s="5" t="n">
        <v>46166.5340277778</v>
      </c>
      <c r="R388" s="5" t="n">
        <v>46170.6555555556</v>
      </c>
      <c r="S388" s="3" t="s">
        <v>37</v>
      </c>
      <c r="T388" s="7" t="n">
        <f aca="false">ROUND(MIN(IF(OR(O388=TRUE(),O388="TRUE",O388="Yes"),59,100),(I388*Rubric!$C$2+J388*Rubric!$C$3+K388*Rubric!$C$4+L388*Rubric!$C$5+M388*Rubric!$C$6+N388*Rubric!$C$7)/5),1)</f>
        <v>75</v>
      </c>
      <c r="U388" s="8" t="str">
        <f aca="false">LOOKUP(T388,Bands!$A$2:$A$6,Bands!$B$2:$B$6)</f>
        <v>Meets Expectations</v>
      </c>
      <c r="V388" s="8" t="n">
        <f aca="false">IF(Q388="","",ROUND((Q388-B388)*24,1))</f>
        <v>216</v>
      </c>
    </row>
    <row r="389" customFormat="false" ht="15" hidden="false" customHeight="false" outlineLevel="0" collapsed="false">
      <c r="A389" s="3" t="s">
        <v>907</v>
      </c>
      <c r="B389" s="5" t="n">
        <v>46157.3916666667</v>
      </c>
      <c r="C389" s="3" t="s">
        <v>68</v>
      </c>
      <c r="D389" s="3" t="s">
        <v>307</v>
      </c>
      <c r="E389" s="3" t="s">
        <v>308</v>
      </c>
      <c r="F389" s="3" t="s">
        <v>33</v>
      </c>
      <c r="G389" s="3" t="s">
        <v>54</v>
      </c>
      <c r="H389" s="3" t="s">
        <v>908</v>
      </c>
      <c r="I389" s="3" t="n">
        <v>5</v>
      </c>
      <c r="J389" s="3" t="n">
        <v>2</v>
      </c>
      <c r="K389" s="3" t="n">
        <v>5</v>
      </c>
      <c r="L389" s="3" t="n">
        <v>5</v>
      </c>
      <c r="M389" s="3" t="n">
        <v>5</v>
      </c>
      <c r="N389" s="3" t="n">
        <v>5</v>
      </c>
      <c r="O389" s="6" t="b">
        <f aca="false">FALSE()</f>
        <v>0</v>
      </c>
      <c r="P389" s="3" t="s">
        <v>56</v>
      </c>
      <c r="Q389" s="5" t="n">
        <v>46160.3916666667</v>
      </c>
      <c r="R389" s="5" t="n">
        <v>46161.0229166667</v>
      </c>
      <c r="S389" s="3" t="s">
        <v>37</v>
      </c>
      <c r="T389" s="7" t="n">
        <f aca="false">ROUND(MIN(IF(OR(O389=TRUE(),O389="TRUE",O389="Yes"),59,100),(I389*Rubric!$C$2+J389*Rubric!$C$3+K389*Rubric!$C$4+L389*Rubric!$C$5+M389*Rubric!$C$6+N389*Rubric!$C$7)/5),1)</f>
        <v>85</v>
      </c>
      <c r="U389" s="8" t="str">
        <f aca="false">LOOKUP(T389,Bands!$A$2:$A$6,Bands!$B$2:$B$6)</f>
        <v>Solid Performance</v>
      </c>
      <c r="V389" s="8" t="n">
        <f aca="false">IF(Q389="","",ROUND((Q389-B389)*24,1))</f>
        <v>72</v>
      </c>
    </row>
    <row r="390" customFormat="false" ht="15" hidden="false" customHeight="false" outlineLevel="0" collapsed="false">
      <c r="A390" s="3" t="s">
        <v>909</v>
      </c>
      <c r="B390" s="5" t="n">
        <v>46157.6527777778</v>
      </c>
      <c r="C390" s="3" t="s">
        <v>30</v>
      </c>
      <c r="D390" s="3" t="s">
        <v>96</v>
      </c>
      <c r="E390" s="3" t="s">
        <v>97</v>
      </c>
      <c r="F390" s="3" t="s">
        <v>33</v>
      </c>
      <c r="G390" s="3" t="s">
        <v>42</v>
      </c>
      <c r="H390" s="3" t="s">
        <v>910</v>
      </c>
      <c r="I390" s="3" t="n">
        <v>5</v>
      </c>
      <c r="J390" s="3" t="n">
        <v>3</v>
      </c>
      <c r="K390" s="3" t="n">
        <v>5</v>
      </c>
      <c r="L390" s="3" t="n">
        <v>5</v>
      </c>
      <c r="M390" s="3" t="n">
        <v>5</v>
      </c>
      <c r="N390" s="3" t="n">
        <v>4</v>
      </c>
      <c r="O390" s="6" t="b">
        <f aca="false">FALSE()</f>
        <v>0</v>
      </c>
      <c r="P390" s="3"/>
      <c r="Q390" s="5" t="n">
        <v>46169.6527777778</v>
      </c>
      <c r="R390" s="5" t="n">
        <v>46171.1777777778</v>
      </c>
      <c r="S390" s="3" t="s">
        <v>37</v>
      </c>
      <c r="T390" s="7" t="n">
        <f aca="false">ROUND(MIN(IF(OR(O390=TRUE(),O390="TRUE",O390="Yes"),59,100),(I390*Rubric!$C$2+J390*Rubric!$C$3+K390*Rubric!$C$4+L390*Rubric!$C$5+M390*Rubric!$C$6+N390*Rubric!$C$7)/5),1)</f>
        <v>87</v>
      </c>
      <c r="U390" s="8" t="str">
        <f aca="false">LOOKUP(T390,Bands!$A$2:$A$6,Bands!$B$2:$B$6)</f>
        <v>Solid Performance</v>
      </c>
      <c r="V390" s="8" t="n">
        <f aca="false">IF(Q390="","",ROUND((Q390-B390)*24,1))</f>
        <v>288</v>
      </c>
    </row>
    <row r="391" customFormat="false" ht="15" hidden="false" customHeight="false" outlineLevel="0" collapsed="false">
      <c r="A391" s="3" t="s">
        <v>911</v>
      </c>
      <c r="B391" s="5" t="n">
        <v>46157.5666666667</v>
      </c>
      <c r="C391" s="3" t="s">
        <v>68</v>
      </c>
      <c r="D391" s="3" t="s">
        <v>85</v>
      </c>
      <c r="E391" s="3" t="s">
        <v>86</v>
      </c>
      <c r="F391" s="3" t="s">
        <v>33</v>
      </c>
      <c r="G391" s="3" t="s">
        <v>42</v>
      </c>
      <c r="H391" s="3" t="s">
        <v>912</v>
      </c>
      <c r="I391" s="3" t="n">
        <v>3</v>
      </c>
      <c r="J391" s="3" t="n">
        <v>5</v>
      </c>
      <c r="K391" s="3" t="n">
        <v>3</v>
      </c>
      <c r="L391" s="3" t="n">
        <v>4</v>
      </c>
      <c r="M391" s="3" t="n">
        <v>4</v>
      </c>
      <c r="N391" s="3" t="n">
        <v>4</v>
      </c>
      <c r="O391" s="6" t="b">
        <f aca="false">FALSE()</f>
        <v>0</v>
      </c>
      <c r="P391" s="3"/>
      <c r="Q391" s="5" t="n">
        <v>46161.5666666667</v>
      </c>
      <c r="R391" s="5" t="n">
        <v>46161.7777777778</v>
      </c>
      <c r="S391" s="3" t="s">
        <v>37</v>
      </c>
      <c r="T391" s="7" t="n">
        <f aca="false">ROUND(MIN(IF(OR(O391=TRUE(),O391="TRUE",O391="Yes"),59,100),(I391*Rubric!$C$2+J391*Rubric!$C$3+K391*Rubric!$C$4+L391*Rubric!$C$5+M391*Rubric!$C$6+N391*Rubric!$C$7)/5),1)</f>
        <v>78</v>
      </c>
      <c r="U391" s="8" t="str">
        <f aca="false">LOOKUP(T391,Bands!$A$2:$A$6,Bands!$B$2:$B$6)</f>
        <v>Meets Expectations</v>
      </c>
      <c r="V391" s="8" t="n">
        <f aca="false">IF(Q391="","",ROUND((Q391-B391)*24,1))</f>
        <v>96</v>
      </c>
    </row>
    <row r="392" customFormat="false" ht="15" hidden="false" customHeight="false" outlineLevel="0" collapsed="false">
      <c r="A392" s="3" t="s">
        <v>913</v>
      </c>
      <c r="B392" s="5" t="n">
        <v>46157.6763888889</v>
      </c>
      <c r="C392" s="3" t="s">
        <v>39</v>
      </c>
      <c r="D392" s="3" t="s">
        <v>73</v>
      </c>
      <c r="E392" s="3" t="s">
        <v>74</v>
      </c>
      <c r="F392" s="3" t="s">
        <v>33</v>
      </c>
      <c r="G392" s="3" t="s">
        <v>54</v>
      </c>
      <c r="H392" s="3" t="s">
        <v>914</v>
      </c>
      <c r="I392" s="3" t="n">
        <v>4</v>
      </c>
      <c r="J392" s="3" t="n">
        <v>5</v>
      </c>
      <c r="K392" s="3" t="n">
        <v>4</v>
      </c>
      <c r="L392" s="3" t="n">
        <v>5</v>
      </c>
      <c r="M392" s="3" t="n">
        <v>4</v>
      </c>
      <c r="N392" s="3" t="n">
        <v>3</v>
      </c>
      <c r="O392" s="6" t="b">
        <f aca="false">FALSE()</f>
        <v>0</v>
      </c>
      <c r="P392" s="3"/>
      <c r="Q392" s="5" t="n">
        <v>46162.6763888889</v>
      </c>
      <c r="R392" s="5" t="n">
        <v>46162.7736111111</v>
      </c>
      <c r="S392" s="3" t="s">
        <v>37</v>
      </c>
      <c r="T392" s="7" t="n">
        <f aca="false">ROUND(MIN(IF(OR(O392=TRUE(),O392="TRUE",O392="Yes"),59,100),(I392*Rubric!$C$2+J392*Rubric!$C$3+K392*Rubric!$C$4+L392*Rubric!$C$5+M392*Rubric!$C$6+N392*Rubric!$C$7)/5),1)</f>
        <v>85</v>
      </c>
      <c r="U392" s="8" t="str">
        <f aca="false">LOOKUP(T392,Bands!$A$2:$A$6,Bands!$B$2:$B$6)</f>
        <v>Solid Performance</v>
      </c>
      <c r="V392" s="8" t="n">
        <f aca="false">IF(Q392="","",ROUND((Q392-B392)*24,1))</f>
        <v>120</v>
      </c>
    </row>
    <row r="393" customFormat="false" ht="15" hidden="false" customHeight="false" outlineLevel="0" collapsed="false">
      <c r="A393" s="3" t="s">
        <v>915</v>
      </c>
      <c r="B393" s="5" t="n">
        <v>46157.5555555556</v>
      </c>
      <c r="C393" s="3" t="s">
        <v>30</v>
      </c>
      <c r="D393" s="3" t="s">
        <v>111</v>
      </c>
      <c r="E393" s="3" t="s">
        <v>112</v>
      </c>
      <c r="F393" s="3" t="s">
        <v>33</v>
      </c>
      <c r="G393" s="3" t="s">
        <v>34</v>
      </c>
      <c r="H393" s="3" t="s">
        <v>916</v>
      </c>
      <c r="I393" s="3" t="n">
        <v>2</v>
      </c>
      <c r="J393" s="3" t="n">
        <v>5</v>
      </c>
      <c r="K393" s="3" t="n">
        <v>5</v>
      </c>
      <c r="L393" s="3" t="n">
        <v>4</v>
      </c>
      <c r="M393" s="3" t="n">
        <v>5</v>
      </c>
      <c r="N393" s="3" t="n">
        <v>0</v>
      </c>
      <c r="O393" s="6" t="b">
        <f aca="false">TRUE()</f>
        <v>1</v>
      </c>
      <c r="P393" s="3" t="s">
        <v>245</v>
      </c>
      <c r="Q393" s="5" t="n">
        <v>46161.5555555556</v>
      </c>
      <c r="R393" s="5" t="n">
        <v>46161.7298611111</v>
      </c>
      <c r="S393" s="3" t="s">
        <v>37</v>
      </c>
      <c r="T393" s="7" t="n">
        <f aca="false">ROUND(MIN(IF(OR(O393=TRUE(),O393="TRUE",O393="Yes"),59,100),(I393*Rubric!$C$2+J393*Rubric!$C$3+K393*Rubric!$C$4+L393*Rubric!$C$5+M393*Rubric!$C$6+N393*Rubric!$C$7)/5),1)</f>
        <v>59</v>
      </c>
      <c r="U393" s="8" t="str">
        <f aca="false">LOOKUP(T393,Bands!$A$2:$A$6,Bands!$B$2:$B$6)</f>
        <v>Critical</v>
      </c>
      <c r="V393" s="8" t="n">
        <f aca="false">IF(Q393="","",ROUND((Q393-B393)*24,1))</f>
        <v>96</v>
      </c>
    </row>
    <row r="394" customFormat="false" ht="15" hidden="false" customHeight="false" outlineLevel="0" collapsed="false">
      <c r="A394" s="3" t="s">
        <v>917</v>
      </c>
      <c r="B394" s="5" t="n">
        <v>46157.6375</v>
      </c>
      <c r="C394" s="3" t="s">
        <v>39</v>
      </c>
      <c r="D394" s="3" t="s">
        <v>115</v>
      </c>
      <c r="E394" s="3" t="s">
        <v>116</v>
      </c>
      <c r="F394" s="3" t="s">
        <v>33</v>
      </c>
      <c r="G394" s="3" t="s">
        <v>34</v>
      </c>
      <c r="H394" s="3" t="s">
        <v>918</v>
      </c>
      <c r="I394" s="3" t="n">
        <v>5</v>
      </c>
      <c r="J394" s="3" t="n">
        <v>5</v>
      </c>
      <c r="K394" s="3" t="n">
        <v>5</v>
      </c>
      <c r="L394" s="3" t="n">
        <v>4</v>
      </c>
      <c r="M394" s="3" t="n">
        <v>2</v>
      </c>
      <c r="N394" s="3" t="n">
        <v>4</v>
      </c>
      <c r="O394" s="6" t="b">
        <f aca="false">FALSE()</f>
        <v>0</v>
      </c>
      <c r="P394" s="3" t="s">
        <v>103</v>
      </c>
      <c r="Q394" s="5" t="n">
        <v>46162.6375</v>
      </c>
      <c r="R394" s="5" t="n">
        <v>46164.3826388889</v>
      </c>
      <c r="S394" s="3" t="s">
        <v>37</v>
      </c>
      <c r="T394" s="7" t="n">
        <f aca="false">ROUND(MIN(IF(OR(O394=TRUE(),O394="TRUE",O394="Yes"),59,100),(I394*Rubric!$C$2+J394*Rubric!$C$3+K394*Rubric!$C$4+L394*Rubric!$C$5+M394*Rubric!$C$6+N394*Rubric!$C$7)/5),1)</f>
        <v>88</v>
      </c>
      <c r="U394" s="8" t="str">
        <f aca="false">LOOKUP(T394,Bands!$A$2:$A$6,Bands!$B$2:$B$6)</f>
        <v>Solid Performance</v>
      </c>
      <c r="V394" s="8" t="n">
        <f aca="false">IF(Q394="","",ROUND((Q394-B394)*24,1))</f>
        <v>120</v>
      </c>
    </row>
    <row r="395" customFormat="false" ht="15" hidden="false" customHeight="false" outlineLevel="0" collapsed="false">
      <c r="A395" s="3" t="s">
        <v>919</v>
      </c>
      <c r="B395" s="5" t="n">
        <v>46157.4104166667</v>
      </c>
      <c r="C395" s="3" t="s">
        <v>30</v>
      </c>
      <c r="D395" s="3" t="s">
        <v>222</v>
      </c>
      <c r="E395" s="3" t="s">
        <v>223</v>
      </c>
      <c r="F395" s="3" t="s">
        <v>53</v>
      </c>
      <c r="G395" s="3" t="s">
        <v>54</v>
      </c>
      <c r="H395" s="3" t="s">
        <v>920</v>
      </c>
      <c r="I395" s="3" t="n">
        <v>4</v>
      </c>
      <c r="J395" s="3" t="n">
        <v>4</v>
      </c>
      <c r="K395" s="3" t="n">
        <v>5</v>
      </c>
      <c r="L395" s="3" t="n">
        <v>5</v>
      </c>
      <c r="M395" s="3" t="n">
        <v>5</v>
      </c>
      <c r="N395" s="3" t="n">
        <v>3</v>
      </c>
      <c r="O395" s="6" t="b">
        <f aca="false">FALSE()</f>
        <v>0</v>
      </c>
      <c r="P395" s="3"/>
      <c r="Q395" s="5" t="n">
        <v>46164.4104166667</v>
      </c>
      <c r="R395" s="5" t="n">
        <v>46165.25</v>
      </c>
      <c r="S395" s="3" t="s">
        <v>37</v>
      </c>
      <c r="T395" s="7" t="n">
        <f aca="false">ROUND(MIN(IF(OR(O395=TRUE(),O395="TRUE",O395="Yes"),59,100),(I395*Rubric!$C$2+J395*Rubric!$C$3+K395*Rubric!$C$4+L395*Rubric!$C$5+M395*Rubric!$C$6+N395*Rubric!$C$7)/5),1)</f>
        <v>86</v>
      </c>
      <c r="U395" s="8" t="str">
        <f aca="false">LOOKUP(T395,Bands!$A$2:$A$6,Bands!$B$2:$B$6)</f>
        <v>Solid Performance</v>
      </c>
      <c r="V395" s="8" t="n">
        <f aca="false">IF(Q395="","",ROUND((Q395-B395)*24,1))</f>
        <v>168</v>
      </c>
    </row>
    <row r="396" customFormat="false" ht="15" hidden="false" customHeight="false" outlineLevel="0" collapsed="false">
      <c r="A396" s="3" t="s">
        <v>921</v>
      </c>
      <c r="B396" s="5" t="n">
        <v>46157.4576388889</v>
      </c>
      <c r="C396" s="3" t="s">
        <v>39</v>
      </c>
      <c r="D396" s="3" t="s">
        <v>51</v>
      </c>
      <c r="E396" s="3" t="s">
        <v>52</v>
      </c>
      <c r="F396" s="3" t="s">
        <v>53</v>
      </c>
      <c r="G396" s="3" t="s">
        <v>54</v>
      </c>
      <c r="H396" s="3" t="s">
        <v>922</v>
      </c>
      <c r="I396" s="3" t="n">
        <v>4</v>
      </c>
      <c r="J396" s="3" t="n">
        <v>3</v>
      </c>
      <c r="K396" s="3" t="n">
        <v>3</v>
      </c>
      <c r="L396" s="3" t="n">
        <v>4</v>
      </c>
      <c r="M396" s="3" t="n">
        <v>4</v>
      </c>
      <c r="N396" s="3" t="n">
        <v>4</v>
      </c>
      <c r="O396" s="6" t="b">
        <f aca="false">FALSE()</f>
        <v>0</v>
      </c>
      <c r="P396" s="3"/>
      <c r="Q396" s="5" t="n">
        <v>46169.4576388889</v>
      </c>
      <c r="R396" s="5" t="n">
        <v>46170.7444444444</v>
      </c>
      <c r="S396" s="3" t="s">
        <v>37</v>
      </c>
      <c r="T396" s="7" t="n">
        <f aca="false">ROUND(MIN(IF(OR(O396=TRUE(),O396="TRUE",O396="Yes"),59,100),(I396*Rubric!$C$2+J396*Rubric!$C$3+K396*Rubric!$C$4+L396*Rubric!$C$5+M396*Rubric!$C$6+N396*Rubric!$C$7)/5),1)</f>
        <v>71</v>
      </c>
      <c r="U396" s="8" t="str">
        <f aca="false">LOOKUP(T396,Bands!$A$2:$A$6,Bands!$B$2:$B$6)</f>
        <v>Meets Expectations</v>
      </c>
      <c r="V396" s="8" t="n">
        <f aca="false">IF(Q396="","",ROUND((Q396-B396)*24,1))</f>
        <v>288</v>
      </c>
    </row>
    <row r="397" customFormat="false" ht="15" hidden="false" customHeight="false" outlineLevel="0" collapsed="false">
      <c r="A397" s="3" t="s">
        <v>923</v>
      </c>
      <c r="B397" s="5" t="n">
        <v>46157.6673611111</v>
      </c>
      <c r="C397" s="3" t="s">
        <v>30</v>
      </c>
      <c r="D397" s="3" t="s">
        <v>105</v>
      </c>
      <c r="E397" s="3" t="s">
        <v>106</v>
      </c>
      <c r="F397" s="3" t="s">
        <v>65</v>
      </c>
      <c r="G397" s="3" t="s">
        <v>42</v>
      </c>
      <c r="H397" s="3" t="s">
        <v>924</v>
      </c>
      <c r="I397" s="3" t="n">
        <v>5</v>
      </c>
      <c r="J397" s="3" t="n">
        <v>4</v>
      </c>
      <c r="K397" s="3" t="n">
        <v>3</v>
      </c>
      <c r="L397" s="3" t="n">
        <v>4</v>
      </c>
      <c r="M397" s="3" t="n">
        <v>4</v>
      </c>
      <c r="N397" s="3" t="n">
        <v>4</v>
      </c>
      <c r="O397" s="6" t="b">
        <f aca="false">FALSE()</f>
        <v>0</v>
      </c>
      <c r="P397" s="3"/>
      <c r="Q397" s="5" t="n">
        <v>46164.6673611111</v>
      </c>
      <c r="R397" s="5" t="n">
        <v>46166.3833333333</v>
      </c>
      <c r="S397" s="3" t="s">
        <v>37</v>
      </c>
      <c r="T397" s="7" t="n">
        <f aca="false">ROUND(MIN(IF(OR(O397=TRUE(),O397="TRUE",O397="Yes"),59,100),(I397*Rubric!$C$2+J397*Rubric!$C$3+K397*Rubric!$C$4+L397*Rubric!$C$5+M397*Rubric!$C$6+N397*Rubric!$C$7)/5),1)</f>
        <v>79</v>
      </c>
      <c r="U397" s="8" t="str">
        <f aca="false">LOOKUP(T397,Bands!$A$2:$A$6,Bands!$B$2:$B$6)</f>
        <v>Meets Expectations</v>
      </c>
      <c r="V397" s="8" t="n">
        <f aca="false">IF(Q397="","",ROUND((Q397-B397)*24,1))</f>
        <v>168</v>
      </c>
    </row>
    <row r="398" customFormat="false" ht="15" hidden="false" customHeight="false" outlineLevel="0" collapsed="false">
      <c r="A398" s="3" t="s">
        <v>925</v>
      </c>
      <c r="B398" s="5" t="n">
        <v>46160.6236111111</v>
      </c>
      <c r="C398" s="3" t="s">
        <v>39</v>
      </c>
      <c r="D398" s="3" t="s">
        <v>167</v>
      </c>
      <c r="E398" s="3" t="s">
        <v>168</v>
      </c>
      <c r="F398" s="3" t="s">
        <v>33</v>
      </c>
      <c r="G398" s="3" t="s">
        <v>34</v>
      </c>
      <c r="H398" s="3" t="s">
        <v>926</v>
      </c>
      <c r="I398" s="3" t="n">
        <v>3</v>
      </c>
      <c r="J398" s="3" t="n">
        <v>3</v>
      </c>
      <c r="K398" s="3" t="n">
        <v>3</v>
      </c>
      <c r="L398" s="3" t="n">
        <v>5</v>
      </c>
      <c r="M398" s="3" t="n">
        <v>4</v>
      </c>
      <c r="N398" s="3" t="n">
        <v>3</v>
      </c>
      <c r="O398" s="6" t="b">
        <f aca="false">FALSE()</f>
        <v>0</v>
      </c>
      <c r="P398" s="3"/>
      <c r="Q398" s="5" t="n">
        <v>46169.6236111111</v>
      </c>
      <c r="R398" s="5" t="n">
        <v>46170.2736111111</v>
      </c>
      <c r="S398" s="3" t="s">
        <v>37</v>
      </c>
      <c r="T398" s="7" t="n">
        <f aca="false">ROUND(MIN(IF(OR(O398=TRUE(),O398="TRUE",O398="Yes"),59,100),(I398*Rubric!$C$2+J398*Rubric!$C$3+K398*Rubric!$C$4+L398*Rubric!$C$5+M398*Rubric!$C$6+N398*Rubric!$C$7)/5),1)</f>
        <v>68</v>
      </c>
      <c r="U398" s="8" t="str">
        <f aca="false">LOOKUP(T398,Bands!$A$2:$A$6,Bands!$B$2:$B$6)</f>
        <v>Needs Improvement</v>
      </c>
      <c r="V398" s="8" t="n">
        <f aca="false">IF(Q398="","",ROUND((Q398-B398)*24,1))</f>
        <v>216</v>
      </c>
    </row>
    <row r="399" customFormat="false" ht="15" hidden="false" customHeight="false" outlineLevel="0" collapsed="false">
      <c r="A399" s="3" t="s">
        <v>927</v>
      </c>
      <c r="B399" s="5" t="n">
        <v>46160.5729166667</v>
      </c>
      <c r="C399" s="3" t="s">
        <v>30</v>
      </c>
      <c r="D399" s="3" t="s">
        <v>115</v>
      </c>
      <c r="E399" s="3" t="s">
        <v>116</v>
      </c>
      <c r="F399" s="3" t="s">
        <v>33</v>
      </c>
      <c r="G399" s="3" t="s">
        <v>42</v>
      </c>
      <c r="H399" s="3" t="s">
        <v>928</v>
      </c>
      <c r="I399" s="3" t="n">
        <v>5</v>
      </c>
      <c r="J399" s="3" t="n">
        <v>4</v>
      </c>
      <c r="K399" s="3" t="n">
        <v>5</v>
      </c>
      <c r="L399" s="3" t="n">
        <v>4</v>
      </c>
      <c r="M399" s="3" t="n">
        <v>2</v>
      </c>
      <c r="N399" s="3" t="n">
        <v>5</v>
      </c>
      <c r="O399" s="6" t="b">
        <f aca="false">FALSE()</f>
        <v>0</v>
      </c>
      <c r="P399" s="3" t="s">
        <v>103</v>
      </c>
      <c r="Q399" s="5" t="n">
        <v>46165.5729166667</v>
      </c>
      <c r="R399" s="5" t="n">
        <v>46166.6319444445</v>
      </c>
      <c r="S399" s="3" t="s">
        <v>37</v>
      </c>
      <c r="T399" s="7" t="n">
        <f aca="false">ROUND(MIN(IF(OR(O399=TRUE(),O399="TRUE",O399="Yes"),59,100),(I399*Rubric!$C$2+J399*Rubric!$C$3+K399*Rubric!$C$4+L399*Rubric!$C$5+M399*Rubric!$C$6+N399*Rubric!$C$7)/5),1)</f>
        <v>86</v>
      </c>
      <c r="U399" s="8" t="str">
        <f aca="false">LOOKUP(T399,Bands!$A$2:$A$6,Bands!$B$2:$B$6)</f>
        <v>Solid Performance</v>
      </c>
      <c r="V399" s="8" t="n">
        <f aca="false">IF(Q399="","",ROUND((Q399-B399)*24,1))</f>
        <v>120</v>
      </c>
    </row>
    <row r="400" customFormat="false" ht="15" hidden="false" customHeight="false" outlineLevel="0" collapsed="false">
      <c r="A400" s="3" t="s">
        <v>929</v>
      </c>
      <c r="B400" s="5" t="n">
        <v>46160.6055555556</v>
      </c>
      <c r="C400" s="3" t="s">
        <v>68</v>
      </c>
      <c r="D400" s="3" t="s">
        <v>212</v>
      </c>
      <c r="E400" s="3" t="s">
        <v>213</v>
      </c>
      <c r="F400" s="3" t="s">
        <v>33</v>
      </c>
      <c r="G400" s="3" t="s">
        <v>34</v>
      </c>
      <c r="H400" s="3" t="s">
        <v>930</v>
      </c>
      <c r="I400" s="3" t="n">
        <v>3</v>
      </c>
      <c r="J400" s="3" t="n">
        <v>3</v>
      </c>
      <c r="K400" s="3" t="n">
        <v>3</v>
      </c>
      <c r="L400" s="3" t="n">
        <v>3</v>
      </c>
      <c r="M400" s="3" t="n">
        <v>3</v>
      </c>
      <c r="N400" s="3" t="n">
        <v>3</v>
      </c>
      <c r="O400" s="6" t="b">
        <f aca="false">FALSE()</f>
        <v>0</v>
      </c>
      <c r="P400" s="3"/>
      <c r="Q400" s="5" t="n">
        <v>46164.6055555556</v>
      </c>
      <c r="R400" s="5" t="n">
        <v>46165.53125</v>
      </c>
      <c r="S400" s="3" t="s">
        <v>37</v>
      </c>
      <c r="T400" s="7" t="n">
        <f aca="false">ROUND(MIN(IF(OR(O400=TRUE(),O400="TRUE",O400="Yes"),59,100),(I400*Rubric!$C$2+J400*Rubric!$C$3+K400*Rubric!$C$4+L400*Rubric!$C$5+M400*Rubric!$C$6+N400*Rubric!$C$7)/5),1)</f>
        <v>60</v>
      </c>
      <c r="U400" s="8" t="str">
        <f aca="false">LOOKUP(T400,Bands!$A$2:$A$6,Bands!$B$2:$B$6)</f>
        <v>Needs Improvement</v>
      </c>
      <c r="V400" s="8" t="n">
        <f aca="false">IF(Q400="","",ROUND((Q400-B400)*24,1))</f>
        <v>96</v>
      </c>
    </row>
    <row r="401" customFormat="false" ht="15" hidden="false" customHeight="false" outlineLevel="0" collapsed="false">
      <c r="A401" s="3" t="s">
        <v>931</v>
      </c>
      <c r="B401" s="5" t="n">
        <v>46160.6048611111</v>
      </c>
      <c r="C401" s="3" t="s">
        <v>39</v>
      </c>
      <c r="D401" s="3" t="s">
        <v>31</v>
      </c>
      <c r="E401" s="3" t="s">
        <v>32</v>
      </c>
      <c r="F401" s="3" t="s">
        <v>33</v>
      </c>
      <c r="G401" s="3" t="s">
        <v>42</v>
      </c>
      <c r="H401" s="3" t="s">
        <v>932</v>
      </c>
      <c r="I401" s="3" t="n">
        <v>5</v>
      </c>
      <c r="J401" s="3" t="n">
        <v>5</v>
      </c>
      <c r="K401" s="3" t="n">
        <v>4</v>
      </c>
      <c r="L401" s="3" t="n">
        <v>3</v>
      </c>
      <c r="M401" s="3" t="n">
        <v>4</v>
      </c>
      <c r="N401" s="3" t="n">
        <v>4</v>
      </c>
      <c r="O401" s="6" t="b">
        <f aca="false">FALSE()</f>
        <v>0</v>
      </c>
      <c r="P401" s="3"/>
      <c r="Q401" s="5" t="n">
        <v>46165.6048611111</v>
      </c>
      <c r="R401" s="5" t="n">
        <v>46165.9472222222</v>
      </c>
      <c r="S401" s="3" t="s">
        <v>37</v>
      </c>
      <c r="T401" s="7" t="n">
        <f aca="false">ROUND(MIN(IF(OR(O401=TRUE(),O401="TRUE",O401="Yes"),59,100),(I401*Rubric!$C$2+J401*Rubric!$C$3+K401*Rubric!$C$4+L401*Rubric!$C$5+M401*Rubric!$C$6+N401*Rubric!$C$7)/5),1)</f>
        <v>85</v>
      </c>
      <c r="U401" s="8" t="str">
        <f aca="false">LOOKUP(T401,Bands!$A$2:$A$6,Bands!$B$2:$B$6)</f>
        <v>Solid Performance</v>
      </c>
      <c r="V401" s="8" t="n">
        <f aca="false">IF(Q401="","",ROUND((Q401-B401)*24,1))</f>
        <v>120</v>
      </c>
    </row>
    <row r="402" customFormat="false" ht="15" hidden="false" customHeight="false" outlineLevel="0" collapsed="false">
      <c r="A402" s="3" t="s">
        <v>933</v>
      </c>
      <c r="B402" s="5" t="n">
        <v>46160.4180555556</v>
      </c>
      <c r="C402" s="3" t="s">
        <v>30</v>
      </c>
      <c r="D402" s="3" t="s">
        <v>228</v>
      </c>
      <c r="E402" s="3" t="s">
        <v>229</v>
      </c>
      <c r="F402" s="3" t="s">
        <v>65</v>
      </c>
      <c r="G402" s="3" t="s">
        <v>54</v>
      </c>
      <c r="H402" s="3" t="s">
        <v>934</v>
      </c>
      <c r="I402" s="3" t="n">
        <v>2</v>
      </c>
      <c r="J402" s="3" t="n">
        <v>2</v>
      </c>
      <c r="K402" s="3" t="n">
        <v>2</v>
      </c>
      <c r="L402" s="3" t="n">
        <v>4</v>
      </c>
      <c r="M402" s="3" t="n">
        <v>2</v>
      </c>
      <c r="N402" s="3" t="n">
        <v>3</v>
      </c>
      <c r="O402" s="6" t="b">
        <f aca="false">FALSE()</f>
        <v>0</v>
      </c>
      <c r="P402" s="3" t="s">
        <v>935</v>
      </c>
      <c r="Q402" s="5" t="n">
        <v>46163.4180555556</v>
      </c>
      <c r="R402" s="5" t="n">
        <v>46164.4368055556</v>
      </c>
      <c r="S402" s="3" t="s">
        <v>37</v>
      </c>
      <c r="T402" s="7" t="n">
        <f aca="false">ROUND(MIN(IF(OR(O402=TRUE(),O402="TRUE",O402="Yes"),59,100),(I402*Rubric!$C$2+J402*Rubric!$C$3+K402*Rubric!$C$4+L402*Rubric!$C$5+M402*Rubric!$C$6+N402*Rubric!$C$7)/5),1)</f>
        <v>49</v>
      </c>
      <c r="U402" s="8" t="str">
        <f aca="false">LOOKUP(T402,Bands!$A$2:$A$6,Bands!$B$2:$B$6)</f>
        <v>Critical</v>
      </c>
      <c r="V402" s="8" t="n">
        <f aca="false">IF(Q402="","",ROUND((Q402-B402)*24,1))</f>
        <v>72</v>
      </c>
    </row>
    <row r="403" customFormat="false" ht="15" hidden="false" customHeight="false" outlineLevel="0" collapsed="false">
      <c r="A403" s="3" t="s">
        <v>936</v>
      </c>
      <c r="B403" s="5" t="n">
        <v>46160.6069444444</v>
      </c>
      <c r="C403" s="3" t="s">
        <v>39</v>
      </c>
      <c r="D403" s="3" t="s">
        <v>51</v>
      </c>
      <c r="E403" s="3" t="s">
        <v>52</v>
      </c>
      <c r="F403" s="3" t="s">
        <v>53</v>
      </c>
      <c r="G403" s="3" t="s">
        <v>34</v>
      </c>
      <c r="H403" s="3" t="s">
        <v>937</v>
      </c>
      <c r="I403" s="3" t="n">
        <v>3</v>
      </c>
      <c r="J403" s="3" t="n">
        <v>2</v>
      </c>
      <c r="K403" s="3" t="n">
        <v>4</v>
      </c>
      <c r="L403" s="3" t="n">
        <v>4</v>
      </c>
      <c r="M403" s="3" t="n">
        <v>5</v>
      </c>
      <c r="N403" s="3" t="n">
        <v>4</v>
      </c>
      <c r="O403" s="6" t="b">
        <f aca="false">FALSE()</f>
        <v>0</v>
      </c>
      <c r="P403" s="3" t="s">
        <v>56</v>
      </c>
      <c r="Q403" s="5" t="n">
        <v>46167.6069444444</v>
      </c>
      <c r="R403" s="5" t="n">
        <v>46167.7465277778</v>
      </c>
      <c r="S403" s="3" t="s">
        <v>37</v>
      </c>
      <c r="T403" s="7" t="n">
        <f aca="false">ROUND(MIN(IF(OR(O403=TRUE(),O403="TRUE",O403="Yes"),59,100),(I403*Rubric!$C$2+J403*Rubric!$C$3+K403*Rubric!$C$4+L403*Rubric!$C$5+M403*Rubric!$C$6+N403*Rubric!$C$7)/5),1)</f>
        <v>69</v>
      </c>
      <c r="U403" s="8" t="str">
        <f aca="false">LOOKUP(T403,Bands!$A$2:$A$6,Bands!$B$2:$B$6)</f>
        <v>Needs Improvement</v>
      </c>
      <c r="V403" s="8" t="n">
        <f aca="false">IF(Q403="","",ROUND((Q403-B403)*24,1))</f>
        <v>168</v>
      </c>
    </row>
    <row r="404" customFormat="false" ht="15" hidden="false" customHeight="false" outlineLevel="0" collapsed="false">
      <c r="A404" s="3" t="s">
        <v>938</v>
      </c>
      <c r="B404" s="5" t="n">
        <v>46160.7020833333</v>
      </c>
      <c r="C404" s="3" t="s">
        <v>68</v>
      </c>
      <c r="D404" s="3" t="s">
        <v>194</v>
      </c>
      <c r="E404" s="3" t="s">
        <v>195</v>
      </c>
      <c r="F404" s="3" t="s">
        <v>53</v>
      </c>
      <c r="G404" s="3" t="s">
        <v>54</v>
      </c>
      <c r="H404" s="3" t="s">
        <v>939</v>
      </c>
      <c r="I404" s="3" t="n">
        <v>4</v>
      </c>
      <c r="J404" s="3" t="n">
        <v>5</v>
      </c>
      <c r="K404" s="3" t="n">
        <v>4</v>
      </c>
      <c r="L404" s="3" t="n">
        <v>2</v>
      </c>
      <c r="M404" s="3" t="n">
        <v>5</v>
      </c>
      <c r="N404" s="3" t="n">
        <v>4</v>
      </c>
      <c r="O404" s="6" t="b">
        <f aca="false">FALSE()</f>
        <v>0</v>
      </c>
      <c r="P404" s="3" t="s">
        <v>44</v>
      </c>
      <c r="Q404" s="5" t="n">
        <v>46164.7020833333</v>
      </c>
      <c r="R404" s="5" t="n">
        <v>46165.8854166667</v>
      </c>
      <c r="S404" s="3" t="s">
        <v>37</v>
      </c>
      <c r="T404" s="7" t="n">
        <f aca="false">ROUND(MIN(IF(OR(O404=TRUE(),O404="TRUE",O404="Yes"),59,100),(I404*Rubric!$C$2+J404*Rubric!$C$3+K404*Rubric!$C$4+L404*Rubric!$C$5+M404*Rubric!$C$6+N404*Rubric!$C$7)/5),1)</f>
        <v>81</v>
      </c>
      <c r="U404" s="8" t="str">
        <f aca="false">LOOKUP(T404,Bands!$A$2:$A$6,Bands!$B$2:$B$6)</f>
        <v>Solid Performance</v>
      </c>
      <c r="V404" s="8" t="n">
        <f aca="false">IF(Q404="","",ROUND((Q404-B404)*24,1))</f>
        <v>96</v>
      </c>
    </row>
    <row r="405" customFormat="false" ht="15" hidden="false" customHeight="false" outlineLevel="0" collapsed="false">
      <c r="A405" s="3" t="s">
        <v>940</v>
      </c>
      <c r="B405" s="5" t="n">
        <v>46160.4034722222</v>
      </c>
      <c r="C405" s="3" t="s">
        <v>39</v>
      </c>
      <c r="D405" s="3" t="s">
        <v>265</v>
      </c>
      <c r="E405" s="3" t="s">
        <v>266</v>
      </c>
      <c r="F405" s="3" t="s">
        <v>33</v>
      </c>
      <c r="G405" s="3" t="s">
        <v>54</v>
      </c>
      <c r="H405" s="3" t="s">
        <v>941</v>
      </c>
      <c r="I405" s="3" t="n">
        <v>4</v>
      </c>
      <c r="J405" s="3" t="n">
        <v>2</v>
      </c>
      <c r="K405" s="3" t="n">
        <v>3</v>
      </c>
      <c r="L405" s="3" t="n">
        <v>3</v>
      </c>
      <c r="M405" s="3" t="n">
        <v>4</v>
      </c>
      <c r="N405" s="3" t="n">
        <v>3</v>
      </c>
      <c r="O405" s="6" t="b">
        <f aca="false">FALSE()</f>
        <v>0</v>
      </c>
      <c r="P405" s="3" t="s">
        <v>56</v>
      </c>
      <c r="Q405" s="5" t="n">
        <v>46163.4034722222</v>
      </c>
      <c r="R405" s="5" t="n">
        <v>46163.6173611111</v>
      </c>
      <c r="S405" s="3" t="s">
        <v>37</v>
      </c>
      <c r="T405" s="7" t="n">
        <f aca="false">ROUND(MIN(IF(OR(O405=TRUE(),O405="TRUE",O405="Yes"),59,100),(I405*Rubric!$C$2+J405*Rubric!$C$3+K405*Rubric!$C$4+L405*Rubric!$C$5+M405*Rubric!$C$6+N405*Rubric!$C$7)/5),1)</f>
        <v>60</v>
      </c>
      <c r="U405" s="8" t="str">
        <f aca="false">LOOKUP(T405,Bands!$A$2:$A$6,Bands!$B$2:$B$6)</f>
        <v>Needs Improvement</v>
      </c>
      <c r="V405" s="8" t="n">
        <f aca="false">IF(Q405="","",ROUND((Q405-B405)*24,1))</f>
        <v>72</v>
      </c>
    </row>
    <row r="406" customFormat="false" ht="15" hidden="false" customHeight="false" outlineLevel="0" collapsed="false">
      <c r="A406" s="3" t="s">
        <v>942</v>
      </c>
      <c r="B406" s="5" t="n">
        <v>46160.4298611111</v>
      </c>
      <c r="C406" s="3" t="s">
        <v>39</v>
      </c>
      <c r="D406" s="3" t="s">
        <v>161</v>
      </c>
      <c r="E406" s="3" t="s">
        <v>162</v>
      </c>
      <c r="F406" s="3" t="s">
        <v>33</v>
      </c>
      <c r="G406" s="3" t="s">
        <v>54</v>
      </c>
      <c r="H406" s="3" t="s">
        <v>943</v>
      </c>
      <c r="I406" s="3" t="n">
        <v>5</v>
      </c>
      <c r="J406" s="3" t="n">
        <v>5</v>
      </c>
      <c r="K406" s="3" t="n">
        <v>4</v>
      </c>
      <c r="L406" s="3" t="n">
        <v>4</v>
      </c>
      <c r="M406" s="3" t="n">
        <v>3</v>
      </c>
      <c r="N406" s="3" t="n">
        <v>4</v>
      </c>
      <c r="O406" s="6" t="b">
        <f aca="false">FALSE()</f>
        <v>0</v>
      </c>
      <c r="P406" s="3"/>
      <c r="Q406" s="5" t="n">
        <v>46163.4298611111</v>
      </c>
      <c r="R406" s="5" t="n">
        <v>46163.6604166667</v>
      </c>
      <c r="S406" s="3" t="s">
        <v>37</v>
      </c>
      <c r="T406" s="7" t="n">
        <f aca="false">ROUND(MIN(IF(OR(O406=TRUE(),O406="TRUE",O406="Yes"),59,100),(I406*Rubric!$C$2+J406*Rubric!$C$3+K406*Rubric!$C$4+L406*Rubric!$C$5+M406*Rubric!$C$6+N406*Rubric!$C$7)/5),1)</f>
        <v>86</v>
      </c>
      <c r="U406" s="8" t="str">
        <f aca="false">LOOKUP(T406,Bands!$A$2:$A$6,Bands!$B$2:$B$6)</f>
        <v>Solid Performance</v>
      </c>
      <c r="V406" s="8" t="n">
        <f aca="false">IF(Q406="","",ROUND((Q406-B406)*24,1))</f>
        <v>72</v>
      </c>
    </row>
    <row r="407" customFormat="false" ht="15" hidden="false" customHeight="false" outlineLevel="0" collapsed="false">
      <c r="A407" s="3" t="s">
        <v>944</v>
      </c>
      <c r="B407" s="5" t="n">
        <v>46160.6569444445</v>
      </c>
      <c r="C407" s="3" t="s">
        <v>68</v>
      </c>
      <c r="D407" s="3" t="s">
        <v>63</v>
      </c>
      <c r="E407" s="3" t="s">
        <v>64</v>
      </c>
      <c r="F407" s="3" t="s">
        <v>65</v>
      </c>
      <c r="G407" s="3" t="s">
        <v>54</v>
      </c>
      <c r="H407" s="3" t="s">
        <v>945</v>
      </c>
      <c r="I407" s="3" t="n">
        <v>4</v>
      </c>
      <c r="J407" s="3" t="n">
        <v>4</v>
      </c>
      <c r="K407" s="3" t="n">
        <v>2</v>
      </c>
      <c r="L407" s="3" t="n">
        <v>4</v>
      </c>
      <c r="M407" s="3" t="n">
        <v>3</v>
      </c>
      <c r="N407" s="3" t="n">
        <v>4</v>
      </c>
      <c r="O407" s="6" t="b">
        <f aca="false">FALSE()</f>
        <v>0</v>
      </c>
      <c r="P407" s="3" t="s">
        <v>49</v>
      </c>
      <c r="Q407" s="5" t="n">
        <v>46169.6569444445</v>
      </c>
      <c r="R407" s="5" t="n">
        <v>46172.3951388889</v>
      </c>
      <c r="S407" s="3" t="s">
        <v>37</v>
      </c>
      <c r="T407" s="7" t="n">
        <f aca="false">ROUND(MIN(IF(OR(O407=TRUE(),O407="TRUE",O407="Yes"),59,100),(I407*Rubric!$C$2+J407*Rubric!$C$3+K407*Rubric!$C$4+L407*Rubric!$C$5+M407*Rubric!$C$6+N407*Rubric!$C$7)/5),1)</f>
        <v>70</v>
      </c>
      <c r="U407" s="8" t="str">
        <f aca="false">LOOKUP(T407,Bands!$A$2:$A$6,Bands!$B$2:$B$6)</f>
        <v>Meets Expectations</v>
      </c>
      <c r="V407" s="8" t="n">
        <f aca="false">IF(Q407="","",ROUND((Q407-B407)*24,1))</f>
        <v>216</v>
      </c>
    </row>
    <row r="408" customFormat="false" ht="15" hidden="false" customHeight="false" outlineLevel="0" collapsed="false">
      <c r="A408" s="3" t="s">
        <v>946</v>
      </c>
      <c r="B408" s="5" t="n">
        <v>46160.4756944445</v>
      </c>
      <c r="C408" s="3" t="s">
        <v>68</v>
      </c>
      <c r="D408" s="3" t="s">
        <v>119</v>
      </c>
      <c r="E408" s="3" t="s">
        <v>120</v>
      </c>
      <c r="F408" s="3" t="s">
        <v>33</v>
      </c>
      <c r="G408" s="3" t="s">
        <v>54</v>
      </c>
      <c r="H408" s="3" t="s">
        <v>947</v>
      </c>
      <c r="I408" s="3" t="n">
        <v>3</v>
      </c>
      <c r="J408" s="3" t="n">
        <v>3</v>
      </c>
      <c r="K408" s="3" t="n">
        <v>4</v>
      </c>
      <c r="L408" s="3" t="n">
        <v>4</v>
      </c>
      <c r="M408" s="3" t="n">
        <v>4</v>
      </c>
      <c r="N408" s="3" t="n">
        <v>2</v>
      </c>
      <c r="O408" s="6" t="b">
        <f aca="false">FALSE()</f>
        <v>0</v>
      </c>
      <c r="P408" s="3" t="s">
        <v>36</v>
      </c>
      <c r="Q408" s="5" t="n">
        <v>46164.4756944445</v>
      </c>
      <c r="R408" s="5" t="n">
        <v>46165.3722222222</v>
      </c>
      <c r="S408" s="3" t="s">
        <v>37</v>
      </c>
      <c r="T408" s="7" t="n">
        <f aca="false">ROUND(MIN(IF(OR(O408=TRUE(),O408="TRUE",O408="Yes"),59,100),(I408*Rubric!$C$2+J408*Rubric!$C$3+K408*Rubric!$C$4+L408*Rubric!$C$5+M408*Rubric!$C$6+N408*Rubric!$C$7)/5),1)</f>
        <v>66</v>
      </c>
      <c r="U408" s="8" t="str">
        <f aca="false">LOOKUP(T408,Bands!$A$2:$A$6,Bands!$B$2:$B$6)</f>
        <v>Needs Improvement</v>
      </c>
      <c r="V408" s="8" t="n">
        <f aca="false">IF(Q408="","",ROUND((Q408-B408)*24,1))</f>
        <v>96</v>
      </c>
    </row>
    <row r="409" customFormat="false" ht="15" hidden="false" customHeight="false" outlineLevel="0" collapsed="false">
      <c r="A409" s="3" t="s">
        <v>948</v>
      </c>
      <c r="B409" s="5" t="n">
        <v>46160.5805555556</v>
      </c>
      <c r="C409" s="3" t="s">
        <v>30</v>
      </c>
      <c r="D409" s="3" t="s">
        <v>307</v>
      </c>
      <c r="E409" s="3" t="s">
        <v>308</v>
      </c>
      <c r="F409" s="3" t="s">
        <v>33</v>
      </c>
      <c r="G409" s="3" t="s">
        <v>54</v>
      </c>
      <c r="H409" s="3" t="s">
        <v>949</v>
      </c>
      <c r="I409" s="3" t="n">
        <v>5</v>
      </c>
      <c r="J409" s="3" t="n">
        <v>3</v>
      </c>
      <c r="K409" s="3" t="n">
        <v>5</v>
      </c>
      <c r="L409" s="3" t="n">
        <v>5</v>
      </c>
      <c r="M409" s="3" t="n">
        <v>5</v>
      </c>
      <c r="N409" s="3" t="n">
        <v>4</v>
      </c>
      <c r="O409" s="6" t="b">
        <f aca="false">FALSE()</f>
        <v>0</v>
      </c>
      <c r="P409" s="3"/>
      <c r="Q409" s="5" t="n">
        <v>46166.5805555556</v>
      </c>
      <c r="R409" s="5" t="n">
        <v>46168.0111111111</v>
      </c>
      <c r="S409" s="3" t="s">
        <v>37</v>
      </c>
      <c r="T409" s="7" t="n">
        <f aca="false">ROUND(MIN(IF(OR(O409=TRUE(),O409="TRUE",O409="Yes"),59,100),(I409*Rubric!$C$2+J409*Rubric!$C$3+K409*Rubric!$C$4+L409*Rubric!$C$5+M409*Rubric!$C$6+N409*Rubric!$C$7)/5),1)</f>
        <v>87</v>
      </c>
      <c r="U409" s="8" t="str">
        <f aca="false">LOOKUP(T409,Bands!$A$2:$A$6,Bands!$B$2:$B$6)</f>
        <v>Solid Performance</v>
      </c>
      <c r="V409" s="8" t="n">
        <f aca="false">IF(Q409="","",ROUND((Q409-B409)*24,1))</f>
        <v>144</v>
      </c>
    </row>
    <row r="410" customFormat="false" ht="15" hidden="false" customHeight="false" outlineLevel="0" collapsed="false">
      <c r="A410" s="3" t="s">
        <v>950</v>
      </c>
      <c r="B410" s="5" t="n">
        <v>46161.6291666667</v>
      </c>
      <c r="C410" s="3" t="s">
        <v>30</v>
      </c>
      <c r="D410" s="3" t="s">
        <v>212</v>
      </c>
      <c r="E410" s="3" t="s">
        <v>213</v>
      </c>
      <c r="F410" s="3" t="s">
        <v>33</v>
      </c>
      <c r="G410" s="3" t="s">
        <v>34</v>
      </c>
      <c r="H410" s="3" t="s">
        <v>951</v>
      </c>
      <c r="I410" s="3" t="n">
        <v>3</v>
      </c>
      <c r="J410" s="3" t="n">
        <v>4</v>
      </c>
      <c r="K410" s="3" t="n">
        <v>3</v>
      </c>
      <c r="L410" s="3" t="n">
        <v>3</v>
      </c>
      <c r="M410" s="3" t="n">
        <v>4</v>
      </c>
      <c r="N410" s="3" t="n">
        <v>4</v>
      </c>
      <c r="O410" s="6" t="b">
        <f aca="false">FALSE()</f>
        <v>0</v>
      </c>
      <c r="P410" s="3"/>
      <c r="Q410" s="5" t="n">
        <v>46168.6291666667</v>
      </c>
      <c r="R410" s="5" t="n">
        <v>46168.7909722222</v>
      </c>
      <c r="S410" s="3" t="s">
        <v>37</v>
      </c>
      <c r="T410" s="7" t="n">
        <f aca="false">ROUND(MIN(IF(OR(O410=TRUE(),O410="TRUE",O410="Yes"),59,100),(I410*Rubric!$C$2+J410*Rubric!$C$3+K410*Rubric!$C$4+L410*Rubric!$C$5+M410*Rubric!$C$6+N410*Rubric!$C$7)/5),1)</f>
        <v>70</v>
      </c>
      <c r="U410" s="8" t="str">
        <f aca="false">LOOKUP(T410,Bands!$A$2:$A$6,Bands!$B$2:$B$6)</f>
        <v>Meets Expectations</v>
      </c>
      <c r="V410" s="8" t="n">
        <f aca="false">IF(Q410="","",ROUND((Q410-B410)*24,1))</f>
        <v>168</v>
      </c>
    </row>
    <row r="411" customFormat="false" ht="15" hidden="false" customHeight="false" outlineLevel="0" collapsed="false">
      <c r="A411" s="3" t="s">
        <v>952</v>
      </c>
      <c r="B411" s="5" t="n">
        <v>46161.4215277778</v>
      </c>
      <c r="C411" s="3" t="s">
        <v>30</v>
      </c>
      <c r="D411" s="3" t="s">
        <v>145</v>
      </c>
      <c r="E411" s="3" t="s">
        <v>146</v>
      </c>
      <c r="F411" s="3" t="s">
        <v>33</v>
      </c>
      <c r="G411" s="3" t="s">
        <v>42</v>
      </c>
      <c r="H411" s="3" t="s">
        <v>953</v>
      </c>
      <c r="I411" s="3" t="n">
        <v>4</v>
      </c>
      <c r="J411" s="3" t="n">
        <v>3</v>
      </c>
      <c r="K411" s="3" t="n">
        <v>3</v>
      </c>
      <c r="L411" s="3" t="n">
        <v>4</v>
      </c>
      <c r="M411" s="3" t="n">
        <v>5</v>
      </c>
      <c r="N411" s="3" t="n">
        <v>5</v>
      </c>
      <c r="O411" s="6" t="b">
        <f aca="false">FALSE()</f>
        <v>0</v>
      </c>
      <c r="P411" s="3"/>
      <c r="Q411" s="5" t="n">
        <v>46168.4215277778</v>
      </c>
      <c r="R411" s="5" t="n">
        <v>46169.4541666667</v>
      </c>
      <c r="S411" s="3" t="s">
        <v>37</v>
      </c>
      <c r="T411" s="7" t="n">
        <f aca="false">ROUND(MIN(IF(OR(O411=TRUE(),O411="TRUE",O411="Yes"),59,100),(I411*Rubric!$C$2+J411*Rubric!$C$3+K411*Rubric!$C$4+L411*Rubric!$C$5+M411*Rubric!$C$6+N411*Rubric!$C$7)/5),1)</f>
        <v>76</v>
      </c>
      <c r="U411" s="8" t="str">
        <f aca="false">LOOKUP(T411,Bands!$A$2:$A$6,Bands!$B$2:$B$6)</f>
        <v>Meets Expectations</v>
      </c>
      <c r="V411" s="8" t="n">
        <f aca="false">IF(Q411="","",ROUND((Q411-B411)*24,1))</f>
        <v>168</v>
      </c>
    </row>
    <row r="412" customFormat="false" ht="15" hidden="false" customHeight="false" outlineLevel="0" collapsed="false">
      <c r="A412" s="3" t="s">
        <v>954</v>
      </c>
      <c r="B412" s="5" t="n">
        <v>46161.4715277778</v>
      </c>
      <c r="C412" s="3" t="s">
        <v>68</v>
      </c>
      <c r="D412" s="3" t="s">
        <v>77</v>
      </c>
      <c r="E412" s="3" t="s">
        <v>78</v>
      </c>
      <c r="F412" s="3" t="s">
        <v>33</v>
      </c>
      <c r="G412" s="3" t="s">
        <v>42</v>
      </c>
      <c r="H412" s="3" t="s">
        <v>955</v>
      </c>
      <c r="I412" s="3" t="n">
        <v>5</v>
      </c>
      <c r="J412" s="3" t="n">
        <v>4</v>
      </c>
      <c r="K412" s="3" t="n">
        <v>3</v>
      </c>
      <c r="L412" s="3" t="n">
        <v>5</v>
      </c>
      <c r="M412" s="3" t="n">
        <v>5</v>
      </c>
      <c r="N412" s="3" t="n">
        <v>5</v>
      </c>
      <c r="O412" s="6" t="b">
        <f aca="false">FALSE()</f>
        <v>0</v>
      </c>
      <c r="P412" s="3"/>
      <c r="Q412" s="5" t="n">
        <v>46166.4715277778</v>
      </c>
      <c r="R412" s="5" t="n">
        <v>46168.7527777778</v>
      </c>
      <c r="S412" s="3" t="s">
        <v>37</v>
      </c>
      <c r="T412" s="7" t="n">
        <f aca="false">ROUND(MIN(IF(OR(O412=TRUE(),O412="TRUE",O412="Yes"),59,100),(I412*Rubric!$C$2+J412*Rubric!$C$3+K412*Rubric!$C$4+L412*Rubric!$C$5+M412*Rubric!$C$6+N412*Rubric!$C$7)/5),1)</f>
        <v>87</v>
      </c>
      <c r="U412" s="8" t="str">
        <f aca="false">LOOKUP(T412,Bands!$A$2:$A$6,Bands!$B$2:$B$6)</f>
        <v>Solid Performance</v>
      </c>
      <c r="V412" s="8" t="n">
        <f aca="false">IF(Q412="","",ROUND((Q412-B412)*24,1))</f>
        <v>120</v>
      </c>
    </row>
    <row r="413" customFormat="false" ht="15" hidden="false" customHeight="false" outlineLevel="0" collapsed="false">
      <c r="A413" s="3" t="s">
        <v>956</v>
      </c>
      <c r="B413" s="5" t="n">
        <v>46161.5180555556</v>
      </c>
      <c r="C413" s="3" t="s">
        <v>39</v>
      </c>
      <c r="D413" s="3" t="s">
        <v>125</v>
      </c>
      <c r="E413" s="3" t="s">
        <v>126</v>
      </c>
      <c r="F413" s="3" t="s">
        <v>53</v>
      </c>
      <c r="G413" s="3" t="s">
        <v>42</v>
      </c>
      <c r="H413" s="3" t="s">
        <v>957</v>
      </c>
      <c r="I413" s="3" t="n">
        <v>4</v>
      </c>
      <c r="J413" s="3" t="n">
        <v>3</v>
      </c>
      <c r="K413" s="3" t="n">
        <v>4</v>
      </c>
      <c r="L413" s="3" t="n">
        <v>3</v>
      </c>
      <c r="M413" s="3" t="n">
        <v>4</v>
      </c>
      <c r="N413" s="3" t="n">
        <v>5</v>
      </c>
      <c r="O413" s="6" t="b">
        <f aca="false">FALSE()</f>
        <v>0</v>
      </c>
      <c r="P413" s="3"/>
      <c r="Q413" s="5" t="n">
        <v>46164.5180555556</v>
      </c>
      <c r="R413" s="5" t="n">
        <v>46164.7715277778</v>
      </c>
      <c r="S413" s="3" t="s">
        <v>37</v>
      </c>
      <c r="T413" s="7" t="n">
        <f aca="false">ROUND(MIN(IF(OR(O413=TRUE(),O413="TRUE",O413="Yes"),59,100),(I413*Rubric!$C$2+J413*Rubric!$C$3+K413*Rubric!$C$4+L413*Rubric!$C$5+M413*Rubric!$C$6+N413*Rubric!$C$7)/5),1)</f>
        <v>75</v>
      </c>
      <c r="U413" s="8" t="str">
        <f aca="false">LOOKUP(T413,Bands!$A$2:$A$6,Bands!$B$2:$B$6)</f>
        <v>Meets Expectations</v>
      </c>
      <c r="V413" s="8" t="n">
        <f aca="false">IF(Q413="","",ROUND((Q413-B413)*24,1))</f>
        <v>72</v>
      </c>
    </row>
    <row r="414" customFormat="false" ht="15" hidden="false" customHeight="false" outlineLevel="0" collapsed="false">
      <c r="A414" s="3" t="s">
        <v>958</v>
      </c>
      <c r="B414" s="5" t="n">
        <v>46161.6659722222</v>
      </c>
      <c r="C414" s="3" t="s">
        <v>39</v>
      </c>
      <c r="D414" s="3" t="s">
        <v>293</v>
      </c>
      <c r="E414" s="3" t="s">
        <v>294</v>
      </c>
      <c r="F414" s="3" t="s">
        <v>65</v>
      </c>
      <c r="G414" s="3" t="s">
        <v>54</v>
      </c>
      <c r="H414" s="3" t="s">
        <v>959</v>
      </c>
      <c r="I414" s="3" t="n">
        <v>4</v>
      </c>
      <c r="J414" s="3" t="n">
        <v>5</v>
      </c>
      <c r="K414" s="3" t="n">
        <v>4</v>
      </c>
      <c r="L414" s="3" t="n">
        <v>3</v>
      </c>
      <c r="M414" s="3" t="n">
        <v>5</v>
      </c>
      <c r="N414" s="3" t="n">
        <v>4</v>
      </c>
      <c r="O414" s="6" t="b">
        <f aca="false">FALSE()</f>
        <v>0</v>
      </c>
      <c r="P414" s="3"/>
      <c r="Q414" s="5" t="n">
        <v>46164.6659722222</v>
      </c>
      <c r="R414" s="5" t="n">
        <v>46170.6034722222</v>
      </c>
      <c r="S414" s="3" t="s">
        <v>37</v>
      </c>
      <c r="T414" s="7" t="n">
        <f aca="false">ROUND(MIN(IF(OR(O414=TRUE(),O414="TRUE",O414="Yes"),59,100),(I414*Rubric!$C$2+J414*Rubric!$C$3+K414*Rubric!$C$4+L414*Rubric!$C$5+M414*Rubric!$C$6+N414*Rubric!$C$7)/5),1)</f>
        <v>84</v>
      </c>
      <c r="U414" s="8" t="str">
        <f aca="false">LOOKUP(T414,Bands!$A$2:$A$6,Bands!$B$2:$B$6)</f>
        <v>Solid Performance</v>
      </c>
      <c r="V414" s="8" t="n">
        <f aca="false">IF(Q414="","",ROUND((Q414-B414)*24,1))</f>
        <v>72</v>
      </c>
    </row>
    <row r="415" customFormat="false" ht="15" hidden="false" customHeight="false" outlineLevel="0" collapsed="false">
      <c r="A415" s="3" t="s">
        <v>960</v>
      </c>
      <c r="B415" s="5" t="n">
        <v>46161.56875</v>
      </c>
      <c r="C415" s="3" t="s">
        <v>39</v>
      </c>
      <c r="D415" s="3" t="s">
        <v>202</v>
      </c>
      <c r="E415" s="3" t="s">
        <v>203</v>
      </c>
      <c r="F415" s="3" t="s">
        <v>53</v>
      </c>
      <c r="G415" s="3" t="s">
        <v>42</v>
      </c>
      <c r="H415" s="3" t="s">
        <v>961</v>
      </c>
      <c r="I415" s="3" t="n">
        <v>4</v>
      </c>
      <c r="J415" s="3" t="n">
        <v>4</v>
      </c>
      <c r="K415" s="3" t="n">
        <v>4</v>
      </c>
      <c r="L415" s="3" t="n">
        <v>2</v>
      </c>
      <c r="M415" s="3" t="n">
        <v>3</v>
      </c>
      <c r="N415" s="3" t="n">
        <v>3</v>
      </c>
      <c r="O415" s="6" t="b">
        <f aca="false">FALSE()</f>
        <v>0</v>
      </c>
      <c r="P415" s="3" t="s">
        <v>44</v>
      </c>
      <c r="Q415" s="5" t="n">
        <v>46166.56875</v>
      </c>
      <c r="R415" s="5" t="n">
        <v>46166.8118055556</v>
      </c>
      <c r="S415" s="3" t="s">
        <v>37</v>
      </c>
      <c r="T415" s="7" t="n">
        <f aca="false">ROUND(MIN(IF(OR(O415=TRUE(),O415="TRUE",O415="Yes"),59,100),(I415*Rubric!$C$2+J415*Rubric!$C$3+K415*Rubric!$C$4+L415*Rubric!$C$5+M415*Rubric!$C$6+N415*Rubric!$C$7)/5),1)</f>
        <v>69</v>
      </c>
      <c r="U415" s="8" t="str">
        <f aca="false">LOOKUP(T415,Bands!$A$2:$A$6,Bands!$B$2:$B$6)</f>
        <v>Needs Improvement</v>
      </c>
      <c r="V415" s="8" t="n">
        <f aca="false">IF(Q415="","",ROUND((Q415-B415)*24,1))</f>
        <v>120</v>
      </c>
    </row>
    <row r="416" customFormat="false" ht="15" hidden="false" customHeight="false" outlineLevel="0" collapsed="false">
      <c r="A416" s="3" t="s">
        <v>962</v>
      </c>
      <c r="B416" s="5" t="n">
        <v>46161.4152777778</v>
      </c>
      <c r="C416" s="3" t="s">
        <v>68</v>
      </c>
      <c r="D416" s="3" t="s">
        <v>115</v>
      </c>
      <c r="E416" s="3" t="s">
        <v>116</v>
      </c>
      <c r="F416" s="3" t="s">
        <v>33</v>
      </c>
      <c r="G416" s="3" t="s">
        <v>42</v>
      </c>
      <c r="H416" s="3" t="s">
        <v>963</v>
      </c>
      <c r="I416" s="3" t="n">
        <v>5</v>
      </c>
      <c r="J416" s="3" t="n">
        <v>4</v>
      </c>
      <c r="K416" s="3" t="n">
        <v>4</v>
      </c>
      <c r="L416" s="3" t="n">
        <v>5</v>
      </c>
      <c r="M416" s="3" t="n">
        <v>3</v>
      </c>
      <c r="N416" s="3" t="n">
        <v>5</v>
      </c>
      <c r="O416" s="6" t="b">
        <f aca="false">FALSE()</f>
        <v>0</v>
      </c>
      <c r="P416" s="3"/>
      <c r="Q416" s="5" t="n">
        <v>46170.4152777778</v>
      </c>
      <c r="R416" s="5" t="n">
        <v>46170.5027777778</v>
      </c>
      <c r="S416" s="3" t="s">
        <v>37</v>
      </c>
      <c r="T416" s="7" t="n">
        <f aca="false">ROUND(MIN(IF(OR(O416=TRUE(),O416="TRUE",O416="Yes"),59,100),(I416*Rubric!$C$2+J416*Rubric!$C$3+K416*Rubric!$C$4+L416*Rubric!$C$5+M416*Rubric!$C$6+N416*Rubric!$C$7)/5),1)</f>
        <v>87</v>
      </c>
      <c r="U416" s="8" t="str">
        <f aca="false">LOOKUP(T416,Bands!$A$2:$A$6,Bands!$B$2:$B$6)</f>
        <v>Solid Performance</v>
      </c>
      <c r="V416" s="8" t="n">
        <f aca="false">IF(Q416="","",ROUND((Q416-B416)*24,1))</f>
        <v>216</v>
      </c>
    </row>
    <row r="417" customFormat="false" ht="15" hidden="false" customHeight="false" outlineLevel="0" collapsed="false">
      <c r="A417" s="3" t="s">
        <v>964</v>
      </c>
      <c r="B417" s="5" t="n">
        <v>46161.5611111111</v>
      </c>
      <c r="C417" s="3" t="s">
        <v>30</v>
      </c>
      <c r="D417" s="3" t="s">
        <v>105</v>
      </c>
      <c r="E417" s="3" t="s">
        <v>106</v>
      </c>
      <c r="F417" s="3" t="s">
        <v>65</v>
      </c>
      <c r="G417" s="3" t="s">
        <v>54</v>
      </c>
      <c r="H417" s="3" t="s">
        <v>965</v>
      </c>
      <c r="I417" s="3" t="n">
        <v>4</v>
      </c>
      <c r="J417" s="3" t="n">
        <v>3</v>
      </c>
      <c r="K417" s="3" t="n">
        <v>4</v>
      </c>
      <c r="L417" s="3" t="n">
        <v>4</v>
      </c>
      <c r="M417" s="3" t="n">
        <v>4</v>
      </c>
      <c r="N417" s="3" t="n">
        <v>4</v>
      </c>
      <c r="O417" s="6" t="b">
        <f aca="false">FALSE()</f>
        <v>0</v>
      </c>
      <c r="P417" s="3"/>
      <c r="Q417" s="5" t="n">
        <v>46166.5611111111</v>
      </c>
      <c r="R417" s="5" t="n">
        <v>46167.6013888889</v>
      </c>
      <c r="S417" s="3" t="s">
        <v>37</v>
      </c>
      <c r="T417" s="7" t="n">
        <f aca="false">ROUND(MIN(IF(OR(O417=TRUE(),O417="TRUE",O417="Yes"),59,100),(I417*Rubric!$C$2+J417*Rubric!$C$3+K417*Rubric!$C$4+L417*Rubric!$C$5+M417*Rubric!$C$6+N417*Rubric!$C$7)/5),1)</f>
        <v>75</v>
      </c>
      <c r="U417" s="8" t="str">
        <f aca="false">LOOKUP(T417,Bands!$A$2:$A$6,Bands!$B$2:$B$6)</f>
        <v>Meets Expectations</v>
      </c>
      <c r="V417" s="8" t="n">
        <f aca="false">IF(Q417="","",ROUND((Q417-B417)*24,1))</f>
        <v>120</v>
      </c>
    </row>
    <row r="418" customFormat="false" ht="15" hidden="false" customHeight="false" outlineLevel="0" collapsed="false">
      <c r="A418" s="3" t="s">
        <v>966</v>
      </c>
      <c r="B418" s="5" t="n">
        <v>46161.4465277778</v>
      </c>
      <c r="C418" s="3" t="s">
        <v>68</v>
      </c>
      <c r="D418" s="3" t="s">
        <v>119</v>
      </c>
      <c r="E418" s="3" t="s">
        <v>120</v>
      </c>
      <c r="F418" s="3" t="s">
        <v>33</v>
      </c>
      <c r="G418" s="3" t="s">
        <v>42</v>
      </c>
      <c r="H418" s="3" t="s">
        <v>967</v>
      </c>
      <c r="I418" s="3" t="n">
        <v>3</v>
      </c>
      <c r="J418" s="3" t="n">
        <v>4</v>
      </c>
      <c r="K418" s="3" t="n">
        <v>4</v>
      </c>
      <c r="L418" s="3" t="n">
        <v>4</v>
      </c>
      <c r="M418" s="3" t="n">
        <v>4</v>
      </c>
      <c r="N418" s="3" t="n">
        <v>3</v>
      </c>
      <c r="O418" s="6" t="b">
        <f aca="false">FALSE()</f>
        <v>0</v>
      </c>
      <c r="P418" s="3"/>
      <c r="Q418" s="5" t="n">
        <v>46168.4465277778</v>
      </c>
      <c r="R418" s="5" t="n">
        <v>46169.5270833333</v>
      </c>
      <c r="S418" s="3" t="s">
        <v>37</v>
      </c>
      <c r="T418" s="7" t="n">
        <f aca="false">ROUND(MIN(IF(OR(O418=TRUE(),O418="TRUE",O418="Yes"),59,100),(I418*Rubric!$C$2+J418*Rubric!$C$3+K418*Rubric!$C$4+L418*Rubric!$C$5+M418*Rubric!$C$6+N418*Rubric!$C$7)/5),1)</f>
        <v>74</v>
      </c>
      <c r="U418" s="8" t="str">
        <f aca="false">LOOKUP(T418,Bands!$A$2:$A$6,Bands!$B$2:$B$6)</f>
        <v>Meets Expectations</v>
      </c>
      <c r="V418" s="8" t="n">
        <f aca="false">IF(Q418="","",ROUND((Q418-B418)*24,1))</f>
        <v>168</v>
      </c>
    </row>
    <row r="419" customFormat="false" ht="15" hidden="false" customHeight="false" outlineLevel="0" collapsed="false">
      <c r="A419" s="3" t="s">
        <v>968</v>
      </c>
      <c r="B419" s="5" t="n">
        <v>46161.4083333333</v>
      </c>
      <c r="C419" s="3" t="s">
        <v>39</v>
      </c>
      <c r="D419" s="3" t="s">
        <v>161</v>
      </c>
      <c r="E419" s="3" t="s">
        <v>162</v>
      </c>
      <c r="F419" s="3" t="s">
        <v>33</v>
      </c>
      <c r="G419" s="3" t="s">
        <v>42</v>
      </c>
      <c r="H419" s="3" t="s">
        <v>969</v>
      </c>
      <c r="I419" s="3" t="n">
        <v>3</v>
      </c>
      <c r="J419" s="3" t="n">
        <v>4</v>
      </c>
      <c r="K419" s="3" t="n">
        <v>4</v>
      </c>
      <c r="L419" s="3" t="n">
        <v>5</v>
      </c>
      <c r="M419" s="3" t="n">
        <v>2</v>
      </c>
      <c r="N419" s="3" t="n">
        <v>4</v>
      </c>
      <c r="O419" s="6" t="b">
        <f aca="false">FALSE()</f>
        <v>0</v>
      </c>
      <c r="P419" s="3" t="s">
        <v>103</v>
      </c>
      <c r="Q419" s="5" t="n">
        <v>46164.4083333333</v>
      </c>
      <c r="R419" s="5" t="n">
        <v>46165.0625</v>
      </c>
      <c r="S419" s="3" t="s">
        <v>37</v>
      </c>
      <c r="T419" s="7" t="n">
        <f aca="false">ROUND(MIN(IF(OR(O419=TRUE(),O419="TRUE",O419="Yes"),59,100),(I419*Rubric!$C$2+J419*Rubric!$C$3+K419*Rubric!$C$4+L419*Rubric!$C$5+M419*Rubric!$C$6+N419*Rubric!$C$7)/5),1)</f>
        <v>76</v>
      </c>
      <c r="U419" s="8" t="str">
        <f aca="false">LOOKUP(T419,Bands!$A$2:$A$6,Bands!$B$2:$B$6)</f>
        <v>Meets Expectations</v>
      </c>
      <c r="V419" s="8" t="n">
        <f aca="false">IF(Q419="","",ROUND((Q419-B419)*24,1))</f>
        <v>72</v>
      </c>
    </row>
    <row r="420" customFormat="false" ht="15" hidden="false" customHeight="false" outlineLevel="0" collapsed="false">
      <c r="A420" s="3" t="s">
        <v>970</v>
      </c>
      <c r="B420" s="5" t="n">
        <v>46161.4888888889</v>
      </c>
      <c r="C420" s="3" t="s">
        <v>30</v>
      </c>
      <c r="D420" s="3" t="s">
        <v>73</v>
      </c>
      <c r="E420" s="3" t="s">
        <v>74</v>
      </c>
      <c r="F420" s="3" t="s">
        <v>33</v>
      </c>
      <c r="G420" s="3" t="s">
        <v>42</v>
      </c>
      <c r="H420" s="3" t="s">
        <v>971</v>
      </c>
      <c r="I420" s="3" t="n">
        <v>5</v>
      </c>
      <c r="J420" s="3" t="n">
        <v>4</v>
      </c>
      <c r="K420" s="3" t="n">
        <v>5</v>
      </c>
      <c r="L420" s="3" t="n">
        <v>4</v>
      </c>
      <c r="M420" s="3" t="n">
        <v>5</v>
      </c>
      <c r="N420" s="3" t="n">
        <v>3</v>
      </c>
      <c r="O420" s="6" t="b">
        <f aca="false">FALSE()</f>
        <v>0</v>
      </c>
      <c r="P420" s="3"/>
      <c r="Q420" s="5" t="n">
        <v>46165.4888888889</v>
      </c>
      <c r="R420" s="5" t="n">
        <v>46166.2680555556</v>
      </c>
      <c r="S420" s="3" t="s">
        <v>37</v>
      </c>
      <c r="T420" s="7" t="n">
        <f aca="false">ROUND(MIN(IF(OR(O420=TRUE(),O420="TRUE",O420="Yes"),59,100),(I420*Rubric!$C$2+J420*Rubric!$C$3+K420*Rubric!$C$4+L420*Rubric!$C$5+M420*Rubric!$C$6+N420*Rubric!$C$7)/5),1)</f>
        <v>86</v>
      </c>
      <c r="U420" s="8" t="str">
        <f aca="false">LOOKUP(T420,Bands!$A$2:$A$6,Bands!$B$2:$B$6)</f>
        <v>Solid Performance</v>
      </c>
      <c r="V420" s="8" t="n">
        <f aca="false">IF(Q420="","",ROUND((Q420-B420)*24,1))</f>
        <v>96</v>
      </c>
    </row>
    <row r="421" customFormat="false" ht="15" hidden="false" customHeight="false" outlineLevel="0" collapsed="false">
      <c r="A421" s="3" t="s">
        <v>972</v>
      </c>
      <c r="B421" s="5" t="n">
        <v>46161.6201388889</v>
      </c>
      <c r="C421" s="3" t="s">
        <v>39</v>
      </c>
      <c r="D421" s="3" t="s">
        <v>81</v>
      </c>
      <c r="E421" s="3" t="s">
        <v>82</v>
      </c>
      <c r="F421" s="3" t="s">
        <v>65</v>
      </c>
      <c r="G421" s="3" t="s">
        <v>42</v>
      </c>
      <c r="H421" s="3" t="s">
        <v>973</v>
      </c>
      <c r="I421" s="3" t="n">
        <v>4</v>
      </c>
      <c r="J421" s="3" t="n">
        <v>2</v>
      </c>
      <c r="K421" s="3" t="n">
        <v>4</v>
      </c>
      <c r="L421" s="3" t="n">
        <v>4</v>
      </c>
      <c r="M421" s="3" t="n">
        <v>4</v>
      </c>
      <c r="N421" s="3" t="n">
        <v>4</v>
      </c>
      <c r="O421" s="6" t="b">
        <f aca="false">FALSE()</f>
        <v>0</v>
      </c>
      <c r="P421" s="3" t="s">
        <v>56</v>
      </c>
      <c r="Q421" s="5" t="n">
        <v>46164.6201388889</v>
      </c>
      <c r="R421" s="5" t="n">
        <v>46167.3680555556</v>
      </c>
      <c r="S421" s="3" t="s">
        <v>37</v>
      </c>
      <c r="T421" s="7" t="n">
        <f aca="false">ROUND(MIN(IF(OR(O421=TRUE(),O421="TRUE",O421="Yes"),59,100),(I421*Rubric!$C$2+J421*Rubric!$C$3+K421*Rubric!$C$4+L421*Rubric!$C$5+M421*Rubric!$C$6+N421*Rubric!$C$7)/5),1)</f>
        <v>70</v>
      </c>
      <c r="U421" s="8" t="str">
        <f aca="false">LOOKUP(T421,Bands!$A$2:$A$6,Bands!$B$2:$B$6)</f>
        <v>Meets Expectations</v>
      </c>
      <c r="V421" s="8" t="n">
        <f aca="false">IF(Q421="","",ROUND((Q421-B421)*24,1))</f>
        <v>72</v>
      </c>
    </row>
    <row r="422" customFormat="false" ht="15" hidden="false" customHeight="false" outlineLevel="0" collapsed="false">
      <c r="A422" s="3" t="s">
        <v>974</v>
      </c>
      <c r="B422" s="5" t="n">
        <v>46162.4486111111</v>
      </c>
      <c r="C422" s="3" t="s">
        <v>39</v>
      </c>
      <c r="D422" s="3" t="s">
        <v>366</v>
      </c>
      <c r="E422" s="3" t="s">
        <v>367</v>
      </c>
      <c r="F422" s="3" t="s">
        <v>53</v>
      </c>
      <c r="G422" s="3" t="s">
        <v>54</v>
      </c>
      <c r="H422" s="3" t="s">
        <v>975</v>
      </c>
      <c r="I422" s="3" t="n">
        <v>5</v>
      </c>
      <c r="J422" s="3" t="n">
        <v>4</v>
      </c>
      <c r="K422" s="3" t="n">
        <v>3</v>
      </c>
      <c r="L422" s="3" t="n">
        <v>3</v>
      </c>
      <c r="M422" s="3" t="n">
        <v>5</v>
      </c>
      <c r="N422" s="3" t="n">
        <v>5</v>
      </c>
      <c r="O422" s="6" t="b">
        <f aca="false">FALSE()</f>
        <v>0</v>
      </c>
      <c r="P422" s="3"/>
      <c r="Q422" s="5" t="n">
        <v>46166.4486111111</v>
      </c>
      <c r="R422" s="5" t="n">
        <v>46166.7951388889</v>
      </c>
      <c r="S422" s="3" t="s">
        <v>37</v>
      </c>
      <c r="T422" s="7" t="n">
        <f aca="false">ROUND(MIN(IF(OR(O422=TRUE(),O422="TRUE",O422="Yes"),59,100),(I422*Rubric!$C$2+J422*Rubric!$C$3+K422*Rubric!$C$4+L422*Rubric!$C$5+M422*Rubric!$C$6+N422*Rubric!$C$7)/5),1)</f>
        <v>81</v>
      </c>
      <c r="U422" s="8" t="str">
        <f aca="false">LOOKUP(T422,Bands!$A$2:$A$6,Bands!$B$2:$B$6)</f>
        <v>Solid Performance</v>
      </c>
      <c r="V422" s="8" t="n">
        <f aca="false">IF(Q422="","",ROUND((Q422-B422)*24,1))</f>
        <v>96</v>
      </c>
    </row>
    <row r="423" customFormat="false" ht="15" hidden="false" customHeight="false" outlineLevel="0" collapsed="false">
      <c r="A423" s="3" t="s">
        <v>976</v>
      </c>
      <c r="B423" s="5" t="n">
        <v>46162.5208333333</v>
      </c>
      <c r="C423" s="3" t="s">
        <v>30</v>
      </c>
      <c r="D423" s="3" t="s">
        <v>111</v>
      </c>
      <c r="E423" s="3" t="s">
        <v>112</v>
      </c>
      <c r="F423" s="3" t="s">
        <v>33</v>
      </c>
      <c r="G423" s="3" t="s">
        <v>54</v>
      </c>
      <c r="H423" s="3" t="s">
        <v>977</v>
      </c>
      <c r="I423" s="3" t="n">
        <v>2</v>
      </c>
      <c r="J423" s="3" t="n">
        <v>4</v>
      </c>
      <c r="K423" s="3" t="n">
        <v>4</v>
      </c>
      <c r="L423" s="3" t="n">
        <v>4</v>
      </c>
      <c r="M423" s="3" t="n">
        <v>4</v>
      </c>
      <c r="N423" s="3" t="n">
        <v>4</v>
      </c>
      <c r="O423" s="6" t="b">
        <f aca="false">FALSE()</f>
        <v>0</v>
      </c>
      <c r="P423" s="3" t="s">
        <v>88</v>
      </c>
      <c r="Q423" s="5" t="n">
        <v>46171.5208333333</v>
      </c>
      <c r="R423" s="5" t="n">
        <v>46172.1888888889</v>
      </c>
      <c r="S423" s="3" t="s">
        <v>37</v>
      </c>
      <c r="T423" s="7" t="n">
        <f aca="false">ROUND(MIN(IF(OR(O423=TRUE(),O423="TRUE",O423="Yes"),59,100),(I423*Rubric!$C$2+J423*Rubric!$C$3+K423*Rubric!$C$4+L423*Rubric!$C$5+M423*Rubric!$C$6+N423*Rubric!$C$7)/5),1)</f>
        <v>74</v>
      </c>
      <c r="U423" s="8" t="str">
        <f aca="false">LOOKUP(T423,Bands!$A$2:$A$6,Bands!$B$2:$B$6)</f>
        <v>Meets Expectations</v>
      </c>
      <c r="V423" s="8" t="n">
        <f aca="false">IF(Q423="","",ROUND((Q423-B423)*24,1))</f>
        <v>216</v>
      </c>
    </row>
    <row r="424" customFormat="false" ht="15" hidden="false" customHeight="false" outlineLevel="0" collapsed="false">
      <c r="A424" s="3" t="s">
        <v>978</v>
      </c>
      <c r="B424" s="5" t="n">
        <v>46162.5458333333</v>
      </c>
      <c r="C424" s="3" t="s">
        <v>68</v>
      </c>
      <c r="D424" s="3" t="s">
        <v>100</v>
      </c>
      <c r="E424" s="3" t="s">
        <v>101</v>
      </c>
      <c r="F424" s="3" t="s">
        <v>33</v>
      </c>
      <c r="G424" s="3" t="s">
        <v>54</v>
      </c>
      <c r="H424" s="3" t="s">
        <v>979</v>
      </c>
      <c r="I424" s="3" t="n">
        <v>4</v>
      </c>
      <c r="J424" s="3" t="n">
        <v>4</v>
      </c>
      <c r="K424" s="3" t="n">
        <v>5</v>
      </c>
      <c r="L424" s="3" t="n">
        <v>5</v>
      </c>
      <c r="M424" s="3" t="n">
        <v>1</v>
      </c>
      <c r="N424" s="3" t="n">
        <v>4</v>
      </c>
      <c r="O424" s="6" t="b">
        <f aca="false">FALSE()</f>
        <v>0</v>
      </c>
      <c r="P424" s="3" t="s">
        <v>103</v>
      </c>
      <c r="Q424" s="5" t="n">
        <v>46167.5458333333</v>
      </c>
      <c r="R424" s="5" t="n">
        <v>46171.7263888889</v>
      </c>
      <c r="S424" s="3" t="s">
        <v>37</v>
      </c>
      <c r="T424" s="7" t="n">
        <f aca="false">ROUND(MIN(IF(OR(O424=TRUE(),O424="TRUE",O424="Yes"),59,100),(I424*Rubric!$C$2+J424*Rubric!$C$3+K424*Rubric!$C$4+L424*Rubric!$C$5+M424*Rubric!$C$6+N424*Rubric!$C$7)/5),1)</f>
        <v>81</v>
      </c>
      <c r="U424" s="8" t="str">
        <f aca="false">LOOKUP(T424,Bands!$A$2:$A$6,Bands!$B$2:$B$6)</f>
        <v>Solid Performance</v>
      </c>
      <c r="V424" s="8" t="n">
        <f aca="false">IF(Q424="","",ROUND((Q424-B424)*24,1))</f>
        <v>120</v>
      </c>
    </row>
    <row r="425" customFormat="false" ht="15" hidden="false" customHeight="false" outlineLevel="0" collapsed="false">
      <c r="A425" s="3" t="s">
        <v>980</v>
      </c>
      <c r="B425" s="5" t="n">
        <v>46162.5118055556</v>
      </c>
      <c r="C425" s="3" t="s">
        <v>68</v>
      </c>
      <c r="D425" s="3" t="s">
        <v>40</v>
      </c>
      <c r="E425" s="3" t="s">
        <v>41</v>
      </c>
      <c r="F425" s="3" t="s">
        <v>33</v>
      </c>
      <c r="G425" s="3" t="s">
        <v>42</v>
      </c>
      <c r="H425" s="3" t="s">
        <v>981</v>
      </c>
      <c r="I425" s="3" t="n">
        <v>4</v>
      </c>
      <c r="J425" s="3" t="n">
        <v>4</v>
      </c>
      <c r="K425" s="3" t="n">
        <v>4</v>
      </c>
      <c r="L425" s="3" t="n">
        <v>2</v>
      </c>
      <c r="M425" s="3" t="n">
        <v>5</v>
      </c>
      <c r="N425" s="3" t="n">
        <v>5</v>
      </c>
      <c r="O425" s="6" t="b">
        <f aca="false">FALSE()</f>
        <v>0</v>
      </c>
      <c r="P425" s="3" t="s">
        <v>44</v>
      </c>
      <c r="Q425" s="5" t="n">
        <v>46166.5118055556</v>
      </c>
      <c r="R425" s="5" t="n">
        <v>46167.2152777778</v>
      </c>
      <c r="S425" s="3" t="s">
        <v>37</v>
      </c>
      <c r="T425" s="7" t="n">
        <f aca="false">ROUND(MIN(IF(OR(O425=TRUE(),O425="TRUE",O425="Yes"),59,100),(I425*Rubric!$C$2+J425*Rubric!$C$3+K425*Rubric!$C$4+L425*Rubric!$C$5+M425*Rubric!$C$6+N425*Rubric!$C$7)/5),1)</f>
        <v>79</v>
      </c>
      <c r="U425" s="8" t="str">
        <f aca="false">LOOKUP(T425,Bands!$A$2:$A$6,Bands!$B$2:$B$6)</f>
        <v>Meets Expectations</v>
      </c>
      <c r="V425" s="8" t="n">
        <f aca="false">IF(Q425="","",ROUND((Q425-B425)*24,1))</f>
        <v>96</v>
      </c>
    </row>
    <row r="426" customFormat="false" ht="15" hidden="false" customHeight="false" outlineLevel="0" collapsed="false">
      <c r="A426" s="3" t="s">
        <v>982</v>
      </c>
      <c r="B426" s="5" t="n">
        <v>46162.6229166667</v>
      </c>
      <c r="C426" s="3" t="s">
        <v>39</v>
      </c>
      <c r="D426" s="3" t="s">
        <v>46</v>
      </c>
      <c r="E426" s="3" t="s">
        <v>47</v>
      </c>
      <c r="F426" s="3" t="s">
        <v>33</v>
      </c>
      <c r="G426" s="3" t="s">
        <v>54</v>
      </c>
      <c r="H426" s="3" t="s">
        <v>983</v>
      </c>
      <c r="I426" s="3" t="n">
        <v>4</v>
      </c>
      <c r="J426" s="3" t="n">
        <v>4</v>
      </c>
      <c r="K426" s="3" t="n">
        <v>3</v>
      </c>
      <c r="L426" s="3" t="n">
        <v>5</v>
      </c>
      <c r="M426" s="3" t="n">
        <v>4</v>
      </c>
      <c r="N426" s="3" t="n">
        <v>4</v>
      </c>
      <c r="O426" s="6" t="b">
        <f aca="false">FALSE()</f>
        <v>0</v>
      </c>
      <c r="P426" s="3"/>
      <c r="Q426" s="5" t="n">
        <v>46168.6229166667</v>
      </c>
      <c r="R426" s="5" t="n">
        <v>46169.4159722222</v>
      </c>
      <c r="S426" s="3" t="s">
        <v>37</v>
      </c>
      <c r="T426" s="7" t="n">
        <f aca="false">ROUND(MIN(IF(OR(O426=TRUE(),O426="TRUE",O426="Yes"),59,100),(I426*Rubric!$C$2+J426*Rubric!$C$3+K426*Rubric!$C$4+L426*Rubric!$C$5+M426*Rubric!$C$6+N426*Rubric!$C$7)/5),1)</f>
        <v>79</v>
      </c>
      <c r="U426" s="8" t="str">
        <f aca="false">LOOKUP(T426,Bands!$A$2:$A$6,Bands!$B$2:$B$6)</f>
        <v>Meets Expectations</v>
      </c>
      <c r="V426" s="8" t="n">
        <f aca="false">IF(Q426="","",ROUND((Q426-B426)*24,1))</f>
        <v>144</v>
      </c>
    </row>
    <row r="427" customFormat="false" ht="15" hidden="false" customHeight="false" outlineLevel="0" collapsed="false">
      <c r="A427" s="3" t="s">
        <v>984</v>
      </c>
      <c r="B427" s="5" t="n">
        <v>46162.6166666667</v>
      </c>
      <c r="C427" s="3" t="s">
        <v>68</v>
      </c>
      <c r="D427" s="3" t="s">
        <v>155</v>
      </c>
      <c r="E427" s="3" t="s">
        <v>156</v>
      </c>
      <c r="F427" s="3" t="s">
        <v>65</v>
      </c>
      <c r="G427" s="3" t="s">
        <v>42</v>
      </c>
      <c r="H427" s="3" t="s">
        <v>985</v>
      </c>
      <c r="I427" s="3" t="n">
        <v>1</v>
      </c>
      <c r="J427" s="3" t="n">
        <v>4</v>
      </c>
      <c r="K427" s="3" t="n">
        <v>5</v>
      </c>
      <c r="L427" s="3" t="n">
        <v>4</v>
      </c>
      <c r="M427" s="3" t="n">
        <v>4</v>
      </c>
      <c r="N427" s="3" t="n">
        <v>5</v>
      </c>
      <c r="O427" s="6" t="b">
        <f aca="false">FALSE()</f>
        <v>0</v>
      </c>
      <c r="P427" s="3" t="s">
        <v>88</v>
      </c>
      <c r="Q427" s="5" t="n">
        <v>46166.6166666667</v>
      </c>
      <c r="R427" s="5" t="n">
        <v>46167.06875</v>
      </c>
      <c r="S427" s="3" t="s">
        <v>37</v>
      </c>
      <c r="T427" s="7" t="n">
        <f aca="false">ROUND(MIN(IF(OR(O427=TRUE(),O427="TRUE",O427="Yes"),59,100),(I427*Rubric!$C$2+J427*Rubric!$C$3+K427*Rubric!$C$4+L427*Rubric!$C$5+M427*Rubric!$C$6+N427*Rubric!$C$7)/5),1)</f>
        <v>78</v>
      </c>
      <c r="U427" s="8" t="str">
        <f aca="false">LOOKUP(T427,Bands!$A$2:$A$6,Bands!$B$2:$B$6)</f>
        <v>Meets Expectations</v>
      </c>
      <c r="V427" s="8" t="n">
        <f aca="false">IF(Q427="","",ROUND((Q427-B427)*24,1))</f>
        <v>96</v>
      </c>
    </row>
    <row r="428" customFormat="false" ht="15" hidden="false" customHeight="false" outlineLevel="0" collapsed="false">
      <c r="A428" s="3" t="s">
        <v>986</v>
      </c>
      <c r="B428" s="5" t="n">
        <v>46162.69375</v>
      </c>
      <c r="C428" s="3" t="s">
        <v>39</v>
      </c>
      <c r="D428" s="3" t="s">
        <v>133</v>
      </c>
      <c r="E428" s="3" t="s">
        <v>134</v>
      </c>
      <c r="F428" s="3" t="s">
        <v>33</v>
      </c>
      <c r="G428" s="3" t="s">
        <v>42</v>
      </c>
      <c r="H428" s="3" t="s">
        <v>987</v>
      </c>
      <c r="I428" s="3" t="n">
        <v>5</v>
      </c>
      <c r="J428" s="3" t="n">
        <v>2</v>
      </c>
      <c r="K428" s="3" t="n">
        <v>4</v>
      </c>
      <c r="L428" s="3" t="n">
        <v>5</v>
      </c>
      <c r="M428" s="3" t="n">
        <v>5</v>
      </c>
      <c r="N428" s="3" t="n">
        <v>4</v>
      </c>
      <c r="O428" s="6" t="b">
        <f aca="false">FALSE()</f>
        <v>0</v>
      </c>
      <c r="P428" s="3" t="s">
        <v>56</v>
      </c>
      <c r="Q428" s="5" t="n">
        <v>46171.69375</v>
      </c>
      <c r="R428" s="5" t="n">
        <v>46174.4819444444</v>
      </c>
      <c r="S428" s="3" t="s">
        <v>37</v>
      </c>
      <c r="T428" s="7" t="n">
        <f aca="false">ROUND(MIN(IF(OR(O428=TRUE(),O428="TRUE",O428="Yes"),59,100),(I428*Rubric!$C$2+J428*Rubric!$C$3+K428*Rubric!$C$4+L428*Rubric!$C$5+M428*Rubric!$C$6+N428*Rubric!$C$7)/5),1)</f>
        <v>78</v>
      </c>
      <c r="U428" s="8" t="str">
        <f aca="false">LOOKUP(T428,Bands!$A$2:$A$6,Bands!$B$2:$B$6)</f>
        <v>Meets Expectations</v>
      </c>
      <c r="V428" s="8" t="n">
        <f aca="false">IF(Q428="","",ROUND((Q428-B428)*24,1))</f>
        <v>216</v>
      </c>
    </row>
    <row r="429" customFormat="false" ht="15" hidden="false" customHeight="false" outlineLevel="0" collapsed="false">
      <c r="A429" s="3" t="s">
        <v>988</v>
      </c>
      <c r="B429" s="5" t="n">
        <v>46162.5861111111</v>
      </c>
      <c r="C429" s="3" t="s">
        <v>30</v>
      </c>
      <c r="D429" s="3" t="s">
        <v>307</v>
      </c>
      <c r="E429" s="3" t="s">
        <v>308</v>
      </c>
      <c r="F429" s="3" t="s">
        <v>33</v>
      </c>
      <c r="G429" s="3" t="s">
        <v>54</v>
      </c>
      <c r="H429" s="3" t="s">
        <v>989</v>
      </c>
      <c r="I429" s="3" t="n">
        <v>5</v>
      </c>
      <c r="J429" s="3" t="n">
        <v>3</v>
      </c>
      <c r="K429" s="3" t="n">
        <v>5</v>
      </c>
      <c r="L429" s="3" t="n">
        <v>5</v>
      </c>
      <c r="M429" s="3" t="n">
        <v>5</v>
      </c>
      <c r="N429" s="3" t="n">
        <v>5</v>
      </c>
      <c r="O429" s="6" t="b">
        <f aca="false">FALSE()</f>
        <v>0</v>
      </c>
      <c r="P429" s="3"/>
      <c r="Q429" s="5" t="n">
        <v>46167.5861111111</v>
      </c>
      <c r="R429" s="5" t="n">
        <v>46168.1138888889</v>
      </c>
      <c r="S429" s="3" t="s">
        <v>37</v>
      </c>
      <c r="T429" s="7" t="n">
        <f aca="false">ROUND(MIN(IF(OR(O429=TRUE(),O429="TRUE",O429="Yes"),59,100),(I429*Rubric!$C$2+J429*Rubric!$C$3+K429*Rubric!$C$4+L429*Rubric!$C$5+M429*Rubric!$C$6+N429*Rubric!$C$7)/5),1)</f>
        <v>90</v>
      </c>
      <c r="U429" s="8" t="str">
        <f aca="false">LOOKUP(T429,Bands!$A$2:$A$6,Bands!$B$2:$B$6)</f>
        <v>Outstanding</v>
      </c>
      <c r="V429" s="8" t="n">
        <f aca="false">IF(Q429="","",ROUND((Q429-B429)*24,1))</f>
        <v>120</v>
      </c>
    </row>
    <row r="430" customFormat="false" ht="15" hidden="false" customHeight="false" outlineLevel="0" collapsed="false">
      <c r="A430" s="3" t="s">
        <v>990</v>
      </c>
      <c r="B430" s="5" t="n">
        <v>46162.6020833333</v>
      </c>
      <c r="C430" s="3" t="s">
        <v>30</v>
      </c>
      <c r="D430" s="3" t="s">
        <v>125</v>
      </c>
      <c r="E430" s="3" t="s">
        <v>126</v>
      </c>
      <c r="F430" s="3" t="s">
        <v>53</v>
      </c>
      <c r="G430" s="3" t="s">
        <v>54</v>
      </c>
      <c r="H430" s="3" t="s">
        <v>991</v>
      </c>
      <c r="I430" s="3" t="n">
        <v>4</v>
      </c>
      <c r="J430" s="3" t="n">
        <v>4</v>
      </c>
      <c r="K430" s="3" t="n">
        <v>4</v>
      </c>
      <c r="L430" s="3" t="n">
        <v>2</v>
      </c>
      <c r="M430" s="3" t="n">
        <v>4</v>
      </c>
      <c r="N430" s="3" t="n">
        <v>5</v>
      </c>
      <c r="O430" s="6" t="b">
        <f aca="false">FALSE()</f>
        <v>0</v>
      </c>
      <c r="P430" s="3" t="s">
        <v>44</v>
      </c>
      <c r="Q430" s="5" t="n">
        <v>46166.6020833333</v>
      </c>
      <c r="R430" s="5" t="n">
        <v>46167.4479166667</v>
      </c>
      <c r="S430" s="3" t="s">
        <v>37</v>
      </c>
      <c r="T430" s="7" t="n">
        <f aca="false">ROUND(MIN(IF(OR(O430=TRUE(),O430="TRUE",O430="Yes"),59,100),(I430*Rubric!$C$2+J430*Rubric!$C$3+K430*Rubric!$C$4+L430*Rubric!$C$5+M430*Rubric!$C$6+N430*Rubric!$C$7)/5),1)</f>
        <v>77</v>
      </c>
      <c r="U430" s="8" t="str">
        <f aca="false">LOOKUP(T430,Bands!$A$2:$A$6,Bands!$B$2:$B$6)</f>
        <v>Meets Expectations</v>
      </c>
      <c r="V430" s="8" t="n">
        <f aca="false">IF(Q430="","",ROUND((Q430-B430)*24,1))</f>
        <v>96</v>
      </c>
    </row>
    <row r="431" customFormat="false" ht="15" hidden="false" customHeight="false" outlineLevel="0" collapsed="false">
      <c r="A431" s="3" t="s">
        <v>992</v>
      </c>
      <c r="B431" s="5" t="n">
        <v>46162.3944444444</v>
      </c>
      <c r="C431" s="3" t="s">
        <v>30</v>
      </c>
      <c r="D431" s="3" t="s">
        <v>228</v>
      </c>
      <c r="E431" s="3" t="s">
        <v>229</v>
      </c>
      <c r="F431" s="3" t="s">
        <v>65</v>
      </c>
      <c r="G431" s="3" t="s">
        <v>42</v>
      </c>
      <c r="H431" s="3" t="s">
        <v>993</v>
      </c>
      <c r="I431" s="3" t="n">
        <v>3</v>
      </c>
      <c r="J431" s="3" t="n">
        <v>3</v>
      </c>
      <c r="K431" s="3" t="n">
        <v>2</v>
      </c>
      <c r="L431" s="3" t="n">
        <v>3</v>
      </c>
      <c r="M431" s="3" t="n">
        <v>3</v>
      </c>
      <c r="N431" s="3" t="n">
        <v>2</v>
      </c>
      <c r="O431" s="6" t="b">
        <f aca="false">FALSE()</f>
        <v>0</v>
      </c>
      <c r="P431" s="3" t="s">
        <v>61</v>
      </c>
      <c r="Q431" s="5" t="n">
        <v>46167.3944444444</v>
      </c>
      <c r="R431" s="5" t="n">
        <v>46167.4583333333</v>
      </c>
      <c r="S431" s="3" t="s">
        <v>37</v>
      </c>
      <c r="T431" s="7" t="n">
        <f aca="false">ROUND(MIN(IF(OR(O431=TRUE(),O431="TRUE",O431="Yes"),59,100),(I431*Rubric!$C$2+J431*Rubric!$C$3+K431*Rubric!$C$4+L431*Rubric!$C$5+M431*Rubric!$C$6+N431*Rubric!$C$7)/5),1)</f>
        <v>53</v>
      </c>
      <c r="U431" s="8" t="str">
        <f aca="false">LOOKUP(T431,Bands!$A$2:$A$6,Bands!$B$2:$B$6)</f>
        <v>Critical</v>
      </c>
      <c r="V431" s="8" t="n">
        <f aca="false">IF(Q431="","",ROUND((Q431-B431)*24,1))</f>
        <v>120</v>
      </c>
    </row>
    <row r="432" customFormat="false" ht="15" hidden="false" customHeight="false" outlineLevel="0" collapsed="false">
      <c r="A432" s="3" t="s">
        <v>994</v>
      </c>
      <c r="B432" s="5" t="n">
        <v>46162.5909722222</v>
      </c>
      <c r="C432" s="3" t="s">
        <v>68</v>
      </c>
      <c r="D432" s="3" t="s">
        <v>63</v>
      </c>
      <c r="E432" s="3" t="s">
        <v>64</v>
      </c>
      <c r="F432" s="3" t="s">
        <v>65</v>
      </c>
      <c r="G432" s="3" t="s">
        <v>54</v>
      </c>
      <c r="H432" s="3" t="s">
        <v>995</v>
      </c>
      <c r="I432" s="3" t="n">
        <v>3</v>
      </c>
      <c r="J432" s="3" t="n">
        <v>3</v>
      </c>
      <c r="K432" s="3" t="n">
        <v>3</v>
      </c>
      <c r="L432" s="3" t="n">
        <v>5</v>
      </c>
      <c r="M432" s="3" t="n">
        <v>4</v>
      </c>
      <c r="N432" s="3" t="n">
        <v>4</v>
      </c>
      <c r="O432" s="6" t="b">
        <f aca="false">FALSE()</f>
        <v>0</v>
      </c>
      <c r="P432" s="3"/>
      <c r="Q432" s="5" t="n">
        <v>46169.5909722222</v>
      </c>
      <c r="R432" s="5" t="n">
        <v>46169.8416666667</v>
      </c>
      <c r="S432" s="3" t="s">
        <v>37</v>
      </c>
      <c r="T432" s="7" t="n">
        <f aca="false">ROUND(MIN(IF(OR(O432=TRUE(),O432="TRUE",O432="Yes"),59,100),(I432*Rubric!$C$2+J432*Rubric!$C$3+K432*Rubric!$C$4+L432*Rubric!$C$5+M432*Rubric!$C$6+N432*Rubric!$C$7)/5),1)</f>
        <v>71</v>
      </c>
      <c r="U432" s="8" t="str">
        <f aca="false">LOOKUP(T432,Bands!$A$2:$A$6,Bands!$B$2:$B$6)</f>
        <v>Meets Expectations</v>
      </c>
      <c r="V432" s="8" t="n">
        <f aca="false">IF(Q432="","",ROUND((Q432-B432)*24,1))</f>
        <v>168</v>
      </c>
    </row>
    <row r="433" customFormat="false" ht="15" hidden="false" customHeight="false" outlineLevel="0" collapsed="false">
      <c r="A433" s="3" t="s">
        <v>996</v>
      </c>
      <c r="B433" s="5" t="n">
        <v>46162.6798611111</v>
      </c>
      <c r="C433" s="3" t="s">
        <v>39</v>
      </c>
      <c r="D433" s="3" t="s">
        <v>90</v>
      </c>
      <c r="E433" s="3" t="s">
        <v>91</v>
      </c>
      <c r="F433" s="3" t="s">
        <v>65</v>
      </c>
      <c r="G433" s="3" t="s">
        <v>34</v>
      </c>
      <c r="H433" s="3" t="s">
        <v>997</v>
      </c>
      <c r="I433" s="3" t="n">
        <v>4</v>
      </c>
      <c r="J433" s="3" t="n">
        <v>4</v>
      </c>
      <c r="K433" s="3" t="n">
        <v>4</v>
      </c>
      <c r="L433" s="3" t="n">
        <v>3</v>
      </c>
      <c r="M433" s="3" t="n">
        <v>4</v>
      </c>
      <c r="N433" s="3" t="n">
        <v>4</v>
      </c>
      <c r="O433" s="6" t="b">
        <f aca="false">FALSE()</f>
        <v>0</v>
      </c>
      <c r="P433" s="3"/>
      <c r="Q433" s="5" t="n">
        <v>46166.6798611111</v>
      </c>
      <c r="R433" s="5" t="n">
        <v>46167.375</v>
      </c>
      <c r="S433" s="3" t="s">
        <v>37</v>
      </c>
      <c r="T433" s="7" t="n">
        <f aca="false">ROUND(MIN(IF(OR(O433=TRUE(),O433="TRUE",O433="Yes"),59,100),(I433*Rubric!$C$2+J433*Rubric!$C$3+K433*Rubric!$C$4+L433*Rubric!$C$5+M433*Rubric!$C$6+N433*Rubric!$C$7)/5),1)</f>
        <v>77</v>
      </c>
      <c r="U433" s="8" t="str">
        <f aca="false">LOOKUP(T433,Bands!$A$2:$A$6,Bands!$B$2:$B$6)</f>
        <v>Meets Expectations</v>
      </c>
      <c r="V433" s="8" t="n">
        <f aca="false">IF(Q433="","",ROUND((Q433-B433)*24,1))</f>
        <v>96</v>
      </c>
    </row>
    <row r="434" customFormat="false" ht="15" hidden="false" customHeight="false" outlineLevel="0" collapsed="false">
      <c r="A434" s="3" t="s">
        <v>998</v>
      </c>
      <c r="B434" s="5" t="n">
        <v>46163.51875</v>
      </c>
      <c r="C434" s="3" t="s">
        <v>39</v>
      </c>
      <c r="D434" s="3" t="s">
        <v>212</v>
      </c>
      <c r="E434" s="3" t="s">
        <v>213</v>
      </c>
      <c r="F434" s="3" t="s">
        <v>33</v>
      </c>
      <c r="G434" s="3" t="s">
        <v>54</v>
      </c>
      <c r="H434" s="3" t="s">
        <v>999</v>
      </c>
      <c r="I434" s="3" t="n">
        <v>3</v>
      </c>
      <c r="J434" s="3" t="n">
        <v>3</v>
      </c>
      <c r="K434" s="3" t="n">
        <v>2</v>
      </c>
      <c r="L434" s="3" t="n">
        <v>3</v>
      </c>
      <c r="M434" s="3" t="n">
        <v>3</v>
      </c>
      <c r="N434" s="3" t="n">
        <v>3</v>
      </c>
      <c r="O434" s="6" t="b">
        <f aca="false">FALSE()</f>
        <v>0</v>
      </c>
      <c r="P434" s="3" t="s">
        <v>49</v>
      </c>
      <c r="Q434" s="5" t="n">
        <v>46172.51875</v>
      </c>
      <c r="R434" s="5" t="n">
        <v>46173.0979166667</v>
      </c>
      <c r="S434" s="3" t="s">
        <v>37</v>
      </c>
      <c r="T434" s="7" t="n">
        <f aca="false">ROUND(MIN(IF(OR(O434=TRUE(),O434="TRUE",O434="Yes"),59,100),(I434*Rubric!$C$2+J434*Rubric!$C$3+K434*Rubric!$C$4+L434*Rubric!$C$5+M434*Rubric!$C$6+N434*Rubric!$C$7)/5),1)</f>
        <v>56</v>
      </c>
      <c r="U434" s="8" t="str">
        <f aca="false">LOOKUP(T434,Bands!$A$2:$A$6,Bands!$B$2:$B$6)</f>
        <v>Critical</v>
      </c>
      <c r="V434" s="8" t="n">
        <f aca="false">IF(Q434="","",ROUND((Q434-B434)*24,1))</f>
        <v>216</v>
      </c>
    </row>
    <row r="435" customFormat="false" ht="15" hidden="false" customHeight="false" outlineLevel="0" collapsed="false">
      <c r="A435" s="3" t="s">
        <v>1000</v>
      </c>
      <c r="B435" s="5" t="n">
        <v>46163.5847222222</v>
      </c>
      <c r="C435" s="3" t="s">
        <v>39</v>
      </c>
      <c r="D435" s="3" t="s">
        <v>63</v>
      </c>
      <c r="E435" s="3" t="s">
        <v>64</v>
      </c>
      <c r="F435" s="3" t="s">
        <v>65</v>
      </c>
      <c r="G435" s="3" t="s">
        <v>42</v>
      </c>
      <c r="H435" s="3" t="s">
        <v>1001</v>
      </c>
      <c r="I435" s="3" t="n">
        <v>4</v>
      </c>
      <c r="J435" s="3" t="n">
        <v>4</v>
      </c>
      <c r="K435" s="3" t="n">
        <v>2</v>
      </c>
      <c r="L435" s="3" t="n">
        <v>3</v>
      </c>
      <c r="M435" s="3" t="n">
        <v>4</v>
      </c>
      <c r="N435" s="3" t="n">
        <v>4</v>
      </c>
      <c r="O435" s="6" t="b">
        <f aca="false">FALSE()</f>
        <v>0</v>
      </c>
      <c r="P435" s="3" t="s">
        <v>49</v>
      </c>
      <c r="Q435" s="5" t="n">
        <v>46170.5847222222</v>
      </c>
      <c r="R435" s="5" t="n">
        <v>46171.2604166667</v>
      </c>
      <c r="S435" s="3" t="s">
        <v>37</v>
      </c>
      <c r="T435" s="7" t="n">
        <f aca="false">ROUND(MIN(IF(OR(O435=TRUE(),O435="TRUE",O435="Yes"),59,100),(I435*Rubric!$C$2+J435*Rubric!$C$3+K435*Rubric!$C$4+L435*Rubric!$C$5+M435*Rubric!$C$6+N435*Rubric!$C$7)/5),1)</f>
        <v>69</v>
      </c>
      <c r="U435" s="8" t="str">
        <f aca="false">LOOKUP(T435,Bands!$A$2:$A$6,Bands!$B$2:$B$6)</f>
        <v>Needs Improvement</v>
      </c>
      <c r="V435" s="8" t="n">
        <f aca="false">IF(Q435="","",ROUND((Q435-B435)*24,1))</f>
        <v>168</v>
      </c>
    </row>
    <row r="436" customFormat="false" ht="15" hidden="false" customHeight="false" outlineLevel="0" collapsed="false">
      <c r="A436" s="3" t="s">
        <v>1002</v>
      </c>
      <c r="B436" s="5" t="n">
        <v>46163.4604166667</v>
      </c>
      <c r="C436" s="3" t="s">
        <v>39</v>
      </c>
      <c r="D436" s="3" t="s">
        <v>161</v>
      </c>
      <c r="E436" s="3" t="s">
        <v>162</v>
      </c>
      <c r="F436" s="3" t="s">
        <v>33</v>
      </c>
      <c r="G436" s="3" t="s">
        <v>54</v>
      </c>
      <c r="H436" s="3" t="s">
        <v>1003</v>
      </c>
      <c r="I436" s="3" t="n">
        <v>5</v>
      </c>
      <c r="J436" s="3" t="n">
        <v>4</v>
      </c>
      <c r="K436" s="3" t="n">
        <v>4</v>
      </c>
      <c r="L436" s="3" t="n">
        <v>3</v>
      </c>
      <c r="M436" s="3" t="n">
        <v>2</v>
      </c>
      <c r="N436" s="3" t="n">
        <v>4</v>
      </c>
      <c r="O436" s="6" t="b">
        <f aca="false">FALSE()</f>
        <v>0</v>
      </c>
      <c r="P436" s="3" t="s">
        <v>103</v>
      </c>
      <c r="Q436" s="5" t="n">
        <v>46169.4604166667</v>
      </c>
      <c r="R436" s="5" t="n">
        <v>46171.7722222222</v>
      </c>
      <c r="S436" s="3" t="s">
        <v>37</v>
      </c>
      <c r="T436" s="7" t="n">
        <f aca="false">ROUND(MIN(IF(OR(O436=TRUE(),O436="TRUE",O436="Yes"),59,100),(I436*Rubric!$C$2+J436*Rubric!$C$3+K436*Rubric!$C$4+L436*Rubric!$C$5+M436*Rubric!$C$6+N436*Rubric!$C$7)/5),1)</f>
        <v>76</v>
      </c>
      <c r="U436" s="8" t="str">
        <f aca="false">LOOKUP(T436,Bands!$A$2:$A$6,Bands!$B$2:$B$6)</f>
        <v>Meets Expectations</v>
      </c>
      <c r="V436" s="8" t="n">
        <f aca="false">IF(Q436="","",ROUND((Q436-B436)*24,1))</f>
        <v>144</v>
      </c>
    </row>
    <row r="437" customFormat="false" ht="15" hidden="false" customHeight="false" outlineLevel="0" collapsed="false">
      <c r="A437" s="3" t="s">
        <v>1004</v>
      </c>
      <c r="B437" s="5" t="n">
        <v>46163.6236111111</v>
      </c>
      <c r="C437" s="3" t="s">
        <v>30</v>
      </c>
      <c r="D437" s="3" t="s">
        <v>198</v>
      </c>
      <c r="E437" s="3" t="s">
        <v>199</v>
      </c>
      <c r="F437" s="3" t="s">
        <v>33</v>
      </c>
      <c r="G437" s="3" t="s">
        <v>54</v>
      </c>
      <c r="H437" s="3" t="s">
        <v>1005</v>
      </c>
      <c r="I437" s="3" t="n">
        <v>4</v>
      </c>
      <c r="J437" s="3" t="n">
        <v>3</v>
      </c>
      <c r="K437" s="3" t="n">
        <v>5</v>
      </c>
      <c r="L437" s="3" t="n">
        <v>3</v>
      </c>
      <c r="M437" s="3" t="n">
        <v>5</v>
      </c>
      <c r="N437" s="3" t="n">
        <v>4</v>
      </c>
      <c r="O437" s="6" t="b">
        <f aca="false">FALSE()</f>
        <v>0</v>
      </c>
      <c r="P437" s="3"/>
      <c r="Q437" s="5" t="n">
        <v>46172.6236111111</v>
      </c>
      <c r="R437" s="5" t="n">
        <v>46174.0763888889</v>
      </c>
      <c r="S437" s="3" t="s">
        <v>37</v>
      </c>
      <c r="T437" s="7" t="n">
        <f aca="false">ROUND(MIN(IF(OR(O437=TRUE(),O437="TRUE",O437="Yes"),59,100),(I437*Rubric!$C$2+J437*Rubric!$C$3+K437*Rubric!$C$4+L437*Rubric!$C$5+M437*Rubric!$C$6+N437*Rubric!$C$7)/5),1)</f>
        <v>78</v>
      </c>
      <c r="U437" s="8" t="str">
        <f aca="false">LOOKUP(T437,Bands!$A$2:$A$6,Bands!$B$2:$B$6)</f>
        <v>Meets Expectations</v>
      </c>
      <c r="V437" s="8" t="n">
        <f aca="false">IF(Q437="","",ROUND((Q437-B437)*24,1))</f>
        <v>216</v>
      </c>
    </row>
    <row r="438" customFormat="false" ht="15" hidden="false" customHeight="false" outlineLevel="0" collapsed="false">
      <c r="A438" s="3" t="s">
        <v>1006</v>
      </c>
      <c r="B438" s="5" t="n">
        <v>46163.6861111111</v>
      </c>
      <c r="C438" s="3" t="s">
        <v>30</v>
      </c>
      <c r="D438" s="3" t="s">
        <v>51</v>
      </c>
      <c r="E438" s="3" t="s">
        <v>52</v>
      </c>
      <c r="F438" s="3" t="s">
        <v>53</v>
      </c>
      <c r="G438" s="3" t="s">
        <v>54</v>
      </c>
      <c r="H438" s="3" t="s">
        <v>1007</v>
      </c>
      <c r="I438" s="3" t="n">
        <v>4</v>
      </c>
      <c r="J438" s="3" t="n">
        <v>1</v>
      </c>
      <c r="K438" s="3" t="n">
        <v>5</v>
      </c>
      <c r="L438" s="3" t="n">
        <v>4</v>
      </c>
      <c r="M438" s="3" t="n">
        <v>5</v>
      </c>
      <c r="N438" s="3" t="n">
        <v>4</v>
      </c>
      <c r="O438" s="6" t="b">
        <f aca="false">FALSE()</f>
        <v>0</v>
      </c>
      <c r="P438" s="3" t="s">
        <v>56</v>
      </c>
      <c r="Q438" s="5" t="n">
        <v>46170.6861111111</v>
      </c>
      <c r="R438" s="5" t="n">
        <v>46173.6263888889</v>
      </c>
      <c r="S438" s="3" t="s">
        <v>37</v>
      </c>
      <c r="T438" s="7" t="n">
        <f aca="false">ROUND(MIN(IF(OR(O438=TRUE(),O438="TRUE",O438="Yes"),59,100),(I438*Rubric!$C$2+J438*Rubric!$C$3+K438*Rubric!$C$4+L438*Rubric!$C$5+M438*Rubric!$C$6+N438*Rubric!$C$7)/5),1)</f>
        <v>71</v>
      </c>
      <c r="U438" s="8" t="str">
        <f aca="false">LOOKUP(T438,Bands!$A$2:$A$6,Bands!$B$2:$B$6)</f>
        <v>Meets Expectations</v>
      </c>
      <c r="V438" s="8" t="n">
        <f aca="false">IF(Q438="","",ROUND((Q438-B438)*24,1))</f>
        <v>168</v>
      </c>
    </row>
    <row r="439" customFormat="false" ht="15" hidden="false" customHeight="false" outlineLevel="0" collapsed="false">
      <c r="A439" s="3" t="s">
        <v>1008</v>
      </c>
      <c r="B439" s="5" t="n">
        <v>46163.5875</v>
      </c>
      <c r="C439" s="3" t="s">
        <v>68</v>
      </c>
      <c r="D439" s="3" t="s">
        <v>151</v>
      </c>
      <c r="E439" s="3" t="s">
        <v>152</v>
      </c>
      <c r="F439" s="3" t="s">
        <v>33</v>
      </c>
      <c r="G439" s="3" t="s">
        <v>54</v>
      </c>
      <c r="H439" s="3" t="s">
        <v>1009</v>
      </c>
      <c r="I439" s="3" t="n">
        <v>5</v>
      </c>
      <c r="J439" s="3" t="n">
        <v>2</v>
      </c>
      <c r="K439" s="3" t="n">
        <v>4</v>
      </c>
      <c r="L439" s="3" t="n">
        <v>4</v>
      </c>
      <c r="M439" s="3" t="n">
        <v>5</v>
      </c>
      <c r="N439" s="3" t="n">
        <v>3</v>
      </c>
      <c r="O439" s="6" t="b">
        <f aca="false">FALSE()</f>
        <v>0</v>
      </c>
      <c r="P439" s="3" t="s">
        <v>56</v>
      </c>
      <c r="Q439" s="5" t="n">
        <v>46169.5875</v>
      </c>
      <c r="R439" s="5" t="n">
        <v>46170.7097222222</v>
      </c>
      <c r="S439" s="3" t="s">
        <v>37</v>
      </c>
      <c r="T439" s="7" t="n">
        <f aca="false">ROUND(MIN(IF(OR(O439=TRUE(),O439="TRUE",O439="Yes"),59,100),(I439*Rubric!$C$2+J439*Rubric!$C$3+K439*Rubric!$C$4+L439*Rubric!$C$5+M439*Rubric!$C$6+N439*Rubric!$C$7)/5),1)</f>
        <v>72</v>
      </c>
      <c r="U439" s="8" t="str">
        <f aca="false">LOOKUP(T439,Bands!$A$2:$A$6,Bands!$B$2:$B$6)</f>
        <v>Meets Expectations</v>
      </c>
      <c r="V439" s="8" t="n">
        <f aca="false">IF(Q439="","",ROUND((Q439-B439)*24,1))</f>
        <v>144</v>
      </c>
    </row>
    <row r="440" customFormat="false" ht="15" hidden="false" customHeight="false" outlineLevel="0" collapsed="false">
      <c r="A440" s="3" t="s">
        <v>1010</v>
      </c>
      <c r="B440" s="5" t="n">
        <v>46163.48125</v>
      </c>
      <c r="C440" s="3" t="s">
        <v>30</v>
      </c>
      <c r="D440" s="3" t="s">
        <v>194</v>
      </c>
      <c r="E440" s="3" t="s">
        <v>195</v>
      </c>
      <c r="F440" s="3" t="s">
        <v>53</v>
      </c>
      <c r="G440" s="3" t="s">
        <v>54</v>
      </c>
      <c r="H440" s="3" t="s">
        <v>1011</v>
      </c>
      <c r="I440" s="3" t="n">
        <v>5</v>
      </c>
      <c r="J440" s="3" t="n">
        <v>4</v>
      </c>
      <c r="K440" s="3" t="n">
        <v>4</v>
      </c>
      <c r="L440" s="3" t="n">
        <v>2</v>
      </c>
      <c r="M440" s="3" t="n">
        <v>5</v>
      </c>
      <c r="N440" s="3" t="n">
        <v>4</v>
      </c>
      <c r="O440" s="6" t="b">
        <f aca="false">FALSE()</f>
        <v>0</v>
      </c>
      <c r="P440" s="3" t="s">
        <v>44</v>
      </c>
      <c r="Q440" s="5" t="n">
        <v>46168.48125</v>
      </c>
      <c r="R440" s="5" t="n">
        <v>46171.3402777778</v>
      </c>
      <c r="S440" s="3" t="s">
        <v>37</v>
      </c>
      <c r="T440" s="7" t="n">
        <f aca="false">ROUND(MIN(IF(OR(O440=TRUE(),O440="TRUE",O440="Yes"),59,100),(I440*Rubric!$C$2+J440*Rubric!$C$3+K440*Rubric!$C$4+L440*Rubric!$C$5+M440*Rubric!$C$6+N440*Rubric!$C$7)/5),1)</f>
        <v>79</v>
      </c>
      <c r="U440" s="8" t="str">
        <f aca="false">LOOKUP(T440,Bands!$A$2:$A$6,Bands!$B$2:$B$6)</f>
        <v>Meets Expectations</v>
      </c>
      <c r="V440" s="8" t="n">
        <f aca="false">IF(Q440="","",ROUND((Q440-B440)*24,1))</f>
        <v>120</v>
      </c>
    </row>
    <row r="441" customFormat="false" ht="15" hidden="false" customHeight="false" outlineLevel="0" collapsed="false">
      <c r="A441" s="3" t="s">
        <v>1012</v>
      </c>
      <c r="B441" s="5" t="n">
        <v>46163.5756944444</v>
      </c>
      <c r="C441" s="3" t="s">
        <v>39</v>
      </c>
      <c r="D441" s="3" t="s">
        <v>265</v>
      </c>
      <c r="E441" s="3" t="s">
        <v>266</v>
      </c>
      <c r="F441" s="3" t="s">
        <v>33</v>
      </c>
      <c r="G441" s="3" t="s">
        <v>54</v>
      </c>
      <c r="H441" s="3" t="s">
        <v>1013</v>
      </c>
      <c r="I441" s="3" t="n">
        <v>4</v>
      </c>
      <c r="J441" s="3" t="n">
        <v>2</v>
      </c>
      <c r="K441" s="3" t="n">
        <v>4</v>
      </c>
      <c r="L441" s="3" t="n">
        <v>4</v>
      </c>
      <c r="M441" s="3" t="n">
        <v>4</v>
      </c>
      <c r="N441" s="3" t="n">
        <v>3</v>
      </c>
      <c r="O441" s="6" t="b">
        <f aca="false">FALSE()</f>
        <v>0</v>
      </c>
      <c r="P441" s="3" t="s">
        <v>56</v>
      </c>
      <c r="Q441" s="5" t="n">
        <v>46170.5756944444</v>
      </c>
      <c r="R441" s="5" t="n">
        <v>46170.9263888889</v>
      </c>
      <c r="S441" s="3" t="s">
        <v>37</v>
      </c>
      <c r="T441" s="7" t="n">
        <f aca="false">ROUND(MIN(IF(OR(O441=TRUE(),O441="TRUE",O441="Yes"),59,100),(I441*Rubric!$C$2+J441*Rubric!$C$3+K441*Rubric!$C$4+L441*Rubric!$C$5+M441*Rubric!$C$6+N441*Rubric!$C$7)/5),1)</f>
        <v>67</v>
      </c>
      <c r="U441" s="8" t="str">
        <f aca="false">LOOKUP(T441,Bands!$A$2:$A$6,Bands!$B$2:$B$6)</f>
        <v>Needs Improvement</v>
      </c>
      <c r="V441" s="8" t="n">
        <f aca="false">IF(Q441="","",ROUND((Q441-B441)*24,1))</f>
        <v>168</v>
      </c>
    </row>
    <row r="442" customFormat="false" ht="15" hidden="false" customHeight="false" outlineLevel="0" collapsed="false">
      <c r="A442" s="3" t="s">
        <v>1014</v>
      </c>
      <c r="B442" s="5" t="n">
        <v>46163.6027777778</v>
      </c>
      <c r="C442" s="3" t="s">
        <v>68</v>
      </c>
      <c r="D442" s="3" t="s">
        <v>222</v>
      </c>
      <c r="E442" s="3" t="s">
        <v>223</v>
      </c>
      <c r="F442" s="3" t="s">
        <v>53</v>
      </c>
      <c r="G442" s="3" t="s">
        <v>54</v>
      </c>
      <c r="H442" s="3" t="s">
        <v>1015</v>
      </c>
      <c r="I442" s="3" t="n">
        <v>5</v>
      </c>
      <c r="J442" s="3" t="n">
        <v>4</v>
      </c>
      <c r="K442" s="3" t="n">
        <v>4</v>
      </c>
      <c r="L442" s="3" t="n">
        <v>4</v>
      </c>
      <c r="M442" s="3" t="n">
        <v>4</v>
      </c>
      <c r="N442" s="3" t="n">
        <v>2</v>
      </c>
      <c r="O442" s="6" t="b">
        <f aca="false">FALSE()</f>
        <v>0</v>
      </c>
      <c r="P442" s="3" t="s">
        <v>36</v>
      </c>
      <c r="Q442" s="5" t="n">
        <v>46167.6027777778</v>
      </c>
      <c r="R442" s="5" t="n">
        <v>46167.9152777778</v>
      </c>
      <c r="S442" s="3" t="s">
        <v>37</v>
      </c>
      <c r="T442" s="7" t="n">
        <f aca="false">ROUND(MIN(IF(OR(O442=TRUE(),O442="TRUE",O442="Yes"),59,100),(I442*Rubric!$C$2+J442*Rubric!$C$3+K442*Rubric!$C$4+L442*Rubric!$C$5+M442*Rubric!$C$6+N442*Rubric!$C$7)/5),1)</f>
        <v>77</v>
      </c>
      <c r="U442" s="8" t="str">
        <f aca="false">LOOKUP(T442,Bands!$A$2:$A$6,Bands!$B$2:$B$6)</f>
        <v>Meets Expectations</v>
      </c>
      <c r="V442" s="8" t="n">
        <f aca="false">IF(Q442="","",ROUND((Q442-B442)*24,1))</f>
        <v>96</v>
      </c>
    </row>
    <row r="443" customFormat="false" ht="15" hidden="false" customHeight="false" outlineLevel="0" collapsed="false">
      <c r="A443" s="3" t="s">
        <v>1016</v>
      </c>
      <c r="B443" s="5" t="n">
        <v>46163.6708333333</v>
      </c>
      <c r="C443" s="3" t="s">
        <v>39</v>
      </c>
      <c r="D443" s="3" t="s">
        <v>73</v>
      </c>
      <c r="E443" s="3" t="s">
        <v>74</v>
      </c>
      <c r="F443" s="3" t="s">
        <v>33</v>
      </c>
      <c r="G443" s="3" t="s">
        <v>42</v>
      </c>
      <c r="H443" s="3" t="s">
        <v>1017</v>
      </c>
      <c r="I443" s="3" t="n">
        <v>4</v>
      </c>
      <c r="J443" s="3" t="n">
        <v>5</v>
      </c>
      <c r="K443" s="3" t="n">
        <v>4</v>
      </c>
      <c r="L443" s="3" t="n">
        <v>5</v>
      </c>
      <c r="M443" s="3" t="n">
        <v>5</v>
      </c>
      <c r="N443" s="3" t="n">
        <v>3</v>
      </c>
      <c r="O443" s="6" t="b">
        <f aca="false">FALSE()</f>
        <v>0</v>
      </c>
      <c r="P443" s="3"/>
      <c r="Q443" s="5" t="n">
        <v>46169.6708333333</v>
      </c>
      <c r="R443" s="5" t="n">
        <v>46170.2229166667</v>
      </c>
      <c r="S443" s="3" t="s">
        <v>37</v>
      </c>
      <c r="T443" s="7" t="n">
        <f aca="false">ROUND(MIN(IF(OR(O443=TRUE(),O443="TRUE",O443="Yes"),59,100),(I443*Rubric!$C$2+J443*Rubric!$C$3+K443*Rubric!$C$4+L443*Rubric!$C$5+M443*Rubric!$C$6+N443*Rubric!$C$7)/5),1)</f>
        <v>87</v>
      </c>
      <c r="U443" s="8" t="str">
        <f aca="false">LOOKUP(T443,Bands!$A$2:$A$6,Bands!$B$2:$B$6)</f>
        <v>Solid Performance</v>
      </c>
      <c r="V443" s="8" t="n">
        <f aca="false">IF(Q443="","",ROUND((Q443-B443)*24,1))</f>
        <v>144</v>
      </c>
    </row>
    <row r="444" customFormat="false" ht="15" hidden="false" customHeight="false" outlineLevel="0" collapsed="false">
      <c r="A444" s="3" t="s">
        <v>1018</v>
      </c>
      <c r="B444" s="5" t="n">
        <v>46163.6486111111</v>
      </c>
      <c r="C444" s="3" t="s">
        <v>68</v>
      </c>
      <c r="D444" s="3" t="s">
        <v>202</v>
      </c>
      <c r="E444" s="3" t="s">
        <v>203</v>
      </c>
      <c r="F444" s="3" t="s">
        <v>53</v>
      </c>
      <c r="G444" s="3" t="s">
        <v>42</v>
      </c>
      <c r="H444" s="3" t="s">
        <v>1019</v>
      </c>
      <c r="I444" s="3" t="n">
        <v>3</v>
      </c>
      <c r="J444" s="3" t="n">
        <v>3</v>
      </c>
      <c r="K444" s="3" t="n">
        <v>4</v>
      </c>
      <c r="L444" s="3" t="n">
        <v>2</v>
      </c>
      <c r="M444" s="3" t="n">
        <v>4</v>
      </c>
      <c r="N444" s="3" t="n">
        <v>4</v>
      </c>
      <c r="O444" s="6" t="b">
        <f aca="false">FALSE()</f>
        <v>0</v>
      </c>
      <c r="P444" s="3" t="s">
        <v>44</v>
      </c>
      <c r="Q444" s="5" t="n">
        <v>46167.6486111111</v>
      </c>
      <c r="R444" s="5" t="n">
        <v>46168.2743055556</v>
      </c>
      <c r="S444" s="3" t="s">
        <v>37</v>
      </c>
      <c r="T444" s="7" t="n">
        <f aca="false">ROUND(MIN(IF(OR(O444=TRUE(),O444="TRUE",O444="Yes"),59,100),(I444*Rubric!$C$2+J444*Rubric!$C$3+K444*Rubric!$C$4+L444*Rubric!$C$5+M444*Rubric!$C$6+N444*Rubric!$C$7)/5),1)</f>
        <v>66</v>
      </c>
      <c r="U444" s="8" t="str">
        <f aca="false">LOOKUP(T444,Bands!$A$2:$A$6,Bands!$B$2:$B$6)</f>
        <v>Needs Improvement</v>
      </c>
      <c r="V444" s="8" t="n">
        <f aca="false">IF(Q444="","",ROUND((Q444-B444)*24,1))</f>
        <v>96</v>
      </c>
    </row>
    <row r="445" customFormat="false" ht="15" hidden="false" customHeight="false" outlineLevel="0" collapsed="false">
      <c r="A445" s="3" t="s">
        <v>1020</v>
      </c>
      <c r="B445" s="5" t="n">
        <v>46163.5493055556</v>
      </c>
      <c r="C445" s="3" t="s">
        <v>68</v>
      </c>
      <c r="D445" s="3" t="s">
        <v>96</v>
      </c>
      <c r="E445" s="3" t="s">
        <v>97</v>
      </c>
      <c r="F445" s="3" t="s">
        <v>33</v>
      </c>
      <c r="G445" s="3" t="s">
        <v>42</v>
      </c>
      <c r="H445" s="3" t="s">
        <v>1021</v>
      </c>
      <c r="I445" s="3" t="n">
        <v>5</v>
      </c>
      <c r="J445" s="3" t="n">
        <v>3</v>
      </c>
      <c r="K445" s="3" t="n">
        <v>5</v>
      </c>
      <c r="L445" s="3" t="n">
        <v>5</v>
      </c>
      <c r="M445" s="3" t="n">
        <v>5</v>
      </c>
      <c r="N445" s="3" t="n">
        <v>4</v>
      </c>
      <c r="O445" s="6" t="b">
        <f aca="false">FALSE()</f>
        <v>0</v>
      </c>
      <c r="P445" s="3"/>
      <c r="Q445" s="5" t="n">
        <v>46167.5493055556</v>
      </c>
      <c r="R445" s="5" t="n">
        <v>46170.5298611111</v>
      </c>
      <c r="S445" s="3" t="s">
        <v>37</v>
      </c>
      <c r="T445" s="7" t="n">
        <f aca="false">ROUND(MIN(IF(OR(O445=TRUE(),O445="TRUE",O445="Yes"),59,100),(I445*Rubric!$C$2+J445*Rubric!$C$3+K445*Rubric!$C$4+L445*Rubric!$C$5+M445*Rubric!$C$6+N445*Rubric!$C$7)/5),1)</f>
        <v>87</v>
      </c>
      <c r="U445" s="8" t="str">
        <f aca="false">LOOKUP(T445,Bands!$A$2:$A$6,Bands!$B$2:$B$6)</f>
        <v>Solid Performance</v>
      </c>
      <c r="V445" s="8" t="n">
        <f aca="false">IF(Q445="","",ROUND((Q445-B445)*24,1))</f>
        <v>96</v>
      </c>
    </row>
    <row r="446" customFormat="false" ht="15" hidden="false" customHeight="false" outlineLevel="0" collapsed="false">
      <c r="A446" s="3" t="s">
        <v>1022</v>
      </c>
      <c r="B446" s="5" t="n">
        <v>46164.5472222222</v>
      </c>
      <c r="C446" s="3" t="s">
        <v>30</v>
      </c>
      <c r="D446" s="3" t="s">
        <v>161</v>
      </c>
      <c r="E446" s="3" t="s">
        <v>162</v>
      </c>
      <c r="F446" s="3" t="s">
        <v>33</v>
      </c>
      <c r="G446" s="3" t="s">
        <v>42</v>
      </c>
      <c r="H446" s="3" t="s">
        <v>1023</v>
      </c>
      <c r="I446" s="3" t="n">
        <v>4</v>
      </c>
      <c r="J446" s="3" t="n">
        <v>5</v>
      </c>
      <c r="K446" s="3" t="n">
        <v>4</v>
      </c>
      <c r="L446" s="3" t="n">
        <v>4</v>
      </c>
      <c r="M446" s="3" t="n">
        <v>2</v>
      </c>
      <c r="N446" s="3" t="n">
        <v>5</v>
      </c>
      <c r="O446" s="6" t="b">
        <f aca="false">FALSE()</f>
        <v>0</v>
      </c>
      <c r="P446" s="3" t="s">
        <v>103</v>
      </c>
      <c r="Q446" s="5" t="n">
        <v>46170.5472222222</v>
      </c>
      <c r="R446" s="5" t="n">
        <v>46170.9020833333</v>
      </c>
      <c r="S446" s="3" t="s">
        <v>37</v>
      </c>
      <c r="T446" s="7" t="n">
        <f aca="false">ROUND(MIN(IF(OR(O446=TRUE(),O446="TRUE",O446="Yes"),59,100),(I446*Rubric!$C$2+J446*Rubric!$C$3+K446*Rubric!$C$4+L446*Rubric!$C$5+M446*Rubric!$C$6+N446*Rubric!$C$7)/5),1)</f>
        <v>84</v>
      </c>
      <c r="U446" s="8" t="str">
        <f aca="false">LOOKUP(T446,Bands!$A$2:$A$6,Bands!$B$2:$B$6)</f>
        <v>Solid Performance</v>
      </c>
      <c r="V446" s="8" t="n">
        <f aca="false">IF(Q446="","",ROUND((Q446-B446)*24,1))</f>
        <v>144</v>
      </c>
    </row>
    <row r="447" customFormat="false" ht="15" hidden="false" customHeight="false" outlineLevel="0" collapsed="false">
      <c r="A447" s="3" t="s">
        <v>1024</v>
      </c>
      <c r="B447" s="5" t="n">
        <v>46164.4243055556</v>
      </c>
      <c r="C447" s="3" t="s">
        <v>39</v>
      </c>
      <c r="D447" s="3" t="s">
        <v>51</v>
      </c>
      <c r="E447" s="3" t="s">
        <v>52</v>
      </c>
      <c r="F447" s="3" t="s">
        <v>53</v>
      </c>
      <c r="G447" s="3" t="s">
        <v>54</v>
      </c>
      <c r="H447" s="3" t="s">
        <v>1025</v>
      </c>
      <c r="I447" s="3" t="n">
        <v>3</v>
      </c>
      <c r="J447" s="3" t="n">
        <v>2</v>
      </c>
      <c r="K447" s="3" t="n">
        <v>4</v>
      </c>
      <c r="L447" s="3" t="n">
        <v>4</v>
      </c>
      <c r="M447" s="3" t="n">
        <v>5</v>
      </c>
      <c r="N447" s="3" t="n">
        <v>3</v>
      </c>
      <c r="O447" s="6" t="b">
        <f aca="false">FALSE()</f>
        <v>0</v>
      </c>
      <c r="P447" s="3" t="s">
        <v>56</v>
      </c>
      <c r="Q447" s="5" t="n">
        <v>46168.4243055556</v>
      </c>
      <c r="R447" s="5" t="n">
        <v>46172.6236111111</v>
      </c>
      <c r="S447" s="3" t="s">
        <v>37</v>
      </c>
      <c r="T447" s="7" t="n">
        <f aca="false">ROUND(MIN(IF(OR(O447=TRUE(),O447="TRUE",O447="Yes"),59,100),(I447*Rubric!$C$2+J447*Rubric!$C$3+K447*Rubric!$C$4+L447*Rubric!$C$5+M447*Rubric!$C$6+N447*Rubric!$C$7)/5),1)</f>
        <v>66</v>
      </c>
      <c r="U447" s="8" t="str">
        <f aca="false">LOOKUP(T447,Bands!$A$2:$A$6,Bands!$B$2:$B$6)</f>
        <v>Needs Improvement</v>
      </c>
      <c r="V447" s="8" t="n">
        <f aca="false">IF(Q447="","",ROUND((Q447-B447)*24,1))</f>
        <v>96</v>
      </c>
    </row>
    <row r="448" customFormat="false" ht="15" hidden="false" customHeight="false" outlineLevel="0" collapsed="false">
      <c r="A448" s="3" t="s">
        <v>1026</v>
      </c>
      <c r="B448" s="5" t="n">
        <v>46164.7034722222</v>
      </c>
      <c r="C448" s="3" t="s">
        <v>68</v>
      </c>
      <c r="D448" s="3" t="s">
        <v>63</v>
      </c>
      <c r="E448" s="3" t="s">
        <v>64</v>
      </c>
      <c r="F448" s="3" t="s">
        <v>65</v>
      </c>
      <c r="G448" s="3" t="s">
        <v>54</v>
      </c>
      <c r="H448" s="3" t="s">
        <v>1027</v>
      </c>
      <c r="I448" s="3" t="n">
        <v>4</v>
      </c>
      <c r="J448" s="3" t="n">
        <v>4</v>
      </c>
      <c r="K448" s="3" t="n">
        <v>2</v>
      </c>
      <c r="L448" s="3" t="n">
        <v>4</v>
      </c>
      <c r="M448" s="3" t="n">
        <v>4</v>
      </c>
      <c r="N448" s="3" t="n">
        <v>3</v>
      </c>
      <c r="O448" s="6" t="b">
        <f aca="false">FALSE()</f>
        <v>0</v>
      </c>
      <c r="P448" s="3" t="s">
        <v>49</v>
      </c>
      <c r="Q448" s="5" t="n">
        <v>46168.7034722222</v>
      </c>
      <c r="R448" s="5" t="n">
        <v>46169.4270833333</v>
      </c>
      <c r="S448" s="3" t="s">
        <v>37</v>
      </c>
      <c r="T448" s="7" t="n">
        <f aca="false">ROUND(MIN(IF(OR(O448=TRUE(),O448="TRUE",O448="Yes"),59,100),(I448*Rubric!$C$2+J448*Rubric!$C$3+K448*Rubric!$C$4+L448*Rubric!$C$5+M448*Rubric!$C$6+N448*Rubric!$C$7)/5),1)</f>
        <v>69</v>
      </c>
      <c r="U448" s="8" t="str">
        <f aca="false">LOOKUP(T448,Bands!$A$2:$A$6,Bands!$B$2:$B$6)</f>
        <v>Needs Improvement</v>
      </c>
      <c r="V448" s="8" t="n">
        <f aca="false">IF(Q448="","",ROUND((Q448-B448)*24,1))</f>
        <v>96</v>
      </c>
    </row>
    <row r="449" customFormat="false" ht="15" hidden="false" customHeight="false" outlineLevel="0" collapsed="false">
      <c r="A449" s="3" t="s">
        <v>1028</v>
      </c>
      <c r="B449" s="5" t="n">
        <v>46164.5263888889</v>
      </c>
      <c r="C449" s="3" t="s">
        <v>39</v>
      </c>
      <c r="D449" s="3" t="s">
        <v>194</v>
      </c>
      <c r="E449" s="3" t="s">
        <v>195</v>
      </c>
      <c r="F449" s="3" t="s">
        <v>53</v>
      </c>
      <c r="G449" s="3" t="s">
        <v>34</v>
      </c>
      <c r="H449" s="3" t="s">
        <v>1029</v>
      </c>
      <c r="I449" s="3" t="n">
        <v>5</v>
      </c>
      <c r="J449" s="3" t="n">
        <v>5</v>
      </c>
      <c r="K449" s="3" t="n">
        <v>4</v>
      </c>
      <c r="L449" s="3" t="n">
        <v>4</v>
      </c>
      <c r="M449" s="3" t="n">
        <v>4</v>
      </c>
      <c r="N449" s="3" t="n">
        <v>0</v>
      </c>
      <c r="O449" s="6" t="b">
        <f aca="false">TRUE()</f>
        <v>1</v>
      </c>
      <c r="P449" s="3" t="s">
        <v>36</v>
      </c>
      <c r="Q449" s="5" t="n">
        <v>46167.5263888889</v>
      </c>
      <c r="R449" s="5" t="n">
        <v>46168.5097222222</v>
      </c>
      <c r="S449" s="3" t="s">
        <v>37</v>
      </c>
      <c r="T449" s="7" t="n">
        <f aca="false">ROUND(MIN(IF(OR(O449=TRUE(),O449="TRUE",O449="Yes"),59,100),(I449*Rubric!$C$2+J449*Rubric!$C$3+K449*Rubric!$C$4+L449*Rubric!$C$5+M449*Rubric!$C$6+N449*Rubric!$C$7)/5),1)</f>
        <v>59</v>
      </c>
      <c r="U449" s="8" t="str">
        <f aca="false">LOOKUP(T449,Bands!$A$2:$A$6,Bands!$B$2:$B$6)</f>
        <v>Critical</v>
      </c>
      <c r="V449" s="8" t="n">
        <f aca="false">IF(Q449="","",ROUND((Q449-B449)*24,1))</f>
        <v>72</v>
      </c>
    </row>
    <row r="450" customFormat="false" ht="15" hidden="false" customHeight="false" outlineLevel="0" collapsed="false">
      <c r="A450" s="3" t="s">
        <v>1030</v>
      </c>
      <c r="B450" s="5" t="n">
        <v>46164.5131944444</v>
      </c>
      <c r="C450" s="3" t="s">
        <v>68</v>
      </c>
      <c r="D450" s="3" t="s">
        <v>198</v>
      </c>
      <c r="E450" s="3" t="s">
        <v>199</v>
      </c>
      <c r="F450" s="3" t="s">
        <v>33</v>
      </c>
      <c r="G450" s="3" t="s">
        <v>42</v>
      </c>
      <c r="H450" s="3" t="s">
        <v>1031</v>
      </c>
      <c r="I450" s="3" t="n">
        <v>4</v>
      </c>
      <c r="J450" s="3" t="n">
        <v>1</v>
      </c>
      <c r="K450" s="3" t="n">
        <v>5</v>
      </c>
      <c r="L450" s="3" t="n">
        <v>4</v>
      </c>
      <c r="M450" s="3" t="n">
        <v>5</v>
      </c>
      <c r="N450" s="3" t="n">
        <v>4</v>
      </c>
      <c r="O450" s="6" t="b">
        <f aca="false">FALSE()</f>
        <v>0</v>
      </c>
      <c r="P450" s="3" t="s">
        <v>56</v>
      </c>
      <c r="Q450" s="5" t="n">
        <v>46168.5131944444</v>
      </c>
      <c r="R450" s="5" t="n">
        <v>46174.5583333333</v>
      </c>
      <c r="S450" s="3" t="s">
        <v>37</v>
      </c>
      <c r="T450" s="7" t="n">
        <f aca="false">ROUND(MIN(IF(OR(O450=TRUE(),O450="TRUE",O450="Yes"),59,100),(I450*Rubric!$C$2+J450*Rubric!$C$3+K450*Rubric!$C$4+L450*Rubric!$C$5+M450*Rubric!$C$6+N450*Rubric!$C$7)/5),1)</f>
        <v>71</v>
      </c>
      <c r="U450" s="8" t="str">
        <f aca="false">LOOKUP(T450,Bands!$A$2:$A$6,Bands!$B$2:$B$6)</f>
        <v>Meets Expectations</v>
      </c>
      <c r="V450" s="8" t="n">
        <f aca="false">IF(Q450="","",ROUND((Q450-B450)*24,1))</f>
        <v>96</v>
      </c>
    </row>
    <row r="451" customFormat="false" ht="15" hidden="false" customHeight="false" outlineLevel="0" collapsed="false">
      <c r="A451" s="3" t="s">
        <v>1032</v>
      </c>
      <c r="B451" s="5" t="n">
        <v>46164.6388888889</v>
      </c>
      <c r="C451" s="3" t="s">
        <v>30</v>
      </c>
      <c r="D451" s="3" t="s">
        <v>90</v>
      </c>
      <c r="E451" s="3" t="s">
        <v>91</v>
      </c>
      <c r="F451" s="3" t="s">
        <v>65</v>
      </c>
      <c r="G451" s="3" t="s">
        <v>54</v>
      </c>
      <c r="H451" s="3" t="s">
        <v>1033</v>
      </c>
      <c r="I451" s="3" t="n">
        <v>5</v>
      </c>
      <c r="J451" s="3" t="n">
        <v>4</v>
      </c>
      <c r="K451" s="3" t="n">
        <v>5</v>
      </c>
      <c r="L451" s="3" t="n">
        <v>2</v>
      </c>
      <c r="M451" s="3" t="n">
        <v>5</v>
      </c>
      <c r="N451" s="3" t="n">
        <v>4</v>
      </c>
      <c r="O451" s="6" t="b">
        <f aca="false">FALSE()</f>
        <v>0</v>
      </c>
      <c r="P451" s="3" t="s">
        <v>44</v>
      </c>
      <c r="Q451" s="5" t="n">
        <v>46171.6388888889</v>
      </c>
      <c r="R451" s="5" t="n">
        <v>46172.4833333333</v>
      </c>
      <c r="S451" s="3" t="s">
        <v>37</v>
      </c>
      <c r="T451" s="7" t="n">
        <f aca="false">ROUND(MIN(IF(OR(O451=TRUE(),O451="TRUE",O451="Yes"),59,100),(I451*Rubric!$C$2+J451*Rubric!$C$3+K451*Rubric!$C$4+L451*Rubric!$C$5+M451*Rubric!$C$6+N451*Rubric!$C$7)/5),1)</f>
        <v>83</v>
      </c>
      <c r="U451" s="8" t="str">
        <f aca="false">LOOKUP(T451,Bands!$A$2:$A$6,Bands!$B$2:$B$6)</f>
        <v>Solid Performance</v>
      </c>
      <c r="V451" s="8" t="n">
        <f aca="false">IF(Q451="","",ROUND((Q451-B451)*24,1))</f>
        <v>168</v>
      </c>
    </row>
    <row r="452" customFormat="false" ht="15" hidden="false" customHeight="false" outlineLevel="0" collapsed="false">
      <c r="A452" s="3" t="s">
        <v>1034</v>
      </c>
      <c r="B452" s="5" t="n">
        <v>46164.6715277778</v>
      </c>
      <c r="C452" s="3" t="s">
        <v>68</v>
      </c>
      <c r="D452" s="3" t="s">
        <v>307</v>
      </c>
      <c r="E452" s="3" t="s">
        <v>308</v>
      </c>
      <c r="F452" s="3" t="s">
        <v>33</v>
      </c>
      <c r="G452" s="3" t="s">
        <v>42</v>
      </c>
      <c r="H452" s="3" t="s">
        <v>1035</v>
      </c>
      <c r="I452" s="3" t="n">
        <v>5</v>
      </c>
      <c r="J452" s="3" t="n">
        <v>3</v>
      </c>
      <c r="K452" s="3" t="n">
        <v>5</v>
      </c>
      <c r="L452" s="3" t="n">
        <v>5</v>
      </c>
      <c r="M452" s="3" t="n">
        <v>5</v>
      </c>
      <c r="N452" s="3" t="n">
        <v>4</v>
      </c>
      <c r="O452" s="6" t="b">
        <f aca="false">FALSE()</f>
        <v>0</v>
      </c>
      <c r="P452" s="3"/>
      <c r="Q452" s="5" t="n">
        <v>46168.6715277778</v>
      </c>
      <c r="R452" s="5" t="n">
        <v>46177.9256944444</v>
      </c>
      <c r="S452" s="3" t="s">
        <v>37</v>
      </c>
      <c r="T452" s="7" t="n">
        <f aca="false">ROUND(MIN(IF(OR(O452=TRUE(),O452="TRUE",O452="Yes"),59,100),(I452*Rubric!$C$2+J452*Rubric!$C$3+K452*Rubric!$C$4+L452*Rubric!$C$5+M452*Rubric!$C$6+N452*Rubric!$C$7)/5),1)</f>
        <v>87</v>
      </c>
      <c r="U452" s="8" t="str">
        <f aca="false">LOOKUP(T452,Bands!$A$2:$A$6,Bands!$B$2:$B$6)</f>
        <v>Solid Performance</v>
      </c>
      <c r="V452" s="8" t="n">
        <f aca="false">IF(Q452="","",ROUND((Q452-B452)*24,1))</f>
        <v>96</v>
      </c>
    </row>
    <row r="453" customFormat="false" ht="15" hidden="false" customHeight="false" outlineLevel="0" collapsed="false">
      <c r="A453" s="3" t="s">
        <v>1036</v>
      </c>
      <c r="B453" s="5" t="n">
        <v>46164.6305555556</v>
      </c>
      <c r="C453" s="3" t="s">
        <v>68</v>
      </c>
      <c r="D453" s="3" t="s">
        <v>85</v>
      </c>
      <c r="E453" s="3" t="s">
        <v>86</v>
      </c>
      <c r="F453" s="3" t="s">
        <v>33</v>
      </c>
      <c r="G453" s="3" t="s">
        <v>54</v>
      </c>
      <c r="H453" s="3" t="s">
        <v>1037</v>
      </c>
      <c r="I453" s="3" t="n">
        <v>2</v>
      </c>
      <c r="J453" s="3" t="n">
        <v>4</v>
      </c>
      <c r="K453" s="3" t="n">
        <v>3</v>
      </c>
      <c r="L453" s="3" t="n">
        <v>4</v>
      </c>
      <c r="M453" s="3" t="n">
        <v>5</v>
      </c>
      <c r="N453" s="3" t="n">
        <v>4</v>
      </c>
      <c r="O453" s="6" t="b">
        <f aca="false">FALSE()</f>
        <v>0</v>
      </c>
      <c r="P453" s="3" t="s">
        <v>88</v>
      </c>
      <c r="Q453" s="5" t="n">
        <v>46169.6305555556</v>
      </c>
      <c r="R453" s="5" t="n">
        <v>46173.3277777778</v>
      </c>
      <c r="S453" s="3" t="s">
        <v>37</v>
      </c>
      <c r="T453" s="7" t="n">
        <f aca="false">ROUND(MIN(IF(OR(O453=TRUE(),O453="TRUE",O453="Yes"),59,100),(I453*Rubric!$C$2+J453*Rubric!$C$3+K453*Rubric!$C$4+L453*Rubric!$C$5+M453*Rubric!$C$6+N453*Rubric!$C$7)/5),1)</f>
        <v>72</v>
      </c>
      <c r="U453" s="8" t="str">
        <f aca="false">LOOKUP(T453,Bands!$A$2:$A$6,Bands!$B$2:$B$6)</f>
        <v>Meets Expectations</v>
      </c>
      <c r="V453" s="8" t="n">
        <f aca="false">IF(Q453="","",ROUND((Q453-B453)*24,1))</f>
        <v>120</v>
      </c>
    </row>
    <row r="454" customFormat="false" ht="15" hidden="false" customHeight="false" outlineLevel="0" collapsed="false">
      <c r="A454" s="3" t="s">
        <v>1038</v>
      </c>
      <c r="B454" s="5" t="n">
        <v>46164.4909722222</v>
      </c>
      <c r="C454" s="3" t="s">
        <v>30</v>
      </c>
      <c r="D454" s="3" t="s">
        <v>222</v>
      </c>
      <c r="E454" s="3" t="s">
        <v>223</v>
      </c>
      <c r="F454" s="3" t="s">
        <v>53</v>
      </c>
      <c r="G454" s="3" t="s">
        <v>54</v>
      </c>
      <c r="H454" s="3" t="s">
        <v>1039</v>
      </c>
      <c r="I454" s="3" t="n">
        <v>5</v>
      </c>
      <c r="J454" s="3" t="n">
        <v>4</v>
      </c>
      <c r="K454" s="3" t="n">
        <v>5</v>
      </c>
      <c r="L454" s="3" t="n">
        <v>3</v>
      </c>
      <c r="M454" s="3" t="n">
        <v>4</v>
      </c>
      <c r="N454" s="3" t="n">
        <v>3</v>
      </c>
      <c r="O454" s="6" t="b">
        <f aca="false">FALSE()</f>
        <v>0</v>
      </c>
      <c r="P454" s="3"/>
      <c r="Q454" s="5" t="n">
        <v>46173.4909722222</v>
      </c>
      <c r="R454" s="5" t="n">
        <v>46173.6625</v>
      </c>
      <c r="S454" s="3" t="s">
        <v>37</v>
      </c>
      <c r="T454" s="7" t="n">
        <f aca="false">ROUND(MIN(IF(OR(O454=TRUE(),O454="TRUE",O454="Yes"),59,100),(I454*Rubric!$C$2+J454*Rubric!$C$3+K454*Rubric!$C$4+L454*Rubric!$C$5+M454*Rubric!$C$6+N454*Rubric!$C$7)/5),1)</f>
        <v>81</v>
      </c>
      <c r="U454" s="8" t="str">
        <f aca="false">LOOKUP(T454,Bands!$A$2:$A$6,Bands!$B$2:$B$6)</f>
        <v>Solid Performance</v>
      </c>
      <c r="V454" s="8" t="n">
        <f aca="false">IF(Q454="","",ROUND((Q454-B454)*24,1))</f>
        <v>216</v>
      </c>
    </row>
    <row r="455" customFormat="false" ht="15" hidden="false" customHeight="false" outlineLevel="0" collapsed="false">
      <c r="A455" s="3" t="s">
        <v>1040</v>
      </c>
      <c r="B455" s="5" t="n">
        <v>46164.7013888889</v>
      </c>
      <c r="C455" s="3" t="s">
        <v>39</v>
      </c>
      <c r="D455" s="3" t="s">
        <v>133</v>
      </c>
      <c r="E455" s="3" t="s">
        <v>134</v>
      </c>
      <c r="F455" s="3" t="s">
        <v>33</v>
      </c>
      <c r="G455" s="3" t="s">
        <v>42</v>
      </c>
      <c r="H455" s="3" t="s">
        <v>1041</v>
      </c>
      <c r="I455" s="3" t="n">
        <v>5</v>
      </c>
      <c r="J455" s="3" t="n">
        <v>3</v>
      </c>
      <c r="K455" s="3" t="n">
        <v>4</v>
      </c>
      <c r="L455" s="3" t="n">
        <v>5</v>
      </c>
      <c r="M455" s="3" t="n">
        <v>5</v>
      </c>
      <c r="N455" s="3" t="n">
        <v>5</v>
      </c>
      <c r="O455" s="6" t="b">
        <f aca="false">FALSE()</f>
        <v>0</v>
      </c>
      <c r="P455" s="3"/>
      <c r="Q455" s="5" t="n">
        <v>46171.7013888889</v>
      </c>
      <c r="R455" s="5" t="n">
        <v>46172.3166666667</v>
      </c>
      <c r="S455" s="3" t="s">
        <v>37</v>
      </c>
      <c r="T455" s="7" t="n">
        <f aca="false">ROUND(MIN(IF(OR(O455=TRUE(),O455="TRUE",O455="Yes"),59,100),(I455*Rubric!$C$2+J455*Rubric!$C$3+K455*Rubric!$C$4+L455*Rubric!$C$5+M455*Rubric!$C$6+N455*Rubric!$C$7)/5),1)</f>
        <v>86</v>
      </c>
      <c r="U455" s="8" t="str">
        <f aca="false">LOOKUP(T455,Bands!$A$2:$A$6,Bands!$B$2:$B$6)</f>
        <v>Solid Performance</v>
      </c>
      <c r="V455" s="8" t="n">
        <f aca="false">IF(Q455="","",ROUND((Q455-B455)*24,1))</f>
        <v>168</v>
      </c>
    </row>
    <row r="456" customFormat="false" ht="15" hidden="false" customHeight="false" outlineLevel="0" collapsed="false">
      <c r="A456" s="3" t="s">
        <v>1042</v>
      </c>
      <c r="B456" s="5" t="n">
        <v>46164.3854166667</v>
      </c>
      <c r="C456" s="3" t="s">
        <v>68</v>
      </c>
      <c r="D456" s="3" t="s">
        <v>58</v>
      </c>
      <c r="E456" s="3" t="s">
        <v>59</v>
      </c>
      <c r="F456" s="3" t="s">
        <v>53</v>
      </c>
      <c r="G456" s="3" t="s">
        <v>54</v>
      </c>
      <c r="H456" s="3" t="s">
        <v>1043</v>
      </c>
      <c r="I456" s="3" t="n">
        <v>4</v>
      </c>
      <c r="J456" s="3" t="n">
        <v>4</v>
      </c>
      <c r="K456" s="3" t="n">
        <v>2</v>
      </c>
      <c r="L456" s="3" t="n">
        <v>4</v>
      </c>
      <c r="M456" s="3" t="n">
        <v>3</v>
      </c>
      <c r="N456" s="3" t="n">
        <v>4</v>
      </c>
      <c r="O456" s="6" t="b">
        <f aca="false">FALSE()</f>
        <v>0</v>
      </c>
      <c r="P456" s="3" t="s">
        <v>49</v>
      </c>
      <c r="Q456" s="5" t="n">
        <v>46173.3854166667</v>
      </c>
      <c r="R456" s="5" t="n">
        <v>46173.6791666667</v>
      </c>
      <c r="S456" s="3" t="s">
        <v>37</v>
      </c>
      <c r="T456" s="7" t="n">
        <f aca="false">ROUND(MIN(IF(OR(O456=TRUE(),O456="TRUE",O456="Yes"),59,100),(I456*Rubric!$C$2+J456*Rubric!$C$3+K456*Rubric!$C$4+L456*Rubric!$C$5+M456*Rubric!$C$6+N456*Rubric!$C$7)/5),1)</f>
        <v>70</v>
      </c>
      <c r="U456" s="8" t="str">
        <f aca="false">LOOKUP(T456,Bands!$A$2:$A$6,Bands!$B$2:$B$6)</f>
        <v>Meets Expectations</v>
      </c>
      <c r="V456" s="8" t="n">
        <f aca="false">IF(Q456="","",ROUND((Q456-B456)*24,1))</f>
        <v>216</v>
      </c>
    </row>
    <row r="457" customFormat="false" ht="15" hidden="false" customHeight="false" outlineLevel="0" collapsed="false">
      <c r="A457" s="3" t="s">
        <v>1044</v>
      </c>
      <c r="B457" s="5" t="n">
        <v>46164.5243055556</v>
      </c>
      <c r="C457" s="3" t="s">
        <v>39</v>
      </c>
      <c r="D457" s="3" t="s">
        <v>73</v>
      </c>
      <c r="E457" s="3" t="s">
        <v>74</v>
      </c>
      <c r="F457" s="3" t="s">
        <v>33</v>
      </c>
      <c r="G457" s="3" t="s">
        <v>42</v>
      </c>
      <c r="H457" s="3" t="s">
        <v>1045</v>
      </c>
      <c r="I457" s="3" t="n">
        <v>5</v>
      </c>
      <c r="J457" s="3" t="n">
        <v>5</v>
      </c>
      <c r="K457" s="3" t="n">
        <v>5</v>
      </c>
      <c r="L457" s="3" t="n">
        <v>5</v>
      </c>
      <c r="M457" s="3" t="n">
        <v>4</v>
      </c>
      <c r="N457" s="3" t="n">
        <v>3</v>
      </c>
      <c r="O457" s="6" t="b">
        <f aca="false">FALSE()</f>
        <v>0</v>
      </c>
      <c r="P457" s="3"/>
      <c r="Q457" s="5" t="n">
        <v>46168.5243055556</v>
      </c>
      <c r="R457" s="5" t="n">
        <v>46169.3125</v>
      </c>
      <c r="S457" s="3" t="s">
        <v>37</v>
      </c>
      <c r="T457" s="7" t="n">
        <f aca="false">ROUND(MIN(IF(OR(O457=TRUE(),O457="TRUE",O457="Yes"),59,100),(I457*Rubric!$C$2+J457*Rubric!$C$3+K457*Rubric!$C$4+L457*Rubric!$C$5+M457*Rubric!$C$6+N457*Rubric!$C$7)/5),1)</f>
        <v>92</v>
      </c>
      <c r="U457" s="8" t="str">
        <f aca="false">LOOKUP(T457,Bands!$A$2:$A$6,Bands!$B$2:$B$6)</f>
        <v>Outstanding</v>
      </c>
      <c r="V457" s="8" t="n">
        <f aca="false">IF(Q457="","",ROUND((Q457-B457)*24,1))</f>
        <v>96</v>
      </c>
    </row>
    <row r="458" customFormat="false" ht="15" hidden="false" customHeight="false" outlineLevel="0" collapsed="false">
      <c r="A458" s="3" t="s">
        <v>1046</v>
      </c>
      <c r="B458" s="5" t="n">
        <v>46167.525</v>
      </c>
      <c r="C458" s="3" t="s">
        <v>68</v>
      </c>
      <c r="D458" s="3" t="s">
        <v>222</v>
      </c>
      <c r="E458" s="3" t="s">
        <v>223</v>
      </c>
      <c r="F458" s="3" t="s">
        <v>53</v>
      </c>
      <c r="G458" s="3" t="s">
        <v>54</v>
      </c>
      <c r="H458" s="3" t="s">
        <v>1047</v>
      </c>
      <c r="I458" s="3" t="n">
        <v>4</v>
      </c>
      <c r="J458" s="3" t="n">
        <v>5</v>
      </c>
      <c r="K458" s="3" t="n">
        <v>4</v>
      </c>
      <c r="L458" s="3" t="n">
        <v>4</v>
      </c>
      <c r="M458" s="3" t="n">
        <v>4</v>
      </c>
      <c r="N458" s="3" t="n">
        <v>3</v>
      </c>
      <c r="O458" s="6" t="b">
        <f aca="false">FALSE()</f>
        <v>0</v>
      </c>
      <c r="P458" s="3"/>
      <c r="Q458" s="5" t="n">
        <v>46170.525</v>
      </c>
      <c r="R458" s="5" t="n">
        <v>46172.0145833333</v>
      </c>
      <c r="S458" s="3" t="s">
        <v>37</v>
      </c>
      <c r="T458" s="7" t="n">
        <f aca="false">ROUND(MIN(IF(OR(O458=TRUE(),O458="TRUE",O458="Yes"),59,100),(I458*Rubric!$C$2+J458*Rubric!$C$3+K458*Rubric!$C$4+L458*Rubric!$C$5+M458*Rubric!$C$6+N458*Rubric!$C$7)/5),1)</f>
        <v>82</v>
      </c>
      <c r="U458" s="8" t="str">
        <f aca="false">LOOKUP(T458,Bands!$A$2:$A$6,Bands!$B$2:$B$6)</f>
        <v>Solid Performance</v>
      </c>
      <c r="V458" s="8" t="n">
        <f aca="false">IF(Q458="","",ROUND((Q458-B458)*24,1))</f>
        <v>72</v>
      </c>
    </row>
    <row r="459" customFormat="false" ht="15" hidden="false" customHeight="false" outlineLevel="0" collapsed="false">
      <c r="A459" s="3" t="s">
        <v>1048</v>
      </c>
      <c r="B459" s="5" t="n">
        <v>46167.4208333333</v>
      </c>
      <c r="C459" s="3" t="s">
        <v>30</v>
      </c>
      <c r="D459" s="3" t="s">
        <v>115</v>
      </c>
      <c r="E459" s="3" t="s">
        <v>116</v>
      </c>
      <c r="F459" s="3" t="s">
        <v>33</v>
      </c>
      <c r="G459" s="3" t="s">
        <v>42</v>
      </c>
      <c r="H459" s="3" t="s">
        <v>1049</v>
      </c>
      <c r="I459" s="3" t="n">
        <v>4</v>
      </c>
      <c r="J459" s="3" t="n">
        <v>5</v>
      </c>
      <c r="K459" s="3" t="n">
        <v>4</v>
      </c>
      <c r="L459" s="3" t="n">
        <v>4</v>
      </c>
      <c r="M459" s="3" t="n">
        <v>3</v>
      </c>
      <c r="N459" s="3" t="n">
        <v>4</v>
      </c>
      <c r="O459" s="6" t="b">
        <f aca="false">FALSE()</f>
        <v>0</v>
      </c>
      <c r="P459" s="3"/>
      <c r="Q459" s="5" t="n">
        <v>46173.4208333333</v>
      </c>
      <c r="R459" s="5" t="n">
        <v>46173.8701388889</v>
      </c>
      <c r="S459" s="3" t="s">
        <v>37</v>
      </c>
      <c r="T459" s="7" t="n">
        <f aca="false">ROUND(MIN(IF(OR(O459=TRUE(),O459="TRUE",O459="Yes"),59,100),(I459*Rubric!$C$2+J459*Rubric!$C$3+K459*Rubric!$C$4+L459*Rubric!$C$5+M459*Rubric!$C$6+N459*Rubric!$C$7)/5),1)</f>
        <v>83</v>
      </c>
      <c r="U459" s="8" t="str">
        <f aca="false">LOOKUP(T459,Bands!$A$2:$A$6,Bands!$B$2:$B$6)</f>
        <v>Solid Performance</v>
      </c>
      <c r="V459" s="8" t="n">
        <f aca="false">IF(Q459="","",ROUND((Q459-B459)*24,1))</f>
        <v>144</v>
      </c>
    </row>
    <row r="460" customFormat="false" ht="15" hidden="false" customHeight="false" outlineLevel="0" collapsed="false">
      <c r="A460" s="3" t="s">
        <v>1050</v>
      </c>
      <c r="B460" s="5" t="n">
        <v>46167.5597222222</v>
      </c>
      <c r="C460" s="3" t="s">
        <v>30</v>
      </c>
      <c r="D460" s="3" t="s">
        <v>259</v>
      </c>
      <c r="E460" s="3" t="s">
        <v>260</v>
      </c>
      <c r="F460" s="3" t="s">
        <v>33</v>
      </c>
      <c r="G460" s="3" t="s">
        <v>54</v>
      </c>
      <c r="H460" s="3" t="s">
        <v>1051</v>
      </c>
      <c r="I460" s="3" t="n">
        <v>5</v>
      </c>
      <c r="J460" s="3" t="n">
        <v>4</v>
      </c>
      <c r="K460" s="3" t="n">
        <v>2</v>
      </c>
      <c r="L460" s="3" t="n">
        <v>5</v>
      </c>
      <c r="M460" s="3" t="n">
        <v>5</v>
      </c>
      <c r="N460" s="3" t="n">
        <v>5</v>
      </c>
      <c r="O460" s="6" t="b">
        <f aca="false">FALSE()</f>
        <v>0</v>
      </c>
      <c r="P460" s="3" t="s">
        <v>49</v>
      </c>
      <c r="Q460" s="5" t="n">
        <v>46174.5597222222</v>
      </c>
      <c r="R460" s="5" t="n">
        <v>46175.5270833333</v>
      </c>
      <c r="S460" s="3" t="s">
        <v>37</v>
      </c>
      <c r="T460" s="7" t="n">
        <f aca="false">ROUND(MIN(IF(OR(O460=TRUE(),O460="TRUE",O460="Yes"),59,100),(I460*Rubric!$C$2+J460*Rubric!$C$3+K460*Rubric!$C$4+L460*Rubric!$C$5+M460*Rubric!$C$6+N460*Rubric!$C$7)/5),1)</f>
        <v>83</v>
      </c>
      <c r="U460" s="8" t="str">
        <f aca="false">LOOKUP(T460,Bands!$A$2:$A$6,Bands!$B$2:$B$6)</f>
        <v>Solid Performance</v>
      </c>
      <c r="V460" s="8" t="n">
        <f aca="false">IF(Q460="","",ROUND((Q460-B460)*24,1))</f>
        <v>168</v>
      </c>
    </row>
    <row r="461" customFormat="false" ht="15" hidden="false" customHeight="false" outlineLevel="0" collapsed="false">
      <c r="A461" s="3" t="s">
        <v>1052</v>
      </c>
      <c r="B461" s="5" t="n">
        <v>46167.4763888889</v>
      </c>
      <c r="C461" s="3" t="s">
        <v>68</v>
      </c>
      <c r="D461" s="3" t="s">
        <v>212</v>
      </c>
      <c r="E461" s="3" t="s">
        <v>213</v>
      </c>
      <c r="F461" s="3" t="s">
        <v>33</v>
      </c>
      <c r="G461" s="3" t="s">
        <v>54</v>
      </c>
      <c r="H461" s="3" t="s">
        <v>1053</v>
      </c>
      <c r="I461" s="3" t="n">
        <v>4</v>
      </c>
      <c r="J461" s="3" t="n">
        <v>4</v>
      </c>
      <c r="K461" s="3" t="n">
        <v>2</v>
      </c>
      <c r="L461" s="3" t="n">
        <v>3</v>
      </c>
      <c r="M461" s="3" t="n">
        <v>4</v>
      </c>
      <c r="N461" s="3" t="n">
        <v>3</v>
      </c>
      <c r="O461" s="6" t="b">
        <f aca="false">FALSE()</f>
        <v>0</v>
      </c>
      <c r="P461" s="3" t="s">
        <v>49</v>
      </c>
      <c r="Q461" s="5" t="n">
        <v>46172.4763888889</v>
      </c>
      <c r="R461" s="5" t="n">
        <v>46172.9756944445</v>
      </c>
      <c r="S461" s="3" t="s">
        <v>37</v>
      </c>
      <c r="T461" s="7" t="n">
        <f aca="false">ROUND(MIN(IF(OR(O461=TRUE(),O461="TRUE",O461="Yes"),59,100),(I461*Rubric!$C$2+J461*Rubric!$C$3+K461*Rubric!$C$4+L461*Rubric!$C$5+M461*Rubric!$C$6+N461*Rubric!$C$7)/5),1)</f>
        <v>66</v>
      </c>
      <c r="U461" s="8" t="str">
        <f aca="false">LOOKUP(T461,Bands!$A$2:$A$6,Bands!$B$2:$B$6)</f>
        <v>Needs Improvement</v>
      </c>
      <c r="V461" s="8" t="n">
        <f aca="false">IF(Q461="","",ROUND((Q461-B461)*24,1))</f>
        <v>120</v>
      </c>
    </row>
    <row r="462" customFormat="false" ht="15" hidden="false" customHeight="false" outlineLevel="0" collapsed="false">
      <c r="A462" s="3" t="s">
        <v>1054</v>
      </c>
      <c r="B462" s="5" t="n">
        <v>46167.4097222222</v>
      </c>
      <c r="C462" s="3" t="s">
        <v>39</v>
      </c>
      <c r="D462" s="3" t="s">
        <v>119</v>
      </c>
      <c r="E462" s="3" t="s">
        <v>120</v>
      </c>
      <c r="F462" s="3" t="s">
        <v>33</v>
      </c>
      <c r="G462" s="3" t="s">
        <v>54</v>
      </c>
      <c r="H462" s="3" t="s">
        <v>1055</v>
      </c>
      <c r="I462" s="3" t="n">
        <v>4</v>
      </c>
      <c r="J462" s="3" t="n">
        <v>5</v>
      </c>
      <c r="K462" s="3" t="n">
        <v>3</v>
      </c>
      <c r="L462" s="3" t="n">
        <v>4</v>
      </c>
      <c r="M462" s="3" t="n">
        <v>4</v>
      </c>
      <c r="N462" s="3" t="n">
        <v>3</v>
      </c>
      <c r="O462" s="6" t="b">
        <f aca="false">FALSE()</f>
        <v>0</v>
      </c>
      <c r="P462" s="3"/>
      <c r="Q462" s="5" t="n">
        <v>46171.4097222222</v>
      </c>
      <c r="R462" s="5" t="n">
        <v>46171.4215277778</v>
      </c>
      <c r="S462" s="3" t="s">
        <v>37</v>
      </c>
      <c r="T462" s="7" t="n">
        <f aca="false">ROUND(MIN(IF(OR(O462=TRUE(),O462="TRUE",O462="Yes"),59,100),(I462*Rubric!$C$2+J462*Rubric!$C$3+K462*Rubric!$C$4+L462*Rubric!$C$5+M462*Rubric!$C$6+N462*Rubric!$C$7)/5),1)</f>
        <v>78</v>
      </c>
      <c r="U462" s="8" t="str">
        <f aca="false">LOOKUP(T462,Bands!$A$2:$A$6,Bands!$B$2:$B$6)</f>
        <v>Meets Expectations</v>
      </c>
      <c r="V462" s="8" t="n">
        <f aca="false">IF(Q462="","",ROUND((Q462-B462)*24,1))</f>
        <v>96</v>
      </c>
    </row>
    <row r="463" customFormat="false" ht="15" hidden="false" customHeight="false" outlineLevel="0" collapsed="false">
      <c r="A463" s="3" t="s">
        <v>1056</v>
      </c>
      <c r="B463" s="5" t="n">
        <v>46167.4152777778</v>
      </c>
      <c r="C463" s="3" t="s">
        <v>68</v>
      </c>
      <c r="D463" s="3" t="s">
        <v>366</v>
      </c>
      <c r="E463" s="3" t="s">
        <v>367</v>
      </c>
      <c r="F463" s="3" t="s">
        <v>53</v>
      </c>
      <c r="G463" s="3" t="s">
        <v>34</v>
      </c>
      <c r="H463" s="3" t="s">
        <v>1057</v>
      </c>
      <c r="I463" s="3" t="n">
        <v>5</v>
      </c>
      <c r="J463" s="3" t="n">
        <v>4</v>
      </c>
      <c r="K463" s="3" t="n">
        <v>1</v>
      </c>
      <c r="L463" s="3" t="n">
        <v>3</v>
      </c>
      <c r="M463" s="3" t="n">
        <v>5</v>
      </c>
      <c r="N463" s="3" t="n">
        <v>4</v>
      </c>
      <c r="O463" s="6" t="b">
        <f aca="false">FALSE()</f>
        <v>0</v>
      </c>
      <c r="P463" s="3" t="s">
        <v>49</v>
      </c>
      <c r="Q463" s="5" t="n">
        <v>46173.4152777778</v>
      </c>
      <c r="R463" s="5" t="n">
        <v>46174.3520833333</v>
      </c>
      <c r="S463" s="3" t="s">
        <v>37</v>
      </c>
      <c r="T463" s="7" t="n">
        <f aca="false">ROUND(MIN(IF(OR(O463=TRUE(),O463="TRUE",O463="Yes"),59,100),(I463*Rubric!$C$2+J463*Rubric!$C$3+K463*Rubric!$C$4+L463*Rubric!$C$5+M463*Rubric!$C$6+N463*Rubric!$C$7)/5),1)</f>
        <v>70</v>
      </c>
      <c r="U463" s="8" t="str">
        <f aca="false">LOOKUP(T463,Bands!$A$2:$A$6,Bands!$B$2:$B$6)</f>
        <v>Meets Expectations</v>
      </c>
      <c r="V463" s="8" t="n">
        <f aca="false">IF(Q463="","",ROUND((Q463-B463)*24,1))</f>
        <v>144</v>
      </c>
    </row>
    <row r="464" customFormat="false" ht="15" hidden="false" customHeight="false" outlineLevel="0" collapsed="false">
      <c r="A464" s="3" t="s">
        <v>1058</v>
      </c>
      <c r="B464" s="5" t="n">
        <v>46167.4215277778</v>
      </c>
      <c r="C464" s="3" t="s">
        <v>30</v>
      </c>
      <c r="D464" s="3" t="s">
        <v>90</v>
      </c>
      <c r="E464" s="3" t="s">
        <v>91</v>
      </c>
      <c r="F464" s="3" t="s">
        <v>65</v>
      </c>
      <c r="G464" s="3" t="s">
        <v>42</v>
      </c>
      <c r="H464" s="3" t="s">
        <v>1059</v>
      </c>
      <c r="I464" s="3" t="n">
        <v>5</v>
      </c>
      <c r="J464" s="3" t="n">
        <v>4</v>
      </c>
      <c r="K464" s="3" t="n">
        <v>4</v>
      </c>
      <c r="L464" s="3" t="n">
        <v>4</v>
      </c>
      <c r="M464" s="3" t="n">
        <v>4</v>
      </c>
      <c r="N464" s="3" t="n">
        <v>4</v>
      </c>
      <c r="O464" s="6" t="b">
        <f aca="false">FALSE()</f>
        <v>0</v>
      </c>
      <c r="P464" s="3"/>
      <c r="Q464" s="5" t="n">
        <v>46170.4215277778</v>
      </c>
      <c r="R464" s="5" t="n">
        <v>46172.1611111111</v>
      </c>
      <c r="S464" s="3" t="s">
        <v>37</v>
      </c>
      <c r="T464" s="7" t="n">
        <f aca="false">ROUND(MIN(IF(OR(O464=TRUE(),O464="TRUE",O464="Yes"),59,100),(I464*Rubric!$C$2+J464*Rubric!$C$3+K464*Rubric!$C$4+L464*Rubric!$C$5+M464*Rubric!$C$6+N464*Rubric!$C$7)/5),1)</f>
        <v>83</v>
      </c>
      <c r="U464" s="8" t="str">
        <f aca="false">LOOKUP(T464,Bands!$A$2:$A$6,Bands!$B$2:$B$6)</f>
        <v>Solid Performance</v>
      </c>
      <c r="V464" s="8" t="n">
        <f aca="false">IF(Q464="","",ROUND((Q464-B464)*24,1))</f>
        <v>72</v>
      </c>
    </row>
    <row r="465" customFormat="false" ht="15" hidden="false" customHeight="false" outlineLevel="0" collapsed="false">
      <c r="A465" s="3" t="s">
        <v>1060</v>
      </c>
      <c r="B465" s="5" t="n">
        <v>46167.5097222222</v>
      </c>
      <c r="C465" s="3" t="s">
        <v>68</v>
      </c>
      <c r="D465" s="3" t="s">
        <v>63</v>
      </c>
      <c r="E465" s="3" t="s">
        <v>64</v>
      </c>
      <c r="F465" s="3" t="s">
        <v>65</v>
      </c>
      <c r="G465" s="3" t="s">
        <v>42</v>
      </c>
      <c r="H465" s="3" t="s">
        <v>1061</v>
      </c>
      <c r="I465" s="3" t="n">
        <v>4</v>
      </c>
      <c r="J465" s="3" t="n">
        <v>5</v>
      </c>
      <c r="K465" s="3" t="n">
        <v>3</v>
      </c>
      <c r="L465" s="3" t="n">
        <v>5</v>
      </c>
      <c r="M465" s="3" t="n">
        <v>4</v>
      </c>
      <c r="N465" s="3" t="n">
        <v>4</v>
      </c>
      <c r="O465" s="6" t="b">
        <f aca="false">FALSE()</f>
        <v>0</v>
      </c>
      <c r="P465" s="3"/>
      <c r="Q465" s="5" t="n">
        <v>46171.5097222222</v>
      </c>
      <c r="R465" s="5" t="n">
        <v>46175.8909722222</v>
      </c>
      <c r="S465" s="3" t="s">
        <v>37</v>
      </c>
      <c r="T465" s="7" t="n">
        <f aca="false">ROUND(MIN(IF(OR(O465=TRUE(),O465="TRUE",O465="Yes"),59,100),(I465*Rubric!$C$2+J465*Rubric!$C$3+K465*Rubric!$C$4+L465*Rubric!$C$5+M465*Rubric!$C$6+N465*Rubric!$C$7)/5),1)</f>
        <v>84</v>
      </c>
      <c r="U465" s="8" t="str">
        <f aca="false">LOOKUP(T465,Bands!$A$2:$A$6,Bands!$B$2:$B$6)</f>
        <v>Solid Performance</v>
      </c>
      <c r="V465" s="8" t="n">
        <f aca="false">IF(Q465="","",ROUND((Q465-B465)*24,1))</f>
        <v>96</v>
      </c>
    </row>
    <row r="466" customFormat="false" ht="15" hidden="false" customHeight="false" outlineLevel="0" collapsed="false">
      <c r="A466" s="3" t="s">
        <v>1062</v>
      </c>
      <c r="B466" s="5" t="n">
        <v>46167.4402777778</v>
      </c>
      <c r="C466" s="3" t="s">
        <v>30</v>
      </c>
      <c r="D466" s="3" t="s">
        <v>100</v>
      </c>
      <c r="E466" s="3" t="s">
        <v>101</v>
      </c>
      <c r="F466" s="3" t="s">
        <v>33</v>
      </c>
      <c r="G466" s="3" t="s">
        <v>34</v>
      </c>
      <c r="H466" s="3" t="s">
        <v>1063</v>
      </c>
      <c r="I466" s="3" t="n">
        <v>5</v>
      </c>
      <c r="J466" s="3" t="n">
        <v>5</v>
      </c>
      <c r="K466" s="3" t="n">
        <v>5</v>
      </c>
      <c r="L466" s="3" t="n">
        <v>4</v>
      </c>
      <c r="M466" s="3" t="n">
        <v>2</v>
      </c>
      <c r="N466" s="3" t="n">
        <v>5</v>
      </c>
      <c r="O466" s="6" t="b">
        <f aca="false">FALSE()</f>
        <v>0</v>
      </c>
      <c r="P466" s="3" t="s">
        <v>103</v>
      </c>
      <c r="Q466" s="5" t="n">
        <v>46172.4402777778</v>
      </c>
      <c r="R466" s="5" t="n">
        <v>46172.7819444445</v>
      </c>
      <c r="S466" s="3" t="s">
        <v>37</v>
      </c>
      <c r="T466" s="7" t="n">
        <f aca="false">ROUND(MIN(IF(OR(O466=TRUE(),O466="TRUE",O466="Yes"),59,100),(I466*Rubric!$C$2+J466*Rubric!$C$3+K466*Rubric!$C$4+L466*Rubric!$C$5+M466*Rubric!$C$6+N466*Rubric!$C$7)/5),1)</f>
        <v>91</v>
      </c>
      <c r="U466" s="8" t="str">
        <f aca="false">LOOKUP(T466,Bands!$A$2:$A$6,Bands!$B$2:$B$6)</f>
        <v>Outstanding</v>
      </c>
      <c r="V466" s="8" t="n">
        <f aca="false">IF(Q466="","",ROUND((Q466-B466)*24,1))</f>
        <v>120</v>
      </c>
    </row>
    <row r="467" customFormat="false" ht="15" hidden="false" customHeight="false" outlineLevel="0" collapsed="false">
      <c r="A467" s="3" t="s">
        <v>1064</v>
      </c>
      <c r="B467" s="5" t="n">
        <v>46167.5347222222</v>
      </c>
      <c r="C467" s="3" t="s">
        <v>68</v>
      </c>
      <c r="D467" s="3" t="s">
        <v>167</v>
      </c>
      <c r="E467" s="3" t="s">
        <v>168</v>
      </c>
      <c r="F467" s="3" t="s">
        <v>33</v>
      </c>
      <c r="G467" s="3" t="s">
        <v>42</v>
      </c>
      <c r="H467" s="3" t="s">
        <v>1065</v>
      </c>
      <c r="I467" s="3" t="n">
        <v>3</v>
      </c>
      <c r="J467" s="3" t="n">
        <v>3</v>
      </c>
      <c r="K467" s="3" t="n">
        <v>4</v>
      </c>
      <c r="L467" s="3" t="n">
        <v>3</v>
      </c>
      <c r="M467" s="3" t="n">
        <v>5</v>
      </c>
      <c r="N467" s="3" t="n">
        <v>4</v>
      </c>
      <c r="O467" s="6" t="b">
        <f aca="false">FALSE()</f>
        <v>0</v>
      </c>
      <c r="P467" s="3"/>
      <c r="Q467" s="5" t="n">
        <v>46176.5347222222</v>
      </c>
      <c r="R467" s="5" t="n">
        <v>46177.71875</v>
      </c>
      <c r="S467" s="3" t="s">
        <v>37</v>
      </c>
      <c r="T467" s="7" t="n">
        <f aca="false">ROUND(MIN(IF(OR(O467=TRUE(),O467="TRUE",O467="Yes"),59,100),(I467*Rubric!$C$2+J467*Rubric!$C$3+K467*Rubric!$C$4+L467*Rubric!$C$5+M467*Rubric!$C$6+N467*Rubric!$C$7)/5),1)</f>
        <v>71</v>
      </c>
      <c r="U467" s="8" t="str">
        <f aca="false">LOOKUP(T467,Bands!$A$2:$A$6,Bands!$B$2:$B$6)</f>
        <v>Meets Expectations</v>
      </c>
      <c r="V467" s="8" t="n">
        <f aca="false">IF(Q467="","",ROUND((Q467-B467)*24,1))</f>
        <v>216</v>
      </c>
    </row>
    <row r="468" customFormat="false" ht="15" hidden="false" customHeight="false" outlineLevel="0" collapsed="false">
      <c r="A468" s="3" t="s">
        <v>1066</v>
      </c>
      <c r="B468" s="5" t="n">
        <v>46167.4166666667</v>
      </c>
      <c r="C468" s="3" t="s">
        <v>39</v>
      </c>
      <c r="D468" s="3" t="s">
        <v>293</v>
      </c>
      <c r="E468" s="3" t="s">
        <v>294</v>
      </c>
      <c r="F468" s="3" t="s">
        <v>65</v>
      </c>
      <c r="G468" s="3" t="s">
        <v>54</v>
      </c>
      <c r="H468" s="3" t="s">
        <v>1067</v>
      </c>
      <c r="I468" s="3" t="n">
        <v>5</v>
      </c>
      <c r="J468" s="3" t="n">
        <v>5</v>
      </c>
      <c r="K468" s="3" t="n">
        <v>5</v>
      </c>
      <c r="L468" s="3" t="n">
        <v>2</v>
      </c>
      <c r="M468" s="3" t="n">
        <v>4</v>
      </c>
      <c r="N468" s="3" t="n">
        <v>5</v>
      </c>
      <c r="O468" s="6" t="b">
        <f aca="false">FALSE()</f>
        <v>0</v>
      </c>
      <c r="P468" s="3" t="s">
        <v>44</v>
      </c>
      <c r="Q468" s="5" t="n">
        <v>46179.4166666667</v>
      </c>
      <c r="R468" s="5" t="n">
        <v>46179.8243055556</v>
      </c>
      <c r="S468" s="3" t="s">
        <v>37</v>
      </c>
      <c r="T468" s="7" t="n">
        <f aca="false">ROUND(MIN(IF(OR(O468=TRUE(),O468="TRUE",O468="Yes"),59,100),(I468*Rubric!$C$2+J468*Rubric!$C$3+K468*Rubric!$C$4+L468*Rubric!$C$5+M468*Rubric!$C$6+N468*Rubric!$C$7)/5),1)</f>
        <v>89</v>
      </c>
      <c r="U468" s="8" t="str">
        <f aca="false">LOOKUP(T468,Bands!$A$2:$A$6,Bands!$B$2:$B$6)</f>
        <v>Solid Performance</v>
      </c>
      <c r="V468" s="8" t="n">
        <f aca="false">IF(Q468="","",ROUND((Q468-B468)*24,1))</f>
        <v>288</v>
      </c>
    </row>
    <row r="469" customFormat="false" ht="15" hidden="false" customHeight="false" outlineLevel="0" collapsed="false">
      <c r="A469" s="3" t="s">
        <v>1068</v>
      </c>
      <c r="B469" s="5" t="n">
        <v>46167.6479166667</v>
      </c>
      <c r="C469" s="3" t="s">
        <v>30</v>
      </c>
      <c r="D469" s="3" t="s">
        <v>58</v>
      </c>
      <c r="E469" s="3" t="s">
        <v>59</v>
      </c>
      <c r="F469" s="3" t="s">
        <v>53</v>
      </c>
      <c r="G469" s="3" t="s">
        <v>54</v>
      </c>
      <c r="H469" s="3" t="s">
        <v>1069</v>
      </c>
      <c r="I469" s="3" t="n">
        <v>3</v>
      </c>
      <c r="J469" s="3" t="n">
        <v>3</v>
      </c>
      <c r="K469" s="3" t="n">
        <v>3</v>
      </c>
      <c r="L469" s="3" t="n">
        <v>4</v>
      </c>
      <c r="M469" s="3" t="n">
        <v>4</v>
      </c>
      <c r="N469" s="3" t="n">
        <v>3</v>
      </c>
      <c r="O469" s="6" t="b">
        <f aca="false">FALSE()</f>
        <v>0</v>
      </c>
      <c r="P469" s="3"/>
      <c r="Q469" s="5" t="n">
        <v>46172.6479166667</v>
      </c>
      <c r="R469" s="5" t="n">
        <v>46172.9152777778</v>
      </c>
      <c r="S469" s="3" t="s">
        <v>37</v>
      </c>
      <c r="T469" s="7" t="n">
        <f aca="false">ROUND(MIN(IF(OR(O469=TRUE(),O469="TRUE",O469="Yes"),59,100),(I469*Rubric!$C$2+J469*Rubric!$C$3+K469*Rubric!$C$4+L469*Rubric!$C$5+M469*Rubric!$C$6+N469*Rubric!$C$7)/5),1)</f>
        <v>65</v>
      </c>
      <c r="U469" s="8" t="str">
        <f aca="false">LOOKUP(T469,Bands!$A$2:$A$6,Bands!$B$2:$B$6)</f>
        <v>Needs Improvement</v>
      </c>
      <c r="V469" s="8" t="n">
        <f aca="false">IF(Q469="","",ROUND((Q469-B469)*24,1))</f>
        <v>120</v>
      </c>
    </row>
    <row r="470" customFormat="false" ht="15" hidden="false" customHeight="false" outlineLevel="0" collapsed="false">
      <c r="A470" s="3" t="s">
        <v>1070</v>
      </c>
      <c r="B470" s="5" t="n">
        <v>46168.6159722222</v>
      </c>
      <c r="C470" s="3" t="s">
        <v>30</v>
      </c>
      <c r="D470" s="3" t="s">
        <v>115</v>
      </c>
      <c r="E470" s="3" t="s">
        <v>116</v>
      </c>
      <c r="F470" s="3" t="s">
        <v>33</v>
      </c>
      <c r="G470" s="3" t="s">
        <v>54</v>
      </c>
      <c r="H470" s="3" t="s">
        <v>1071</v>
      </c>
      <c r="I470" s="3" t="n">
        <v>4</v>
      </c>
      <c r="J470" s="3" t="n">
        <v>4</v>
      </c>
      <c r="K470" s="3" t="n">
        <v>4</v>
      </c>
      <c r="L470" s="3" t="n">
        <v>5</v>
      </c>
      <c r="M470" s="3" t="n">
        <v>4</v>
      </c>
      <c r="N470" s="3" t="n">
        <v>4</v>
      </c>
      <c r="O470" s="6" t="b">
        <f aca="false">FALSE()</f>
        <v>0</v>
      </c>
      <c r="P470" s="3"/>
      <c r="Q470" s="5" t="n">
        <v>46171.6159722222</v>
      </c>
      <c r="R470" s="5" t="n">
        <v>46174.7798611111</v>
      </c>
      <c r="S470" s="3" t="s">
        <v>37</v>
      </c>
      <c r="T470" s="7" t="n">
        <f aca="false">ROUND(MIN(IF(OR(O470=TRUE(),O470="TRUE",O470="Yes"),59,100),(I470*Rubric!$C$2+J470*Rubric!$C$3+K470*Rubric!$C$4+L470*Rubric!$C$5+M470*Rubric!$C$6+N470*Rubric!$C$7)/5),1)</f>
        <v>83</v>
      </c>
      <c r="U470" s="8" t="str">
        <f aca="false">LOOKUP(T470,Bands!$A$2:$A$6,Bands!$B$2:$B$6)</f>
        <v>Solid Performance</v>
      </c>
      <c r="V470" s="8" t="n">
        <f aca="false">IF(Q470="","",ROUND((Q470-B470)*24,1))</f>
        <v>72</v>
      </c>
    </row>
    <row r="471" customFormat="false" ht="15" hidden="false" customHeight="false" outlineLevel="0" collapsed="false">
      <c r="A471" s="3" t="s">
        <v>1072</v>
      </c>
      <c r="B471" s="5" t="n">
        <v>46168.4875</v>
      </c>
      <c r="C471" s="3" t="s">
        <v>68</v>
      </c>
      <c r="D471" s="3" t="s">
        <v>238</v>
      </c>
      <c r="E471" s="3" t="s">
        <v>239</v>
      </c>
      <c r="F471" s="3" t="s">
        <v>33</v>
      </c>
      <c r="G471" s="3" t="s">
        <v>54</v>
      </c>
      <c r="H471" s="3" t="s">
        <v>1073</v>
      </c>
      <c r="I471" s="3" t="n">
        <v>4</v>
      </c>
      <c r="J471" s="3" t="n">
        <v>4</v>
      </c>
      <c r="K471" s="3" t="n">
        <v>4</v>
      </c>
      <c r="L471" s="3" t="n">
        <v>4</v>
      </c>
      <c r="M471" s="3" t="n">
        <v>3</v>
      </c>
      <c r="N471" s="3" t="n">
        <v>4</v>
      </c>
      <c r="O471" s="6" t="b">
        <f aca="false">FALSE()</f>
        <v>0</v>
      </c>
      <c r="P471" s="3"/>
      <c r="Q471" s="5" t="n">
        <v>46171.4875</v>
      </c>
      <c r="R471" s="5" t="n">
        <v>46172.9729166667</v>
      </c>
      <c r="S471" s="3" t="s">
        <v>37</v>
      </c>
      <c r="T471" s="7" t="n">
        <f aca="false">ROUND(MIN(IF(OR(O471=TRUE(),O471="TRUE",O471="Yes"),59,100),(I471*Rubric!$C$2+J471*Rubric!$C$3+K471*Rubric!$C$4+L471*Rubric!$C$5+M471*Rubric!$C$6+N471*Rubric!$C$7)/5),1)</f>
        <v>78</v>
      </c>
      <c r="U471" s="8" t="str">
        <f aca="false">LOOKUP(T471,Bands!$A$2:$A$6,Bands!$B$2:$B$6)</f>
        <v>Meets Expectations</v>
      </c>
      <c r="V471" s="8" t="n">
        <f aca="false">IF(Q471="","",ROUND((Q471-B471)*24,1))</f>
        <v>72</v>
      </c>
    </row>
    <row r="472" customFormat="false" ht="15" hidden="false" customHeight="false" outlineLevel="0" collapsed="false">
      <c r="A472" s="3" t="s">
        <v>1074</v>
      </c>
      <c r="B472" s="5" t="n">
        <v>46168.4458333333</v>
      </c>
      <c r="C472" s="3" t="s">
        <v>30</v>
      </c>
      <c r="D472" s="3" t="s">
        <v>161</v>
      </c>
      <c r="E472" s="3" t="s">
        <v>162</v>
      </c>
      <c r="F472" s="3" t="s">
        <v>33</v>
      </c>
      <c r="G472" s="3" t="s">
        <v>54</v>
      </c>
      <c r="H472" s="3" t="s">
        <v>1075</v>
      </c>
      <c r="I472" s="3" t="n">
        <v>4</v>
      </c>
      <c r="J472" s="3" t="n">
        <v>4</v>
      </c>
      <c r="K472" s="3" t="n">
        <v>3</v>
      </c>
      <c r="L472" s="3" t="n">
        <v>4</v>
      </c>
      <c r="M472" s="3" t="n">
        <v>3</v>
      </c>
      <c r="N472" s="3" t="n">
        <v>4</v>
      </c>
      <c r="O472" s="6" t="b">
        <f aca="false">FALSE()</f>
        <v>0</v>
      </c>
      <c r="P472" s="3"/>
      <c r="Q472" s="5" t="n">
        <v>46173.4458333333</v>
      </c>
      <c r="R472" s="5" t="n">
        <v>46173.5659722222</v>
      </c>
      <c r="S472" s="3" t="s">
        <v>37</v>
      </c>
      <c r="T472" s="7" t="n">
        <f aca="false">ROUND(MIN(IF(OR(O472=TRUE(),O472="TRUE",O472="Yes"),59,100),(I472*Rubric!$C$2+J472*Rubric!$C$3+K472*Rubric!$C$4+L472*Rubric!$C$5+M472*Rubric!$C$6+N472*Rubric!$C$7)/5),1)</f>
        <v>74</v>
      </c>
      <c r="U472" s="8" t="str">
        <f aca="false">LOOKUP(T472,Bands!$A$2:$A$6,Bands!$B$2:$B$6)</f>
        <v>Meets Expectations</v>
      </c>
      <c r="V472" s="8" t="n">
        <f aca="false">IF(Q472="","",ROUND((Q472-B472)*24,1))</f>
        <v>120</v>
      </c>
    </row>
    <row r="473" customFormat="false" ht="15" hidden="false" customHeight="false" outlineLevel="0" collapsed="false">
      <c r="A473" s="3" t="s">
        <v>1076</v>
      </c>
      <c r="B473" s="5" t="n">
        <v>46168.4743055556</v>
      </c>
      <c r="C473" s="3" t="s">
        <v>30</v>
      </c>
      <c r="D473" s="3" t="s">
        <v>137</v>
      </c>
      <c r="E473" s="3" t="s">
        <v>138</v>
      </c>
      <c r="F473" s="3" t="s">
        <v>65</v>
      </c>
      <c r="G473" s="3" t="s">
        <v>42</v>
      </c>
      <c r="H473" s="3" t="s">
        <v>1077</v>
      </c>
      <c r="I473" s="3" t="n">
        <v>4</v>
      </c>
      <c r="J473" s="3" t="n">
        <v>5</v>
      </c>
      <c r="K473" s="3" t="n">
        <v>5</v>
      </c>
      <c r="L473" s="3" t="n">
        <v>5</v>
      </c>
      <c r="M473" s="3" t="n">
        <v>5</v>
      </c>
      <c r="N473" s="3" t="n">
        <v>4</v>
      </c>
      <c r="O473" s="6" t="b">
        <f aca="false">FALSE()</f>
        <v>0</v>
      </c>
      <c r="P473" s="3"/>
      <c r="Q473" s="5" t="n">
        <v>46175.4743055556</v>
      </c>
      <c r="R473" s="5" t="n">
        <v>46177.9013888889</v>
      </c>
      <c r="S473" s="3" t="s">
        <v>37</v>
      </c>
      <c r="T473" s="7" t="n">
        <f aca="false">ROUND(MIN(IF(OR(O473=TRUE(),O473="TRUE",O473="Yes"),59,100),(I473*Rubric!$C$2+J473*Rubric!$C$3+K473*Rubric!$C$4+L473*Rubric!$C$5+M473*Rubric!$C$6+N473*Rubric!$C$7)/5),1)</f>
        <v>94</v>
      </c>
      <c r="U473" s="8" t="str">
        <f aca="false">LOOKUP(T473,Bands!$A$2:$A$6,Bands!$B$2:$B$6)</f>
        <v>Outstanding</v>
      </c>
      <c r="V473" s="8" t="n">
        <f aca="false">IF(Q473="","",ROUND((Q473-B473)*24,1))</f>
        <v>168</v>
      </c>
    </row>
    <row r="474" customFormat="false" ht="15" hidden="false" customHeight="false" outlineLevel="0" collapsed="false">
      <c r="A474" s="3" t="s">
        <v>1078</v>
      </c>
      <c r="B474" s="5" t="n">
        <v>46168.4847222222</v>
      </c>
      <c r="C474" s="3" t="s">
        <v>68</v>
      </c>
      <c r="D474" s="3" t="s">
        <v>73</v>
      </c>
      <c r="E474" s="3" t="s">
        <v>74</v>
      </c>
      <c r="F474" s="3" t="s">
        <v>33</v>
      </c>
      <c r="G474" s="3" t="s">
        <v>42</v>
      </c>
      <c r="H474" s="3" t="s">
        <v>1079</v>
      </c>
      <c r="I474" s="3" t="n">
        <v>5</v>
      </c>
      <c r="J474" s="3" t="n">
        <v>3</v>
      </c>
      <c r="K474" s="3" t="n">
        <v>3</v>
      </c>
      <c r="L474" s="3" t="n">
        <v>4</v>
      </c>
      <c r="M474" s="3" t="n">
        <v>5</v>
      </c>
      <c r="N474" s="3" t="n">
        <v>4</v>
      </c>
      <c r="O474" s="6" t="b">
        <f aca="false">FALSE()</f>
        <v>0</v>
      </c>
      <c r="P474" s="3"/>
      <c r="Q474" s="5" t="n">
        <v>46171.4847222222</v>
      </c>
      <c r="R474" s="5" t="n">
        <v>46175.6638888889</v>
      </c>
      <c r="S474" s="3" t="s">
        <v>37</v>
      </c>
      <c r="T474" s="7" t="n">
        <f aca="false">ROUND(MIN(IF(OR(O474=TRUE(),O474="TRUE",O474="Yes"),59,100),(I474*Rubric!$C$2+J474*Rubric!$C$3+K474*Rubric!$C$4+L474*Rubric!$C$5+M474*Rubric!$C$6+N474*Rubric!$C$7)/5),1)</f>
        <v>76</v>
      </c>
      <c r="U474" s="8" t="str">
        <f aca="false">LOOKUP(T474,Bands!$A$2:$A$6,Bands!$B$2:$B$6)</f>
        <v>Meets Expectations</v>
      </c>
      <c r="V474" s="8" t="n">
        <f aca="false">IF(Q474="","",ROUND((Q474-B474)*24,1))</f>
        <v>72</v>
      </c>
    </row>
    <row r="475" customFormat="false" ht="15" hidden="false" customHeight="false" outlineLevel="0" collapsed="false">
      <c r="A475" s="3" t="s">
        <v>1080</v>
      </c>
      <c r="B475" s="5" t="n">
        <v>46168.5777777778</v>
      </c>
      <c r="C475" s="3" t="s">
        <v>68</v>
      </c>
      <c r="D475" s="3" t="s">
        <v>145</v>
      </c>
      <c r="E475" s="3" t="s">
        <v>146</v>
      </c>
      <c r="F475" s="3" t="s">
        <v>33</v>
      </c>
      <c r="G475" s="3" t="s">
        <v>34</v>
      </c>
      <c r="H475" s="3" t="s">
        <v>1081</v>
      </c>
      <c r="I475" s="3" t="n">
        <v>5</v>
      </c>
      <c r="J475" s="3" t="n">
        <v>3</v>
      </c>
      <c r="K475" s="3" t="n">
        <v>4</v>
      </c>
      <c r="L475" s="3" t="n">
        <v>3</v>
      </c>
      <c r="M475" s="3" t="n">
        <v>3</v>
      </c>
      <c r="N475" s="3" t="n">
        <v>1</v>
      </c>
      <c r="O475" s="6" t="b">
        <f aca="false">TRUE()</f>
        <v>1</v>
      </c>
      <c r="P475" s="3" t="s">
        <v>36</v>
      </c>
      <c r="Q475" s="5" t="n">
        <v>46171.5777777778</v>
      </c>
      <c r="R475" s="5" t="n">
        <v>46172.0159722222</v>
      </c>
      <c r="S475" s="3" t="s">
        <v>37</v>
      </c>
      <c r="T475" s="7" t="n">
        <f aca="false">ROUND(MIN(IF(OR(O475=TRUE(),O475="TRUE",O475="Yes"),59,100),(I475*Rubric!$C$2+J475*Rubric!$C$3+K475*Rubric!$C$4+L475*Rubric!$C$5+M475*Rubric!$C$6+N475*Rubric!$C$7)/5),1)</f>
        <v>59</v>
      </c>
      <c r="U475" s="8" t="str">
        <f aca="false">LOOKUP(T475,Bands!$A$2:$A$6,Bands!$B$2:$B$6)</f>
        <v>Critical</v>
      </c>
      <c r="V475" s="8" t="n">
        <f aca="false">IF(Q475="","",ROUND((Q475-B475)*24,1))</f>
        <v>72</v>
      </c>
    </row>
    <row r="476" customFormat="false" ht="15" hidden="false" customHeight="false" outlineLevel="0" collapsed="false">
      <c r="A476" s="3" t="s">
        <v>1082</v>
      </c>
      <c r="B476" s="5" t="n">
        <v>46168.4131944445</v>
      </c>
      <c r="C476" s="3" t="s">
        <v>68</v>
      </c>
      <c r="D476" s="3" t="s">
        <v>81</v>
      </c>
      <c r="E476" s="3" t="s">
        <v>82</v>
      </c>
      <c r="F476" s="3" t="s">
        <v>65</v>
      </c>
      <c r="G476" s="3" t="s">
        <v>42</v>
      </c>
      <c r="H476" s="3" t="s">
        <v>1083</v>
      </c>
      <c r="I476" s="3" t="n">
        <v>5</v>
      </c>
      <c r="J476" s="3" t="n">
        <v>3</v>
      </c>
      <c r="K476" s="3" t="n">
        <v>5</v>
      </c>
      <c r="L476" s="3" t="n">
        <v>4</v>
      </c>
      <c r="M476" s="3" t="n">
        <v>4</v>
      </c>
      <c r="N476" s="3" t="n">
        <v>5</v>
      </c>
      <c r="O476" s="6" t="b">
        <f aca="false">FALSE()</f>
        <v>0</v>
      </c>
      <c r="P476" s="3"/>
      <c r="Q476" s="5" t="n">
        <v>46172.4131944445</v>
      </c>
      <c r="R476" s="5" t="n">
        <v>46172.6131944444</v>
      </c>
      <c r="S476" s="3" t="s">
        <v>37</v>
      </c>
      <c r="T476" s="7" t="n">
        <f aca="false">ROUND(MIN(IF(OR(O476=TRUE(),O476="TRUE",O476="Yes"),59,100),(I476*Rubric!$C$2+J476*Rubric!$C$3+K476*Rubric!$C$4+L476*Rubric!$C$5+M476*Rubric!$C$6+N476*Rubric!$C$7)/5),1)</f>
        <v>85</v>
      </c>
      <c r="U476" s="8" t="str">
        <f aca="false">LOOKUP(T476,Bands!$A$2:$A$6,Bands!$B$2:$B$6)</f>
        <v>Solid Performance</v>
      </c>
      <c r="V476" s="8" t="n">
        <f aca="false">IF(Q476="","",ROUND((Q476-B476)*24,1))</f>
        <v>96</v>
      </c>
    </row>
    <row r="477" customFormat="false" ht="15" hidden="false" customHeight="false" outlineLevel="0" collapsed="false">
      <c r="A477" s="3" t="s">
        <v>1084</v>
      </c>
      <c r="B477" s="5" t="n">
        <v>46168.375</v>
      </c>
      <c r="C477" s="3" t="s">
        <v>30</v>
      </c>
      <c r="D477" s="3" t="s">
        <v>307</v>
      </c>
      <c r="E477" s="3" t="s">
        <v>308</v>
      </c>
      <c r="F477" s="3" t="s">
        <v>33</v>
      </c>
      <c r="G477" s="3" t="s">
        <v>42</v>
      </c>
      <c r="H477" s="3" t="s">
        <v>1085</v>
      </c>
      <c r="I477" s="3" t="n">
        <v>5</v>
      </c>
      <c r="J477" s="3" t="n">
        <v>3</v>
      </c>
      <c r="K477" s="3" t="n">
        <v>5</v>
      </c>
      <c r="L477" s="3" t="n">
        <v>5</v>
      </c>
      <c r="M477" s="3" t="n">
        <v>5</v>
      </c>
      <c r="N477" s="3" t="n">
        <v>1</v>
      </c>
      <c r="O477" s="6" t="b">
        <f aca="false">TRUE()</f>
        <v>1</v>
      </c>
      <c r="P477" s="3" t="s">
        <v>36</v>
      </c>
      <c r="Q477" s="5" t="n">
        <v>46172.375</v>
      </c>
      <c r="R477" s="5" t="n">
        <v>46172.7638888889</v>
      </c>
      <c r="S477" s="3" t="s">
        <v>37</v>
      </c>
      <c r="T477" s="7" t="n">
        <f aca="false">ROUND(MIN(IF(OR(O477=TRUE(),O477="TRUE",O477="Yes"),59,100),(I477*Rubric!$C$2+J477*Rubric!$C$3+K477*Rubric!$C$4+L477*Rubric!$C$5+M477*Rubric!$C$6+N477*Rubric!$C$7)/5),1)</f>
        <v>59</v>
      </c>
      <c r="U477" s="8" t="str">
        <f aca="false">LOOKUP(T477,Bands!$A$2:$A$6,Bands!$B$2:$B$6)</f>
        <v>Critical</v>
      </c>
      <c r="V477" s="8" t="n">
        <f aca="false">IF(Q477="","",ROUND((Q477-B477)*24,1))</f>
        <v>96</v>
      </c>
    </row>
    <row r="478" customFormat="false" ht="15" hidden="false" customHeight="false" outlineLevel="0" collapsed="false">
      <c r="A478" s="3" t="s">
        <v>1086</v>
      </c>
      <c r="B478" s="5" t="n">
        <v>46168.5298611111</v>
      </c>
      <c r="C478" s="3" t="s">
        <v>68</v>
      </c>
      <c r="D478" s="3" t="s">
        <v>228</v>
      </c>
      <c r="E478" s="3" t="s">
        <v>229</v>
      </c>
      <c r="F478" s="3" t="s">
        <v>65</v>
      </c>
      <c r="G478" s="3" t="s">
        <v>42</v>
      </c>
      <c r="H478" s="3" t="s">
        <v>1087</v>
      </c>
      <c r="I478" s="3" t="n">
        <v>4</v>
      </c>
      <c r="J478" s="3" t="n">
        <v>4</v>
      </c>
      <c r="K478" s="3" t="n">
        <v>4</v>
      </c>
      <c r="L478" s="3" t="n">
        <v>4</v>
      </c>
      <c r="M478" s="3" t="n">
        <v>3</v>
      </c>
      <c r="N478" s="3" t="n">
        <v>3</v>
      </c>
      <c r="O478" s="6" t="b">
        <f aca="false">FALSE()</f>
        <v>0</v>
      </c>
      <c r="P478" s="3"/>
      <c r="Q478" s="5" t="n">
        <v>46171.5298611111</v>
      </c>
      <c r="R478" s="5" t="n">
        <v>46171.84375</v>
      </c>
      <c r="S478" s="3" t="s">
        <v>37</v>
      </c>
      <c r="T478" s="7" t="n">
        <f aca="false">ROUND(MIN(IF(OR(O478=TRUE(),O478="TRUE",O478="Yes"),59,100),(I478*Rubric!$C$2+J478*Rubric!$C$3+K478*Rubric!$C$4+L478*Rubric!$C$5+M478*Rubric!$C$6+N478*Rubric!$C$7)/5),1)</f>
        <v>75</v>
      </c>
      <c r="U478" s="8" t="str">
        <f aca="false">LOOKUP(T478,Bands!$A$2:$A$6,Bands!$B$2:$B$6)</f>
        <v>Meets Expectations</v>
      </c>
      <c r="V478" s="8" t="n">
        <f aca="false">IF(Q478="","",ROUND((Q478-B478)*24,1))</f>
        <v>72</v>
      </c>
    </row>
    <row r="479" customFormat="false" ht="15" hidden="false" customHeight="false" outlineLevel="0" collapsed="false">
      <c r="A479" s="3" t="s">
        <v>1088</v>
      </c>
      <c r="B479" s="5" t="n">
        <v>46168.4027777778</v>
      </c>
      <c r="C479" s="3" t="s">
        <v>30</v>
      </c>
      <c r="D479" s="3" t="s">
        <v>265</v>
      </c>
      <c r="E479" s="3" t="s">
        <v>266</v>
      </c>
      <c r="F479" s="3" t="s">
        <v>33</v>
      </c>
      <c r="G479" s="3" t="s">
        <v>42</v>
      </c>
      <c r="H479" s="3" t="s">
        <v>1089</v>
      </c>
      <c r="I479" s="3" t="n">
        <v>4</v>
      </c>
      <c r="J479" s="3" t="n">
        <v>1</v>
      </c>
      <c r="K479" s="3" t="n">
        <v>3</v>
      </c>
      <c r="L479" s="3" t="n">
        <v>3</v>
      </c>
      <c r="M479" s="3" t="n">
        <v>4</v>
      </c>
      <c r="N479" s="3" t="n">
        <v>3</v>
      </c>
      <c r="O479" s="6" t="b">
        <f aca="false">FALSE()</f>
        <v>0</v>
      </c>
      <c r="P479" s="3" t="s">
        <v>56</v>
      </c>
      <c r="Q479" s="5" t="n">
        <v>46172.4027777778</v>
      </c>
      <c r="R479" s="5" t="n">
        <v>46173.7340277778</v>
      </c>
      <c r="S479" s="3" t="s">
        <v>37</v>
      </c>
      <c r="T479" s="7" t="n">
        <f aca="false">ROUND(MIN(IF(OR(O479=TRUE(),O479="TRUE",O479="Yes"),59,100),(I479*Rubric!$C$2+J479*Rubric!$C$3+K479*Rubric!$C$4+L479*Rubric!$C$5+M479*Rubric!$C$6+N479*Rubric!$C$7)/5),1)</f>
        <v>55</v>
      </c>
      <c r="U479" s="8" t="str">
        <f aca="false">LOOKUP(T479,Bands!$A$2:$A$6,Bands!$B$2:$B$6)</f>
        <v>Critical</v>
      </c>
      <c r="V479" s="8" t="n">
        <f aca="false">IF(Q479="","",ROUND((Q479-B479)*24,1))</f>
        <v>96</v>
      </c>
    </row>
    <row r="480" customFormat="false" ht="15" hidden="false" customHeight="false" outlineLevel="0" collapsed="false">
      <c r="A480" s="3" t="s">
        <v>1090</v>
      </c>
      <c r="B480" s="5" t="n">
        <v>46168.6895833333</v>
      </c>
      <c r="C480" s="3" t="s">
        <v>39</v>
      </c>
      <c r="D480" s="3" t="s">
        <v>85</v>
      </c>
      <c r="E480" s="3" t="s">
        <v>86</v>
      </c>
      <c r="F480" s="3" t="s">
        <v>33</v>
      </c>
      <c r="G480" s="3" t="s">
        <v>34</v>
      </c>
      <c r="H480" s="3" t="s">
        <v>1091</v>
      </c>
      <c r="I480" s="3" t="n">
        <v>2</v>
      </c>
      <c r="J480" s="3" t="n">
        <v>4</v>
      </c>
      <c r="K480" s="3" t="n">
        <v>5</v>
      </c>
      <c r="L480" s="3" t="n">
        <v>4</v>
      </c>
      <c r="M480" s="3" t="n">
        <v>4</v>
      </c>
      <c r="N480" s="3" t="n">
        <v>4</v>
      </c>
      <c r="O480" s="6" t="b">
        <f aca="false">FALSE()</f>
        <v>0</v>
      </c>
      <c r="P480" s="3" t="s">
        <v>88</v>
      </c>
      <c r="Q480" s="5" t="n">
        <v>46175.6895833333</v>
      </c>
      <c r="R480" s="5" t="n">
        <v>46179.2979166667</v>
      </c>
      <c r="S480" s="3" t="s">
        <v>37</v>
      </c>
      <c r="T480" s="7" t="n">
        <f aca="false">ROUND(MIN(IF(OR(O480=TRUE(),O480="TRUE",O480="Yes"),59,100),(I480*Rubric!$C$2+J480*Rubric!$C$3+K480*Rubric!$C$4+L480*Rubric!$C$5+M480*Rubric!$C$6+N480*Rubric!$C$7)/5),1)</f>
        <v>78</v>
      </c>
      <c r="U480" s="8" t="str">
        <f aca="false">LOOKUP(T480,Bands!$A$2:$A$6,Bands!$B$2:$B$6)</f>
        <v>Meets Expectations</v>
      </c>
      <c r="V480" s="8" t="n">
        <f aca="false">IF(Q480="","",ROUND((Q480-B480)*24,1))</f>
        <v>168</v>
      </c>
    </row>
    <row r="481" customFormat="false" ht="15" hidden="false" customHeight="false" outlineLevel="0" collapsed="false">
      <c r="A481" s="3" t="s">
        <v>1092</v>
      </c>
      <c r="B481" s="5" t="n">
        <v>46168.5743055556</v>
      </c>
      <c r="C481" s="3" t="s">
        <v>30</v>
      </c>
      <c r="D481" s="3" t="s">
        <v>40</v>
      </c>
      <c r="E481" s="3" t="s">
        <v>41</v>
      </c>
      <c r="F481" s="3" t="s">
        <v>33</v>
      </c>
      <c r="G481" s="3" t="s">
        <v>42</v>
      </c>
      <c r="H481" s="3" t="s">
        <v>1093</v>
      </c>
      <c r="I481" s="3" t="n">
        <v>4</v>
      </c>
      <c r="J481" s="3" t="n">
        <v>4</v>
      </c>
      <c r="K481" s="3" t="n">
        <v>4</v>
      </c>
      <c r="L481" s="3" t="n">
        <v>2</v>
      </c>
      <c r="M481" s="3" t="n">
        <v>4</v>
      </c>
      <c r="N481" s="3" t="n">
        <v>4</v>
      </c>
      <c r="O481" s="6" t="b">
        <f aca="false">FALSE()</f>
        <v>0</v>
      </c>
      <c r="P481" s="3" t="s">
        <v>44</v>
      </c>
      <c r="Q481" s="5" t="n">
        <v>46174.5743055556</v>
      </c>
      <c r="R481" s="5" t="n">
        <v>46174.8423611111</v>
      </c>
      <c r="S481" s="3" t="s">
        <v>37</v>
      </c>
      <c r="T481" s="7" t="n">
        <f aca="false">ROUND(MIN(IF(OR(O481=TRUE(),O481="TRUE",O481="Yes"),59,100),(I481*Rubric!$C$2+J481*Rubric!$C$3+K481*Rubric!$C$4+L481*Rubric!$C$5+M481*Rubric!$C$6+N481*Rubric!$C$7)/5),1)</f>
        <v>74</v>
      </c>
      <c r="U481" s="8" t="str">
        <f aca="false">LOOKUP(T481,Bands!$A$2:$A$6,Bands!$B$2:$B$6)</f>
        <v>Meets Expectations</v>
      </c>
      <c r="V481" s="8" t="n">
        <f aca="false">IF(Q481="","",ROUND((Q481-B481)*24,1))</f>
        <v>144</v>
      </c>
    </row>
    <row r="482" customFormat="false" ht="15" hidden="false" customHeight="false" outlineLevel="0" collapsed="false">
      <c r="A482" s="3" t="s">
        <v>1094</v>
      </c>
      <c r="B482" s="5" t="n">
        <v>46169.5604166667</v>
      </c>
      <c r="C482" s="3" t="s">
        <v>30</v>
      </c>
      <c r="D482" s="3" t="s">
        <v>228</v>
      </c>
      <c r="E482" s="3" t="s">
        <v>229</v>
      </c>
      <c r="F482" s="3" t="s">
        <v>65</v>
      </c>
      <c r="G482" s="3" t="s">
        <v>42</v>
      </c>
      <c r="H482" s="3" t="s">
        <v>1095</v>
      </c>
      <c r="I482" s="3" t="n">
        <v>4</v>
      </c>
      <c r="J482" s="3" t="n">
        <v>4</v>
      </c>
      <c r="K482" s="3" t="n">
        <v>4</v>
      </c>
      <c r="L482" s="3" t="n">
        <v>3</v>
      </c>
      <c r="M482" s="3" t="n">
        <v>3</v>
      </c>
      <c r="N482" s="3" t="n">
        <v>3</v>
      </c>
      <c r="O482" s="6" t="b">
        <f aca="false">FALSE()</f>
        <v>0</v>
      </c>
      <c r="P482" s="3"/>
      <c r="Q482" s="5" t="n">
        <v>46178.5604166667</v>
      </c>
      <c r="R482" s="5" t="n">
        <v>46179.7479166667</v>
      </c>
      <c r="S482" s="3" t="s">
        <v>37</v>
      </c>
      <c r="T482" s="7" t="n">
        <f aca="false">ROUND(MIN(IF(OR(O482=TRUE(),O482="TRUE",O482="Yes"),59,100),(I482*Rubric!$C$2+J482*Rubric!$C$3+K482*Rubric!$C$4+L482*Rubric!$C$5+M482*Rubric!$C$6+N482*Rubric!$C$7)/5),1)</f>
        <v>72</v>
      </c>
      <c r="U482" s="8" t="str">
        <f aca="false">LOOKUP(T482,Bands!$A$2:$A$6,Bands!$B$2:$B$6)</f>
        <v>Meets Expectations</v>
      </c>
      <c r="V482" s="8" t="n">
        <f aca="false">IF(Q482="","",ROUND((Q482-B482)*24,1))</f>
        <v>216</v>
      </c>
    </row>
    <row r="483" customFormat="false" ht="15" hidden="false" customHeight="false" outlineLevel="0" collapsed="false">
      <c r="A483" s="3" t="s">
        <v>1096</v>
      </c>
      <c r="B483" s="5" t="n">
        <v>46169.5388888889</v>
      </c>
      <c r="C483" s="3" t="s">
        <v>30</v>
      </c>
      <c r="D483" s="3" t="s">
        <v>111</v>
      </c>
      <c r="E483" s="3" t="s">
        <v>112</v>
      </c>
      <c r="F483" s="3" t="s">
        <v>33</v>
      </c>
      <c r="G483" s="3" t="s">
        <v>54</v>
      </c>
      <c r="H483" s="3" t="s">
        <v>1097</v>
      </c>
      <c r="I483" s="3" t="n">
        <v>2</v>
      </c>
      <c r="J483" s="3" t="n">
        <v>5</v>
      </c>
      <c r="K483" s="3" t="n">
        <v>4</v>
      </c>
      <c r="L483" s="3" t="n">
        <v>4</v>
      </c>
      <c r="M483" s="3" t="n">
        <v>4</v>
      </c>
      <c r="N483" s="3" t="n">
        <v>3</v>
      </c>
      <c r="O483" s="6" t="b">
        <f aca="false">FALSE()</f>
        <v>0</v>
      </c>
      <c r="P483" s="3" t="s">
        <v>88</v>
      </c>
      <c r="Q483" s="5" t="n">
        <v>46175.5388888889</v>
      </c>
      <c r="R483" s="5" t="n">
        <v>46176.2430555556</v>
      </c>
      <c r="S483" s="3" t="s">
        <v>37</v>
      </c>
      <c r="T483" s="7" t="n">
        <f aca="false">ROUND(MIN(IF(OR(O483=TRUE(),O483="TRUE",O483="Yes"),59,100),(I483*Rubric!$C$2+J483*Rubric!$C$3+K483*Rubric!$C$4+L483*Rubric!$C$5+M483*Rubric!$C$6+N483*Rubric!$C$7)/5),1)</f>
        <v>76</v>
      </c>
      <c r="U483" s="8" t="str">
        <f aca="false">LOOKUP(T483,Bands!$A$2:$A$6,Bands!$B$2:$B$6)</f>
        <v>Meets Expectations</v>
      </c>
      <c r="V483" s="8" t="n">
        <f aca="false">IF(Q483="","",ROUND((Q483-B483)*24,1))</f>
        <v>144</v>
      </c>
    </row>
    <row r="484" customFormat="false" ht="15" hidden="false" customHeight="false" outlineLevel="0" collapsed="false">
      <c r="A484" s="3" t="s">
        <v>1098</v>
      </c>
      <c r="B484" s="5" t="n">
        <v>46169.4736111111</v>
      </c>
      <c r="C484" s="3" t="s">
        <v>30</v>
      </c>
      <c r="D484" s="3" t="s">
        <v>40</v>
      </c>
      <c r="E484" s="3" t="s">
        <v>41</v>
      </c>
      <c r="F484" s="3" t="s">
        <v>33</v>
      </c>
      <c r="G484" s="3" t="s">
        <v>54</v>
      </c>
      <c r="H484" s="3" t="s">
        <v>1099</v>
      </c>
      <c r="I484" s="3" t="n">
        <v>5</v>
      </c>
      <c r="J484" s="3" t="n">
        <v>3</v>
      </c>
      <c r="K484" s="3" t="n">
        <v>3</v>
      </c>
      <c r="L484" s="3" t="n">
        <v>3</v>
      </c>
      <c r="M484" s="3" t="n">
        <v>3</v>
      </c>
      <c r="N484" s="3" t="n">
        <v>3</v>
      </c>
      <c r="O484" s="6" t="b">
        <f aca="false">FALSE()</f>
        <v>0</v>
      </c>
      <c r="P484" s="3"/>
      <c r="Q484" s="5" t="n">
        <v>46173.4736111111</v>
      </c>
      <c r="R484" s="5" t="n">
        <v>46173.9979166667</v>
      </c>
      <c r="S484" s="3" t="s">
        <v>37</v>
      </c>
      <c r="T484" s="7" t="n">
        <f aca="false">ROUND(MIN(IF(OR(O484=TRUE(),O484="TRUE",O484="Yes"),59,100),(I484*Rubric!$C$2+J484*Rubric!$C$3+K484*Rubric!$C$4+L484*Rubric!$C$5+M484*Rubric!$C$6+N484*Rubric!$C$7)/5),1)</f>
        <v>66</v>
      </c>
      <c r="U484" s="8" t="str">
        <f aca="false">LOOKUP(T484,Bands!$A$2:$A$6,Bands!$B$2:$B$6)</f>
        <v>Needs Improvement</v>
      </c>
      <c r="V484" s="8" t="n">
        <f aca="false">IF(Q484="","",ROUND((Q484-B484)*24,1))</f>
        <v>96</v>
      </c>
    </row>
    <row r="485" customFormat="false" ht="15" hidden="false" customHeight="false" outlineLevel="0" collapsed="false">
      <c r="A485" s="3" t="s">
        <v>1100</v>
      </c>
      <c r="B485" s="5" t="n">
        <v>46169.5638888889</v>
      </c>
      <c r="C485" s="3" t="s">
        <v>30</v>
      </c>
      <c r="D485" s="3" t="s">
        <v>90</v>
      </c>
      <c r="E485" s="3" t="s">
        <v>91</v>
      </c>
      <c r="F485" s="3" t="s">
        <v>65</v>
      </c>
      <c r="G485" s="3" t="s">
        <v>42</v>
      </c>
      <c r="H485" s="3" t="s">
        <v>1101</v>
      </c>
      <c r="I485" s="3" t="n">
        <v>4</v>
      </c>
      <c r="J485" s="3" t="n">
        <v>3</v>
      </c>
      <c r="K485" s="3" t="n">
        <v>5</v>
      </c>
      <c r="L485" s="3" t="n">
        <v>3</v>
      </c>
      <c r="M485" s="3" t="n">
        <v>3</v>
      </c>
      <c r="N485" s="3" t="n">
        <v>4</v>
      </c>
      <c r="O485" s="6" t="b">
        <f aca="false">FALSE()</f>
        <v>0</v>
      </c>
      <c r="P485" s="3"/>
      <c r="Q485" s="5" t="n">
        <v>46174.5638888889</v>
      </c>
      <c r="R485" s="5" t="n">
        <v>46174.6569444445</v>
      </c>
      <c r="S485" s="3" t="s">
        <v>37</v>
      </c>
      <c r="T485" s="7" t="n">
        <f aca="false">ROUND(MIN(IF(OR(O485=TRUE(),O485="TRUE",O485="Yes"),59,100),(I485*Rubric!$C$2+J485*Rubric!$C$3+K485*Rubric!$C$4+L485*Rubric!$C$5+M485*Rubric!$C$6+N485*Rubric!$C$7)/5),1)</f>
        <v>74</v>
      </c>
      <c r="U485" s="8" t="str">
        <f aca="false">LOOKUP(T485,Bands!$A$2:$A$6,Bands!$B$2:$B$6)</f>
        <v>Meets Expectations</v>
      </c>
      <c r="V485" s="8" t="n">
        <f aca="false">IF(Q485="","",ROUND((Q485-B485)*24,1))</f>
        <v>120</v>
      </c>
    </row>
    <row r="486" customFormat="false" ht="15" hidden="false" customHeight="false" outlineLevel="0" collapsed="false">
      <c r="A486" s="3" t="s">
        <v>1102</v>
      </c>
      <c r="B486" s="5" t="n">
        <v>46169.5881944444</v>
      </c>
      <c r="C486" s="3" t="s">
        <v>39</v>
      </c>
      <c r="D486" s="3" t="s">
        <v>212</v>
      </c>
      <c r="E486" s="3" t="s">
        <v>213</v>
      </c>
      <c r="F486" s="3" t="s">
        <v>33</v>
      </c>
      <c r="G486" s="3" t="s">
        <v>34</v>
      </c>
      <c r="H486" s="3" t="s">
        <v>1103</v>
      </c>
      <c r="I486" s="3" t="n">
        <v>4</v>
      </c>
      <c r="J486" s="3" t="n">
        <v>4</v>
      </c>
      <c r="K486" s="3" t="n">
        <v>2</v>
      </c>
      <c r="L486" s="3" t="n">
        <v>3</v>
      </c>
      <c r="M486" s="3" t="n">
        <v>2</v>
      </c>
      <c r="N486" s="3" t="n">
        <v>3</v>
      </c>
      <c r="O486" s="6" t="b">
        <f aca="false">FALSE()</f>
        <v>0</v>
      </c>
      <c r="P486" s="3" t="s">
        <v>131</v>
      </c>
      <c r="Q486" s="5" t="n">
        <v>46174.5881944444</v>
      </c>
      <c r="R486" s="5" t="n">
        <v>46174.6340277778</v>
      </c>
      <c r="S486" s="3" t="s">
        <v>37</v>
      </c>
      <c r="T486" s="7" t="n">
        <f aca="false">ROUND(MIN(IF(OR(O486=TRUE(),O486="TRUE",O486="Yes"),59,100),(I486*Rubric!$C$2+J486*Rubric!$C$3+K486*Rubric!$C$4+L486*Rubric!$C$5+M486*Rubric!$C$6+N486*Rubric!$C$7)/5),1)</f>
        <v>62</v>
      </c>
      <c r="U486" s="8" t="str">
        <f aca="false">LOOKUP(T486,Bands!$A$2:$A$6,Bands!$B$2:$B$6)</f>
        <v>Needs Improvement</v>
      </c>
      <c r="V486" s="8" t="n">
        <f aca="false">IF(Q486="","",ROUND((Q486-B486)*24,1))</f>
        <v>120</v>
      </c>
    </row>
    <row r="487" customFormat="false" ht="15" hidden="false" customHeight="false" outlineLevel="0" collapsed="false">
      <c r="A487" s="3" t="s">
        <v>1104</v>
      </c>
      <c r="B487" s="5" t="n">
        <v>46169.5076388889</v>
      </c>
      <c r="C487" s="3" t="s">
        <v>30</v>
      </c>
      <c r="D487" s="3" t="s">
        <v>167</v>
      </c>
      <c r="E487" s="3" t="s">
        <v>168</v>
      </c>
      <c r="F487" s="3" t="s">
        <v>33</v>
      </c>
      <c r="G487" s="3" t="s">
        <v>54</v>
      </c>
      <c r="H487" s="3" t="s">
        <v>1105</v>
      </c>
      <c r="I487" s="3" t="n">
        <v>4</v>
      </c>
      <c r="J487" s="3" t="n">
        <v>3</v>
      </c>
      <c r="K487" s="3" t="n">
        <v>2</v>
      </c>
      <c r="L487" s="3" t="n">
        <v>3</v>
      </c>
      <c r="M487" s="3" t="n">
        <v>3</v>
      </c>
      <c r="N487" s="3" t="n">
        <v>3</v>
      </c>
      <c r="O487" s="6" t="b">
        <f aca="false">FALSE()</f>
        <v>0</v>
      </c>
      <c r="P487" s="3" t="s">
        <v>49</v>
      </c>
      <c r="Q487" s="5" t="n">
        <v>46181.5076388889</v>
      </c>
      <c r="R487" s="5" t="n">
        <v>46182.7548611111</v>
      </c>
      <c r="S487" s="3" t="s">
        <v>37</v>
      </c>
      <c r="T487" s="7" t="n">
        <f aca="false">ROUND(MIN(IF(OR(O487=TRUE(),O487="TRUE",O487="Yes"),59,100),(I487*Rubric!$C$2+J487*Rubric!$C$3+K487*Rubric!$C$4+L487*Rubric!$C$5+M487*Rubric!$C$6+N487*Rubric!$C$7)/5),1)</f>
        <v>59</v>
      </c>
      <c r="U487" s="8" t="str">
        <f aca="false">LOOKUP(T487,Bands!$A$2:$A$6,Bands!$B$2:$B$6)</f>
        <v>Critical</v>
      </c>
      <c r="V487" s="8" t="n">
        <f aca="false">IF(Q487="","",ROUND((Q487-B487)*24,1))</f>
        <v>288</v>
      </c>
    </row>
    <row r="488" customFormat="false" ht="15" hidden="false" customHeight="false" outlineLevel="0" collapsed="false">
      <c r="A488" s="3" t="s">
        <v>1106</v>
      </c>
      <c r="B488" s="5" t="n">
        <v>46169.6888888889</v>
      </c>
      <c r="C488" s="3" t="s">
        <v>68</v>
      </c>
      <c r="D488" s="3" t="s">
        <v>137</v>
      </c>
      <c r="E488" s="3" t="s">
        <v>138</v>
      </c>
      <c r="F488" s="3" t="s">
        <v>65</v>
      </c>
      <c r="G488" s="3" t="s">
        <v>54</v>
      </c>
      <c r="H488" s="3" t="s">
        <v>1107</v>
      </c>
      <c r="I488" s="3" t="n">
        <v>1</v>
      </c>
      <c r="J488" s="3" t="n">
        <v>5</v>
      </c>
      <c r="K488" s="3" t="n">
        <v>5</v>
      </c>
      <c r="L488" s="3" t="n">
        <v>5</v>
      </c>
      <c r="M488" s="3" t="n">
        <v>5</v>
      </c>
      <c r="N488" s="3" t="n">
        <v>4</v>
      </c>
      <c r="O488" s="6" t="b">
        <f aca="false">FALSE()</f>
        <v>0</v>
      </c>
      <c r="P488" s="3" t="s">
        <v>88</v>
      </c>
      <c r="Q488" s="5" t="n">
        <v>46178.6888888889</v>
      </c>
      <c r="R488" s="5" t="n">
        <v>46180.9972222222</v>
      </c>
      <c r="S488" s="3" t="s">
        <v>37</v>
      </c>
      <c r="T488" s="7" t="n">
        <f aca="false">ROUND(MIN(IF(OR(O488=TRUE(),O488="TRUE",O488="Yes"),59,100),(I488*Rubric!$C$2+J488*Rubric!$C$3+K488*Rubric!$C$4+L488*Rubric!$C$5+M488*Rubric!$C$6+N488*Rubric!$C$7)/5),1)</f>
        <v>85</v>
      </c>
      <c r="U488" s="8" t="str">
        <f aca="false">LOOKUP(T488,Bands!$A$2:$A$6,Bands!$B$2:$B$6)</f>
        <v>Solid Performance</v>
      </c>
      <c r="V488" s="8" t="n">
        <f aca="false">IF(Q488="","",ROUND((Q488-B488)*24,1))</f>
        <v>216</v>
      </c>
    </row>
    <row r="489" customFormat="false" ht="15" hidden="false" customHeight="false" outlineLevel="0" collapsed="false">
      <c r="A489" s="3" t="s">
        <v>1108</v>
      </c>
      <c r="B489" s="5" t="n">
        <v>46169.6972222222</v>
      </c>
      <c r="C489" s="3" t="s">
        <v>68</v>
      </c>
      <c r="D489" s="3" t="s">
        <v>366</v>
      </c>
      <c r="E489" s="3" t="s">
        <v>367</v>
      </c>
      <c r="F489" s="3" t="s">
        <v>53</v>
      </c>
      <c r="G489" s="3" t="s">
        <v>54</v>
      </c>
      <c r="H489" s="3" t="s">
        <v>1109</v>
      </c>
      <c r="I489" s="3" t="n">
        <v>5</v>
      </c>
      <c r="J489" s="3" t="n">
        <v>3</v>
      </c>
      <c r="K489" s="3" t="n">
        <v>2</v>
      </c>
      <c r="L489" s="3" t="n">
        <v>4</v>
      </c>
      <c r="M489" s="3" t="n">
        <v>5</v>
      </c>
      <c r="N489" s="3" t="n">
        <v>5</v>
      </c>
      <c r="O489" s="6" t="b">
        <f aca="false">FALSE()</f>
        <v>0</v>
      </c>
      <c r="P489" s="3" t="s">
        <v>49</v>
      </c>
      <c r="Q489" s="5" t="n">
        <v>46175.6972222222</v>
      </c>
      <c r="R489" s="5" t="n">
        <v>46176.0409722222</v>
      </c>
      <c r="S489" s="3" t="s">
        <v>37</v>
      </c>
      <c r="T489" s="7" t="n">
        <f aca="false">ROUND(MIN(IF(OR(O489=TRUE(),O489="TRUE",O489="Yes"),59,100),(I489*Rubric!$C$2+J489*Rubric!$C$3+K489*Rubric!$C$4+L489*Rubric!$C$5+M489*Rubric!$C$6+N489*Rubric!$C$7)/5),1)</f>
        <v>75</v>
      </c>
      <c r="U489" s="8" t="str">
        <f aca="false">LOOKUP(T489,Bands!$A$2:$A$6,Bands!$B$2:$B$6)</f>
        <v>Meets Expectations</v>
      </c>
      <c r="V489" s="8" t="n">
        <f aca="false">IF(Q489="","",ROUND((Q489-B489)*24,1))</f>
        <v>144</v>
      </c>
    </row>
    <row r="490" customFormat="false" ht="15" hidden="false" customHeight="false" outlineLevel="0" collapsed="false">
      <c r="A490" s="3" t="s">
        <v>1110</v>
      </c>
      <c r="B490" s="5" t="n">
        <v>46169.5840277778</v>
      </c>
      <c r="C490" s="3" t="s">
        <v>39</v>
      </c>
      <c r="D490" s="3" t="s">
        <v>486</v>
      </c>
      <c r="E490" s="3" t="s">
        <v>487</v>
      </c>
      <c r="F490" s="3" t="s">
        <v>65</v>
      </c>
      <c r="G490" s="3" t="s">
        <v>42</v>
      </c>
      <c r="H490" s="3" t="s">
        <v>1111</v>
      </c>
      <c r="I490" s="3" t="n">
        <v>5</v>
      </c>
      <c r="J490" s="3" t="n">
        <v>2</v>
      </c>
      <c r="K490" s="3" t="n">
        <v>5</v>
      </c>
      <c r="L490" s="3" t="n">
        <v>4</v>
      </c>
      <c r="M490" s="3" t="n">
        <v>5</v>
      </c>
      <c r="N490" s="3" t="n">
        <v>5</v>
      </c>
      <c r="O490" s="6" t="b">
        <f aca="false">FALSE()</f>
        <v>0</v>
      </c>
      <c r="P490" s="3" t="s">
        <v>56</v>
      </c>
      <c r="Q490" s="5" t="n">
        <v>46175.5840277778</v>
      </c>
      <c r="R490" s="5" t="n">
        <v>46177.6291666667</v>
      </c>
      <c r="S490" s="3" t="s">
        <v>37</v>
      </c>
      <c r="T490" s="7" t="n">
        <f aca="false">ROUND(MIN(IF(OR(O490=TRUE(),O490="TRUE",O490="Yes"),59,100),(I490*Rubric!$C$2+J490*Rubric!$C$3+K490*Rubric!$C$4+L490*Rubric!$C$5+M490*Rubric!$C$6+N490*Rubric!$C$7)/5),1)</f>
        <v>82</v>
      </c>
      <c r="U490" s="8" t="str">
        <f aca="false">LOOKUP(T490,Bands!$A$2:$A$6,Bands!$B$2:$B$6)</f>
        <v>Solid Performance</v>
      </c>
      <c r="V490" s="8" t="n">
        <f aca="false">IF(Q490="","",ROUND((Q490-B490)*24,1))</f>
        <v>144</v>
      </c>
    </row>
    <row r="491" customFormat="false" ht="15" hidden="false" customHeight="false" outlineLevel="0" collapsed="false">
      <c r="A491" s="3" t="s">
        <v>1112</v>
      </c>
      <c r="B491" s="5" t="n">
        <v>46169.5722222222</v>
      </c>
      <c r="C491" s="3" t="s">
        <v>30</v>
      </c>
      <c r="D491" s="3" t="s">
        <v>145</v>
      </c>
      <c r="E491" s="3" t="s">
        <v>146</v>
      </c>
      <c r="F491" s="3" t="s">
        <v>33</v>
      </c>
      <c r="G491" s="3" t="s">
        <v>42</v>
      </c>
      <c r="H491" s="3" t="s">
        <v>1113</v>
      </c>
      <c r="I491" s="3" t="n">
        <v>5</v>
      </c>
      <c r="J491" s="3" t="n">
        <v>3</v>
      </c>
      <c r="K491" s="3" t="n">
        <v>3</v>
      </c>
      <c r="L491" s="3" t="n">
        <v>4</v>
      </c>
      <c r="M491" s="3" t="n">
        <v>4</v>
      </c>
      <c r="N491" s="3" t="n">
        <v>4</v>
      </c>
      <c r="O491" s="6" t="b">
        <f aca="false">FALSE()</f>
        <v>0</v>
      </c>
      <c r="P491" s="3"/>
      <c r="Q491" s="5" t="n">
        <v>46172.5722222222</v>
      </c>
      <c r="R491" s="5" t="n">
        <v>46174.49375</v>
      </c>
      <c r="S491" s="3" t="s">
        <v>37</v>
      </c>
      <c r="T491" s="7" t="n">
        <f aca="false">ROUND(MIN(IF(OR(O491=TRUE(),O491="TRUE",O491="Yes"),59,100),(I491*Rubric!$C$2+J491*Rubric!$C$3+K491*Rubric!$C$4+L491*Rubric!$C$5+M491*Rubric!$C$6+N491*Rubric!$C$7)/5),1)</f>
        <v>74</v>
      </c>
      <c r="U491" s="8" t="str">
        <f aca="false">LOOKUP(T491,Bands!$A$2:$A$6,Bands!$B$2:$B$6)</f>
        <v>Meets Expectations</v>
      </c>
      <c r="V491" s="8" t="n">
        <f aca="false">IF(Q491="","",ROUND((Q491-B491)*24,1))</f>
        <v>72</v>
      </c>
    </row>
    <row r="492" customFormat="false" ht="15" hidden="false" customHeight="false" outlineLevel="0" collapsed="false">
      <c r="A492" s="3" t="s">
        <v>1114</v>
      </c>
      <c r="B492" s="5" t="n">
        <v>46169.6694444444</v>
      </c>
      <c r="C492" s="3" t="s">
        <v>39</v>
      </c>
      <c r="D492" s="3" t="s">
        <v>307</v>
      </c>
      <c r="E492" s="3" t="s">
        <v>308</v>
      </c>
      <c r="F492" s="3" t="s">
        <v>33</v>
      </c>
      <c r="G492" s="3" t="s">
        <v>34</v>
      </c>
      <c r="H492" s="3" t="s">
        <v>1115</v>
      </c>
      <c r="I492" s="3" t="n">
        <v>5</v>
      </c>
      <c r="J492" s="3" t="n">
        <v>3</v>
      </c>
      <c r="K492" s="3" t="n">
        <v>5</v>
      </c>
      <c r="L492" s="3" t="n">
        <v>5</v>
      </c>
      <c r="M492" s="3" t="n">
        <v>5</v>
      </c>
      <c r="N492" s="3" t="n">
        <v>5</v>
      </c>
      <c r="O492" s="6" t="b">
        <f aca="false">FALSE()</f>
        <v>0</v>
      </c>
      <c r="P492" s="3"/>
      <c r="Q492" s="5" t="n">
        <v>46173.6694444444</v>
      </c>
      <c r="R492" s="5" t="n">
        <v>46173.7409722222</v>
      </c>
      <c r="S492" s="3" t="s">
        <v>37</v>
      </c>
      <c r="T492" s="7" t="n">
        <f aca="false">ROUND(MIN(IF(OR(O492=TRUE(),O492="TRUE",O492="Yes"),59,100),(I492*Rubric!$C$2+J492*Rubric!$C$3+K492*Rubric!$C$4+L492*Rubric!$C$5+M492*Rubric!$C$6+N492*Rubric!$C$7)/5),1)</f>
        <v>90</v>
      </c>
      <c r="U492" s="8" t="str">
        <f aca="false">LOOKUP(T492,Bands!$A$2:$A$6,Bands!$B$2:$B$6)</f>
        <v>Outstanding</v>
      </c>
      <c r="V492" s="8" t="n">
        <f aca="false">IF(Q492="","",ROUND((Q492-B492)*24,1))</f>
        <v>96</v>
      </c>
    </row>
    <row r="493" customFormat="false" ht="15" hidden="false" customHeight="false" outlineLevel="0" collapsed="false">
      <c r="A493" s="3" t="s">
        <v>1116</v>
      </c>
      <c r="B493" s="5" t="n">
        <v>46169.5611111111</v>
      </c>
      <c r="C493" s="3" t="s">
        <v>30</v>
      </c>
      <c r="D493" s="3" t="s">
        <v>251</v>
      </c>
      <c r="E493" s="3" t="s">
        <v>252</v>
      </c>
      <c r="F493" s="3" t="s">
        <v>53</v>
      </c>
      <c r="G493" s="3" t="s">
        <v>54</v>
      </c>
      <c r="H493" s="3" t="s">
        <v>1117</v>
      </c>
      <c r="I493" s="3" t="n">
        <v>4</v>
      </c>
      <c r="J493" s="3" t="n">
        <v>4</v>
      </c>
      <c r="K493" s="3" t="n">
        <v>4</v>
      </c>
      <c r="L493" s="3" t="n">
        <v>4</v>
      </c>
      <c r="M493" s="3" t="n">
        <v>2</v>
      </c>
      <c r="N493" s="3" t="n">
        <v>3</v>
      </c>
      <c r="O493" s="6" t="b">
        <f aca="false">FALSE()</f>
        <v>0</v>
      </c>
      <c r="P493" s="3" t="s">
        <v>103</v>
      </c>
      <c r="Q493" s="5" t="n">
        <v>46172.5611111111</v>
      </c>
      <c r="R493" s="5" t="n">
        <v>46173.3381944444</v>
      </c>
      <c r="S493" s="3" t="s">
        <v>37</v>
      </c>
      <c r="T493" s="7" t="n">
        <f aca="false">ROUND(MIN(IF(OR(O493=TRUE(),O493="TRUE",O493="Yes"),59,100),(I493*Rubric!$C$2+J493*Rubric!$C$3+K493*Rubric!$C$4+L493*Rubric!$C$5+M493*Rubric!$C$6+N493*Rubric!$C$7)/5),1)</f>
        <v>73</v>
      </c>
      <c r="U493" s="8" t="str">
        <f aca="false">LOOKUP(T493,Bands!$A$2:$A$6,Bands!$B$2:$B$6)</f>
        <v>Meets Expectations</v>
      </c>
      <c r="V493" s="8" t="n">
        <f aca="false">IF(Q493="","",ROUND((Q493-B493)*24,1))</f>
        <v>72</v>
      </c>
    </row>
    <row r="494" customFormat="false" ht="15" hidden="false" customHeight="false" outlineLevel="0" collapsed="false">
      <c r="A494" s="3" t="s">
        <v>1118</v>
      </c>
      <c r="B494" s="5" t="n">
        <v>46170.5611111111</v>
      </c>
      <c r="C494" s="3" t="s">
        <v>39</v>
      </c>
      <c r="D494" s="3" t="s">
        <v>81</v>
      </c>
      <c r="E494" s="3" t="s">
        <v>82</v>
      </c>
      <c r="F494" s="3" t="s">
        <v>65</v>
      </c>
      <c r="G494" s="3" t="s">
        <v>42</v>
      </c>
      <c r="H494" s="3" t="s">
        <v>1119</v>
      </c>
      <c r="I494" s="3" t="n">
        <v>5</v>
      </c>
      <c r="J494" s="3" t="n">
        <v>3</v>
      </c>
      <c r="K494" s="3" t="n">
        <v>4</v>
      </c>
      <c r="L494" s="3" t="n">
        <v>4</v>
      </c>
      <c r="M494" s="3" t="n">
        <v>4</v>
      </c>
      <c r="N494" s="3" t="n">
        <v>3</v>
      </c>
      <c r="O494" s="6" t="b">
        <f aca="false">FALSE()</f>
        <v>0</v>
      </c>
      <c r="P494" s="3"/>
      <c r="Q494" s="5" t="n">
        <v>46174.5611111111</v>
      </c>
      <c r="R494" s="5" t="n">
        <v>46174.6625</v>
      </c>
      <c r="S494" s="3" t="s">
        <v>37</v>
      </c>
      <c r="T494" s="7" t="n">
        <f aca="false">ROUND(MIN(IF(OR(O494=TRUE(),O494="TRUE",O494="Yes"),59,100),(I494*Rubric!$C$2+J494*Rubric!$C$3+K494*Rubric!$C$4+L494*Rubric!$C$5+M494*Rubric!$C$6+N494*Rubric!$C$7)/5),1)</f>
        <v>75</v>
      </c>
      <c r="U494" s="8" t="str">
        <f aca="false">LOOKUP(T494,Bands!$A$2:$A$6,Bands!$B$2:$B$6)</f>
        <v>Meets Expectations</v>
      </c>
      <c r="V494" s="8" t="n">
        <f aca="false">IF(Q494="","",ROUND((Q494-B494)*24,1))</f>
        <v>96</v>
      </c>
    </row>
    <row r="495" customFormat="false" ht="15" hidden="false" customHeight="false" outlineLevel="0" collapsed="false">
      <c r="A495" s="3" t="s">
        <v>1120</v>
      </c>
      <c r="B495" s="5" t="n">
        <v>46170.3763888889</v>
      </c>
      <c r="C495" s="3" t="s">
        <v>68</v>
      </c>
      <c r="D495" s="3" t="s">
        <v>265</v>
      </c>
      <c r="E495" s="3" t="s">
        <v>266</v>
      </c>
      <c r="F495" s="3" t="s">
        <v>33</v>
      </c>
      <c r="G495" s="3" t="s">
        <v>42</v>
      </c>
      <c r="H495" s="3" t="s">
        <v>1121</v>
      </c>
      <c r="I495" s="3" t="n">
        <v>3</v>
      </c>
      <c r="J495" s="3" t="n">
        <v>2</v>
      </c>
      <c r="K495" s="3" t="n">
        <v>3</v>
      </c>
      <c r="L495" s="3" t="n">
        <v>3</v>
      </c>
      <c r="M495" s="3" t="n">
        <v>4</v>
      </c>
      <c r="N495" s="3" t="n">
        <v>3</v>
      </c>
      <c r="O495" s="6" t="b">
        <f aca="false">FALSE()</f>
        <v>0</v>
      </c>
      <c r="P495" s="3" t="s">
        <v>56</v>
      </c>
      <c r="Q495" s="5" t="n">
        <v>46174.3763888889</v>
      </c>
      <c r="R495" s="5" t="n">
        <v>46175.6388888889</v>
      </c>
      <c r="S495" s="3" t="s">
        <v>37</v>
      </c>
      <c r="T495" s="7" t="n">
        <f aca="false">ROUND(MIN(IF(OR(O495=TRUE(),O495="TRUE",O495="Yes"),59,100),(I495*Rubric!$C$2+J495*Rubric!$C$3+K495*Rubric!$C$4+L495*Rubric!$C$5+M495*Rubric!$C$6+N495*Rubric!$C$7)/5),1)</f>
        <v>57</v>
      </c>
      <c r="U495" s="8" t="str">
        <f aca="false">LOOKUP(T495,Bands!$A$2:$A$6,Bands!$B$2:$B$6)</f>
        <v>Critical</v>
      </c>
      <c r="V495" s="8" t="n">
        <f aca="false">IF(Q495="","",ROUND((Q495-B495)*24,1))</f>
        <v>96</v>
      </c>
    </row>
    <row r="496" customFormat="false" ht="15" hidden="false" customHeight="false" outlineLevel="0" collapsed="false">
      <c r="A496" s="3" t="s">
        <v>1122</v>
      </c>
      <c r="B496" s="5" t="n">
        <v>46170.3770833333</v>
      </c>
      <c r="C496" s="3" t="s">
        <v>68</v>
      </c>
      <c r="D496" s="3" t="s">
        <v>251</v>
      </c>
      <c r="E496" s="3" t="s">
        <v>252</v>
      </c>
      <c r="F496" s="3" t="s">
        <v>53</v>
      </c>
      <c r="G496" s="3" t="s">
        <v>54</v>
      </c>
      <c r="H496" s="3" t="s">
        <v>1123</v>
      </c>
      <c r="I496" s="3" t="n">
        <v>3</v>
      </c>
      <c r="J496" s="3" t="n">
        <v>4</v>
      </c>
      <c r="K496" s="3" t="n">
        <v>4</v>
      </c>
      <c r="L496" s="3" t="n">
        <v>5</v>
      </c>
      <c r="M496" s="3" t="n">
        <v>3</v>
      </c>
      <c r="N496" s="3" t="n">
        <v>5</v>
      </c>
      <c r="O496" s="6" t="b">
        <f aca="false">FALSE()</f>
        <v>0</v>
      </c>
      <c r="P496" s="3"/>
      <c r="Q496" s="5" t="n">
        <v>46173.3770833333</v>
      </c>
      <c r="R496" s="5" t="n">
        <v>46174.7236111111</v>
      </c>
      <c r="S496" s="3" t="s">
        <v>37</v>
      </c>
      <c r="T496" s="7" t="n">
        <f aca="false">ROUND(MIN(IF(OR(O496=TRUE(),O496="TRUE",O496="Yes"),59,100),(I496*Rubric!$C$2+J496*Rubric!$C$3+K496*Rubric!$C$4+L496*Rubric!$C$5+M496*Rubric!$C$6+N496*Rubric!$C$7)/5),1)</f>
        <v>81</v>
      </c>
      <c r="U496" s="8" t="str">
        <f aca="false">LOOKUP(T496,Bands!$A$2:$A$6,Bands!$B$2:$B$6)</f>
        <v>Solid Performance</v>
      </c>
      <c r="V496" s="8" t="n">
        <f aca="false">IF(Q496="","",ROUND((Q496-B496)*24,1))</f>
        <v>72</v>
      </c>
    </row>
    <row r="497" customFormat="false" ht="15" hidden="false" customHeight="false" outlineLevel="0" collapsed="false">
      <c r="A497" s="3" t="s">
        <v>1124</v>
      </c>
      <c r="B497" s="5" t="n">
        <v>46170.5444444444</v>
      </c>
      <c r="C497" s="3" t="s">
        <v>30</v>
      </c>
      <c r="D497" s="3" t="s">
        <v>161</v>
      </c>
      <c r="E497" s="3" t="s">
        <v>162</v>
      </c>
      <c r="F497" s="3" t="s">
        <v>33</v>
      </c>
      <c r="G497" s="3" t="s">
        <v>42</v>
      </c>
      <c r="H497" s="3" t="s">
        <v>1125</v>
      </c>
      <c r="I497" s="3" t="n">
        <v>3</v>
      </c>
      <c r="J497" s="3" t="n">
        <v>4</v>
      </c>
      <c r="K497" s="3" t="n">
        <v>4</v>
      </c>
      <c r="L497" s="3" t="n">
        <v>4</v>
      </c>
      <c r="M497" s="3" t="n">
        <v>3</v>
      </c>
      <c r="N497" s="3" t="n">
        <v>4</v>
      </c>
      <c r="O497" s="6" t="b">
        <f aca="false">FALSE()</f>
        <v>0</v>
      </c>
      <c r="P497" s="3"/>
      <c r="Q497" s="5" t="n">
        <v>46176.5444444444</v>
      </c>
      <c r="R497" s="5" t="n">
        <v>46177.625</v>
      </c>
      <c r="S497" s="3" t="s">
        <v>37</v>
      </c>
      <c r="T497" s="7" t="n">
        <f aca="false">ROUND(MIN(IF(OR(O497=TRUE(),O497="TRUE",O497="Yes"),59,100),(I497*Rubric!$C$2+J497*Rubric!$C$3+K497*Rubric!$C$4+L497*Rubric!$C$5+M497*Rubric!$C$6+N497*Rubric!$C$7)/5),1)</f>
        <v>75</v>
      </c>
      <c r="U497" s="8" t="str">
        <f aca="false">LOOKUP(T497,Bands!$A$2:$A$6,Bands!$B$2:$B$6)</f>
        <v>Meets Expectations</v>
      </c>
      <c r="V497" s="8" t="n">
        <f aca="false">IF(Q497="","",ROUND((Q497-B497)*24,1))</f>
        <v>144</v>
      </c>
    </row>
    <row r="498" customFormat="false" ht="15" hidden="false" customHeight="false" outlineLevel="0" collapsed="false">
      <c r="A498" s="3" t="s">
        <v>1126</v>
      </c>
      <c r="B498" s="5" t="n">
        <v>46170.4173611111</v>
      </c>
      <c r="C498" s="3" t="s">
        <v>68</v>
      </c>
      <c r="D498" s="3" t="s">
        <v>259</v>
      </c>
      <c r="E498" s="3" t="s">
        <v>260</v>
      </c>
      <c r="F498" s="3" t="s">
        <v>33</v>
      </c>
      <c r="G498" s="3" t="s">
        <v>42</v>
      </c>
      <c r="H498" s="3" t="s">
        <v>1127</v>
      </c>
      <c r="I498" s="3" t="n">
        <v>5</v>
      </c>
      <c r="J498" s="3" t="n">
        <v>5</v>
      </c>
      <c r="K498" s="3" t="n">
        <v>4</v>
      </c>
      <c r="L498" s="3" t="n">
        <v>5</v>
      </c>
      <c r="M498" s="3" t="n">
        <v>5</v>
      </c>
      <c r="N498" s="3" t="n">
        <v>5</v>
      </c>
      <c r="O498" s="6" t="b">
        <f aca="false">FALSE()</f>
        <v>0</v>
      </c>
      <c r="P498" s="3"/>
      <c r="Q498" s="5" t="n">
        <v>46175.4173611111</v>
      </c>
      <c r="R498" s="5" t="n">
        <v>46180.0743055556</v>
      </c>
      <c r="S498" s="3" t="s">
        <v>37</v>
      </c>
      <c r="T498" s="7" t="n">
        <f aca="false">ROUND(MIN(IF(OR(O498=TRUE(),O498="TRUE",O498="Yes"),59,100),(I498*Rubric!$C$2+J498*Rubric!$C$3+K498*Rubric!$C$4+L498*Rubric!$C$5+M498*Rubric!$C$6+N498*Rubric!$C$7)/5),1)</f>
        <v>96</v>
      </c>
      <c r="U498" s="8" t="str">
        <f aca="false">LOOKUP(T498,Bands!$A$2:$A$6,Bands!$B$2:$B$6)</f>
        <v>Outstanding</v>
      </c>
      <c r="V498" s="8" t="n">
        <f aca="false">IF(Q498="","",ROUND((Q498-B498)*24,1))</f>
        <v>120</v>
      </c>
    </row>
    <row r="499" customFormat="false" ht="15" hidden="false" customHeight="false" outlineLevel="0" collapsed="false">
      <c r="A499" s="3" t="s">
        <v>1128</v>
      </c>
      <c r="B499" s="5" t="n">
        <v>46170.3875</v>
      </c>
      <c r="C499" s="3" t="s">
        <v>30</v>
      </c>
      <c r="D499" s="3" t="s">
        <v>111</v>
      </c>
      <c r="E499" s="3" t="s">
        <v>112</v>
      </c>
      <c r="F499" s="3" t="s">
        <v>33</v>
      </c>
      <c r="G499" s="3" t="s">
        <v>54</v>
      </c>
      <c r="H499" s="3" t="s">
        <v>1129</v>
      </c>
      <c r="I499" s="3" t="n">
        <v>3</v>
      </c>
      <c r="J499" s="3" t="n">
        <v>4</v>
      </c>
      <c r="K499" s="3" t="n">
        <v>5</v>
      </c>
      <c r="L499" s="3" t="n">
        <v>4</v>
      </c>
      <c r="M499" s="3" t="n">
        <v>4</v>
      </c>
      <c r="N499" s="3" t="n">
        <v>4</v>
      </c>
      <c r="O499" s="6" t="b">
        <f aca="false">FALSE()</f>
        <v>0</v>
      </c>
      <c r="P499" s="3"/>
      <c r="Q499" s="5" t="n">
        <v>46175.3875</v>
      </c>
      <c r="R499" s="5" t="n">
        <v>46175.9756944445</v>
      </c>
      <c r="S499" s="3" t="s">
        <v>37</v>
      </c>
      <c r="T499" s="7" t="n">
        <f aca="false">ROUND(MIN(IF(OR(O499=TRUE(),O499="TRUE",O499="Yes"),59,100),(I499*Rubric!$C$2+J499*Rubric!$C$3+K499*Rubric!$C$4+L499*Rubric!$C$5+M499*Rubric!$C$6+N499*Rubric!$C$7)/5),1)</f>
        <v>81</v>
      </c>
      <c r="U499" s="8" t="str">
        <f aca="false">LOOKUP(T499,Bands!$A$2:$A$6,Bands!$B$2:$B$6)</f>
        <v>Solid Performance</v>
      </c>
      <c r="V499" s="8" t="n">
        <f aca="false">IF(Q499="","",ROUND((Q499-B499)*24,1))</f>
        <v>120</v>
      </c>
    </row>
    <row r="500" customFormat="false" ht="15" hidden="false" customHeight="false" outlineLevel="0" collapsed="false">
      <c r="A500" s="3" t="s">
        <v>1130</v>
      </c>
      <c r="B500" s="5" t="n">
        <v>46170.5402777778</v>
      </c>
      <c r="C500" s="3" t="s">
        <v>39</v>
      </c>
      <c r="D500" s="3" t="s">
        <v>105</v>
      </c>
      <c r="E500" s="3" t="s">
        <v>106</v>
      </c>
      <c r="F500" s="3" t="s">
        <v>65</v>
      </c>
      <c r="G500" s="3" t="s">
        <v>42</v>
      </c>
      <c r="H500" s="3" t="s">
        <v>1131</v>
      </c>
      <c r="I500" s="3" t="n">
        <v>4</v>
      </c>
      <c r="J500" s="3" t="n">
        <v>1</v>
      </c>
      <c r="K500" s="3" t="n">
        <v>4</v>
      </c>
      <c r="L500" s="3" t="n">
        <v>4</v>
      </c>
      <c r="M500" s="3" t="n">
        <v>5</v>
      </c>
      <c r="N500" s="3" t="n">
        <v>5</v>
      </c>
      <c r="O500" s="6" t="b">
        <f aca="false">FALSE()</f>
        <v>0</v>
      </c>
      <c r="P500" s="3" t="s">
        <v>56</v>
      </c>
      <c r="Q500" s="5" t="n">
        <v>46173.5402777778</v>
      </c>
      <c r="R500" s="5" t="n">
        <v>46175.0229166667</v>
      </c>
      <c r="S500" s="3" t="s">
        <v>37</v>
      </c>
      <c r="T500" s="7" t="n">
        <f aca="false">ROUND(MIN(IF(OR(O500=TRUE(),O500="TRUE",O500="Yes"),59,100),(I500*Rubric!$C$2+J500*Rubric!$C$3+K500*Rubric!$C$4+L500*Rubric!$C$5+M500*Rubric!$C$6+N500*Rubric!$C$7)/5),1)</f>
        <v>70</v>
      </c>
      <c r="U500" s="8" t="str">
        <f aca="false">LOOKUP(T500,Bands!$A$2:$A$6,Bands!$B$2:$B$6)</f>
        <v>Meets Expectations</v>
      </c>
      <c r="V500" s="8" t="n">
        <f aca="false">IF(Q500="","",ROUND((Q500-B500)*24,1))</f>
        <v>72</v>
      </c>
    </row>
    <row r="501" customFormat="false" ht="15" hidden="false" customHeight="false" outlineLevel="0" collapsed="false">
      <c r="A501" s="3" t="s">
        <v>1132</v>
      </c>
      <c r="B501" s="5" t="n">
        <v>46170.4569444444</v>
      </c>
      <c r="C501" s="3" t="s">
        <v>39</v>
      </c>
      <c r="D501" s="3" t="s">
        <v>63</v>
      </c>
      <c r="E501" s="3" t="s">
        <v>64</v>
      </c>
      <c r="F501" s="3" t="s">
        <v>65</v>
      </c>
      <c r="G501" s="3" t="s">
        <v>54</v>
      </c>
      <c r="H501" s="3" t="s">
        <v>1133</v>
      </c>
      <c r="I501" s="3" t="n">
        <v>3</v>
      </c>
      <c r="J501" s="3" t="n">
        <v>4</v>
      </c>
      <c r="K501" s="3" t="n">
        <v>2</v>
      </c>
      <c r="L501" s="3" t="n">
        <v>4</v>
      </c>
      <c r="M501" s="3" t="n">
        <v>5</v>
      </c>
      <c r="N501" s="3" t="n">
        <v>5</v>
      </c>
      <c r="O501" s="6" t="b">
        <f aca="false">FALSE()</f>
        <v>0</v>
      </c>
      <c r="P501" s="3" t="s">
        <v>49</v>
      </c>
      <c r="Q501" s="5" t="n">
        <v>46176.4569444444</v>
      </c>
      <c r="R501" s="5" t="n">
        <v>46180.94375</v>
      </c>
      <c r="S501" s="3" t="s">
        <v>37</v>
      </c>
      <c r="T501" s="7" t="n">
        <f aca="false">ROUND(MIN(IF(OR(O501=TRUE(),O501="TRUE",O501="Yes"),59,100),(I501*Rubric!$C$2+J501*Rubric!$C$3+K501*Rubric!$C$4+L501*Rubric!$C$5+M501*Rubric!$C$6+N501*Rubric!$C$7)/5),1)</f>
        <v>74</v>
      </c>
      <c r="U501" s="8" t="str">
        <f aca="false">LOOKUP(T501,Bands!$A$2:$A$6,Bands!$B$2:$B$6)</f>
        <v>Meets Expectations</v>
      </c>
      <c r="V501" s="8" t="n">
        <f aca="false">IF(Q501="","",ROUND((Q501-B501)*24,1))</f>
        <v>144</v>
      </c>
    </row>
    <row r="502" customFormat="false" ht="15" hidden="false" customHeight="false" outlineLevel="0" collapsed="false">
      <c r="A502" s="3" t="s">
        <v>1134</v>
      </c>
      <c r="B502" s="5" t="n">
        <v>46170.3972222222</v>
      </c>
      <c r="C502" s="3" t="s">
        <v>30</v>
      </c>
      <c r="D502" s="3" t="s">
        <v>228</v>
      </c>
      <c r="E502" s="3" t="s">
        <v>229</v>
      </c>
      <c r="F502" s="3" t="s">
        <v>65</v>
      </c>
      <c r="G502" s="3" t="s">
        <v>34</v>
      </c>
      <c r="H502" s="3" t="s">
        <v>1135</v>
      </c>
      <c r="I502" s="3" t="n">
        <v>3</v>
      </c>
      <c r="J502" s="3" t="n">
        <v>4</v>
      </c>
      <c r="K502" s="3" t="n">
        <v>4</v>
      </c>
      <c r="L502" s="3" t="n">
        <v>3</v>
      </c>
      <c r="M502" s="3" t="n">
        <v>3</v>
      </c>
      <c r="N502" s="3" t="n">
        <v>3</v>
      </c>
      <c r="O502" s="6" t="b">
        <f aca="false">FALSE()</f>
        <v>0</v>
      </c>
      <c r="P502" s="3"/>
      <c r="Q502" s="5" t="n">
        <v>46175.3972222222</v>
      </c>
      <c r="R502" s="5" t="n">
        <v>46175.4180555556</v>
      </c>
      <c r="S502" s="3" t="s">
        <v>37</v>
      </c>
      <c r="T502" s="7" t="n">
        <f aca="false">ROUND(MIN(IF(OR(O502=TRUE(),O502="TRUE",O502="Yes"),59,100),(I502*Rubric!$C$2+J502*Rubric!$C$3+K502*Rubric!$C$4+L502*Rubric!$C$5+M502*Rubric!$C$6+N502*Rubric!$C$7)/5),1)</f>
        <v>69</v>
      </c>
      <c r="U502" s="8" t="str">
        <f aca="false">LOOKUP(T502,Bands!$A$2:$A$6,Bands!$B$2:$B$6)</f>
        <v>Needs Improvement</v>
      </c>
      <c r="V502" s="8" t="n">
        <f aca="false">IF(Q502="","",ROUND((Q502-B502)*24,1))</f>
        <v>120</v>
      </c>
    </row>
    <row r="503" customFormat="false" ht="15" hidden="false" customHeight="false" outlineLevel="0" collapsed="false">
      <c r="A503" s="3" t="s">
        <v>1136</v>
      </c>
      <c r="B503" s="5" t="n">
        <v>46170.63125</v>
      </c>
      <c r="C503" s="3" t="s">
        <v>39</v>
      </c>
      <c r="D503" s="3" t="s">
        <v>133</v>
      </c>
      <c r="E503" s="3" t="s">
        <v>134</v>
      </c>
      <c r="F503" s="3" t="s">
        <v>33</v>
      </c>
      <c r="G503" s="3" t="s">
        <v>54</v>
      </c>
      <c r="H503" s="3" t="s">
        <v>1137</v>
      </c>
      <c r="I503" s="3" t="n">
        <v>4</v>
      </c>
      <c r="J503" s="3" t="n">
        <v>3</v>
      </c>
      <c r="K503" s="3" t="n">
        <v>4</v>
      </c>
      <c r="L503" s="3" t="n">
        <v>4</v>
      </c>
      <c r="M503" s="3" t="n">
        <v>5</v>
      </c>
      <c r="N503" s="3" t="n">
        <v>4</v>
      </c>
      <c r="O503" s="6" t="b">
        <f aca="false">FALSE()</f>
        <v>0</v>
      </c>
      <c r="P503" s="3"/>
      <c r="Q503" s="5" t="n">
        <v>46176.63125</v>
      </c>
      <c r="R503" s="5" t="n">
        <v>46177.2430555556</v>
      </c>
      <c r="S503" s="3" t="s">
        <v>37</v>
      </c>
      <c r="T503" s="7" t="n">
        <f aca="false">ROUND(MIN(IF(OR(O503=TRUE(),O503="TRUE",O503="Yes"),59,100),(I503*Rubric!$C$2+J503*Rubric!$C$3+K503*Rubric!$C$4+L503*Rubric!$C$5+M503*Rubric!$C$6+N503*Rubric!$C$7)/5),1)</f>
        <v>77</v>
      </c>
      <c r="U503" s="8" t="str">
        <f aca="false">LOOKUP(T503,Bands!$A$2:$A$6,Bands!$B$2:$B$6)</f>
        <v>Meets Expectations</v>
      </c>
      <c r="V503" s="8" t="n">
        <f aca="false">IF(Q503="","",ROUND((Q503-B503)*24,1))</f>
        <v>144</v>
      </c>
    </row>
    <row r="504" customFormat="false" ht="15" hidden="false" customHeight="false" outlineLevel="0" collapsed="false">
      <c r="A504" s="3" t="s">
        <v>1138</v>
      </c>
      <c r="B504" s="5" t="n">
        <v>46170.51875</v>
      </c>
      <c r="C504" s="3" t="s">
        <v>30</v>
      </c>
      <c r="D504" s="3" t="s">
        <v>31</v>
      </c>
      <c r="E504" s="3" t="s">
        <v>32</v>
      </c>
      <c r="F504" s="3" t="s">
        <v>33</v>
      </c>
      <c r="G504" s="3" t="s">
        <v>42</v>
      </c>
      <c r="H504" s="3" t="s">
        <v>1139</v>
      </c>
      <c r="I504" s="3" t="n">
        <v>5</v>
      </c>
      <c r="J504" s="3" t="n">
        <v>3</v>
      </c>
      <c r="K504" s="3" t="n">
        <v>4</v>
      </c>
      <c r="L504" s="3" t="n">
        <v>3</v>
      </c>
      <c r="M504" s="3" t="n">
        <v>4</v>
      </c>
      <c r="N504" s="3" t="n">
        <v>0</v>
      </c>
      <c r="O504" s="6" t="b">
        <f aca="false">TRUE()</f>
        <v>1</v>
      </c>
      <c r="P504" s="3" t="s">
        <v>36</v>
      </c>
      <c r="Q504" s="5" t="n">
        <v>46174.51875</v>
      </c>
      <c r="R504" s="5" t="n">
        <v>46174.9055555556</v>
      </c>
      <c r="S504" s="3" t="s">
        <v>37</v>
      </c>
      <c r="T504" s="7" t="n">
        <f aca="false">ROUND(MIN(IF(OR(O504=TRUE(),O504="TRUE",O504="Yes"),59,100),(I504*Rubric!$C$2+J504*Rubric!$C$3+K504*Rubric!$C$4+L504*Rubric!$C$5+M504*Rubric!$C$6+N504*Rubric!$C$7)/5),1)</f>
        <v>59</v>
      </c>
      <c r="U504" s="8" t="str">
        <f aca="false">LOOKUP(T504,Bands!$A$2:$A$6,Bands!$B$2:$B$6)</f>
        <v>Critical</v>
      </c>
      <c r="V504" s="8" t="n">
        <f aca="false">IF(Q504="","",ROUND((Q504-B504)*24,1))</f>
        <v>96</v>
      </c>
    </row>
    <row r="505" customFormat="false" ht="15" hidden="false" customHeight="false" outlineLevel="0" collapsed="false">
      <c r="A505" s="3" t="s">
        <v>1140</v>
      </c>
      <c r="B505" s="5" t="n">
        <v>46170.4222222222</v>
      </c>
      <c r="C505" s="3" t="s">
        <v>68</v>
      </c>
      <c r="D505" s="3" t="s">
        <v>77</v>
      </c>
      <c r="E505" s="3" t="s">
        <v>78</v>
      </c>
      <c r="F505" s="3" t="s">
        <v>33</v>
      </c>
      <c r="G505" s="3" t="s">
        <v>42</v>
      </c>
      <c r="H505" s="3" t="s">
        <v>1141</v>
      </c>
      <c r="I505" s="3" t="n">
        <v>5</v>
      </c>
      <c r="J505" s="3" t="n">
        <v>5</v>
      </c>
      <c r="K505" s="3" t="n">
        <v>2</v>
      </c>
      <c r="L505" s="3" t="n">
        <v>5</v>
      </c>
      <c r="M505" s="3" t="n">
        <v>4</v>
      </c>
      <c r="N505" s="3" t="n">
        <v>5</v>
      </c>
      <c r="O505" s="6" t="b">
        <f aca="false">FALSE()</f>
        <v>0</v>
      </c>
      <c r="P505" s="3" t="s">
        <v>49</v>
      </c>
      <c r="Q505" s="5" t="n">
        <v>46174.4222222222</v>
      </c>
      <c r="R505" s="5" t="n">
        <v>46174.8465277778</v>
      </c>
      <c r="S505" s="3" t="s">
        <v>37</v>
      </c>
      <c r="T505" s="7" t="n">
        <f aca="false">ROUND(MIN(IF(OR(O505=TRUE(),O505="TRUE",O505="Yes"),59,100),(I505*Rubric!$C$2+J505*Rubric!$C$3+K505*Rubric!$C$4+L505*Rubric!$C$5+M505*Rubric!$C$6+N505*Rubric!$C$7)/5),1)</f>
        <v>86</v>
      </c>
      <c r="U505" s="8" t="str">
        <f aca="false">LOOKUP(T505,Bands!$A$2:$A$6,Bands!$B$2:$B$6)</f>
        <v>Solid Performance</v>
      </c>
      <c r="V505" s="8" t="n">
        <f aca="false">IF(Q505="","",ROUND((Q505-B505)*24,1))</f>
        <v>96</v>
      </c>
    </row>
    <row r="506" customFormat="false" ht="15" hidden="false" customHeight="false" outlineLevel="0" collapsed="false">
      <c r="A506" s="3" t="s">
        <v>1142</v>
      </c>
      <c r="B506" s="5" t="n">
        <v>46171.5131944444</v>
      </c>
      <c r="C506" s="3" t="s">
        <v>68</v>
      </c>
      <c r="D506" s="3" t="s">
        <v>366</v>
      </c>
      <c r="E506" s="3" t="s">
        <v>367</v>
      </c>
      <c r="F506" s="3" t="s">
        <v>53</v>
      </c>
      <c r="G506" s="3" t="s">
        <v>54</v>
      </c>
      <c r="H506" s="3" t="s">
        <v>1143</v>
      </c>
      <c r="I506" s="3" t="n">
        <v>4</v>
      </c>
      <c r="J506" s="3" t="n">
        <v>5</v>
      </c>
      <c r="K506" s="3" t="n">
        <v>2</v>
      </c>
      <c r="L506" s="3" t="n">
        <v>4</v>
      </c>
      <c r="M506" s="3" t="n">
        <v>3</v>
      </c>
      <c r="N506" s="3" t="n">
        <v>4</v>
      </c>
      <c r="O506" s="6" t="b">
        <f aca="false">FALSE()</f>
        <v>0</v>
      </c>
      <c r="P506" s="3" t="s">
        <v>49</v>
      </c>
      <c r="Q506" s="5" t="n">
        <v>46183.5131944444</v>
      </c>
      <c r="R506" s="5" t="n">
        <v>46184.5916666667</v>
      </c>
      <c r="S506" s="3" t="s">
        <v>37</v>
      </c>
      <c r="T506" s="7" t="n">
        <f aca="false">ROUND(MIN(IF(OR(O506=TRUE(),O506="TRUE",O506="Yes"),59,100),(I506*Rubric!$C$2+J506*Rubric!$C$3+K506*Rubric!$C$4+L506*Rubric!$C$5+M506*Rubric!$C$6+N506*Rubric!$C$7)/5),1)</f>
        <v>75</v>
      </c>
      <c r="U506" s="8" t="str">
        <f aca="false">LOOKUP(T506,Bands!$A$2:$A$6,Bands!$B$2:$B$6)</f>
        <v>Meets Expectations</v>
      </c>
      <c r="V506" s="8" t="n">
        <f aca="false">IF(Q506="","",ROUND((Q506-B506)*24,1))</f>
        <v>288</v>
      </c>
    </row>
    <row r="507" customFormat="false" ht="15" hidden="false" customHeight="false" outlineLevel="0" collapsed="false">
      <c r="A507" s="3" t="s">
        <v>1144</v>
      </c>
      <c r="B507" s="5" t="n">
        <v>46171.4604166667</v>
      </c>
      <c r="C507" s="3" t="s">
        <v>30</v>
      </c>
      <c r="D507" s="3" t="s">
        <v>85</v>
      </c>
      <c r="E507" s="3" t="s">
        <v>86</v>
      </c>
      <c r="F507" s="3" t="s">
        <v>33</v>
      </c>
      <c r="G507" s="3" t="s">
        <v>34</v>
      </c>
      <c r="H507" s="3" t="s">
        <v>1145</v>
      </c>
      <c r="I507" s="3" t="n">
        <v>2</v>
      </c>
      <c r="J507" s="3" t="n">
        <v>4</v>
      </c>
      <c r="K507" s="3" t="n">
        <v>4</v>
      </c>
      <c r="L507" s="3" t="n">
        <v>4</v>
      </c>
      <c r="M507" s="3" t="n">
        <v>4</v>
      </c>
      <c r="N507" s="3" t="n">
        <v>5</v>
      </c>
      <c r="O507" s="6" t="b">
        <f aca="false">FALSE()</f>
        <v>0</v>
      </c>
      <c r="P507" s="3" t="s">
        <v>88</v>
      </c>
      <c r="Q507" s="5" t="n">
        <v>46178.4604166667</v>
      </c>
      <c r="R507" s="5" t="n">
        <v>46179.9305555556</v>
      </c>
      <c r="S507" s="3" t="s">
        <v>37</v>
      </c>
      <c r="T507" s="7" t="n">
        <f aca="false">ROUND(MIN(IF(OR(O507=TRUE(),O507="TRUE",O507="Yes"),59,100),(I507*Rubric!$C$2+J507*Rubric!$C$3+K507*Rubric!$C$4+L507*Rubric!$C$5+M507*Rubric!$C$6+N507*Rubric!$C$7)/5),1)</f>
        <v>77</v>
      </c>
      <c r="U507" s="8" t="str">
        <f aca="false">LOOKUP(T507,Bands!$A$2:$A$6,Bands!$B$2:$B$6)</f>
        <v>Meets Expectations</v>
      </c>
      <c r="V507" s="8" t="n">
        <f aca="false">IF(Q507="","",ROUND((Q507-B507)*24,1))</f>
        <v>168</v>
      </c>
    </row>
    <row r="508" customFormat="false" ht="15" hidden="false" customHeight="false" outlineLevel="0" collapsed="false">
      <c r="A508" s="3" t="s">
        <v>1146</v>
      </c>
      <c r="B508" s="5" t="n">
        <v>46171.4826388889</v>
      </c>
      <c r="C508" s="3" t="s">
        <v>30</v>
      </c>
      <c r="D508" s="3" t="s">
        <v>265</v>
      </c>
      <c r="E508" s="3" t="s">
        <v>266</v>
      </c>
      <c r="F508" s="3" t="s">
        <v>33</v>
      </c>
      <c r="G508" s="3" t="s">
        <v>54</v>
      </c>
      <c r="H508" s="3" t="s">
        <v>1147</v>
      </c>
      <c r="I508" s="3" t="n">
        <v>4</v>
      </c>
      <c r="J508" s="3" t="n">
        <v>4</v>
      </c>
      <c r="K508" s="3" t="n">
        <v>3</v>
      </c>
      <c r="L508" s="3" t="n">
        <v>3</v>
      </c>
      <c r="M508" s="3" t="n">
        <v>3</v>
      </c>
      <c r="N508" s="3" t="n">
        <v>4</v>
      </c>
      <c r="O508" s="6" t="b">
        <f aca="false">FALSE()</f>
        <v>0</v>
      </c>
      <c r="P508" s="3"/>
      <c r="Q508" s="5" t="n">
        <v>46174.4826388889</v>
      </c>
      <c r="R508" s="5" t="n">
        <v>46174.5430555556</v>
      </c>
      <c r="S508" s="3" t="s">
        <v>37</v>
      </c>
      <c r="T508" s="7" t="n">
        <f aca="false">ROUND(MIN(IF(OR(O508=TRUE(),O508="TRUE",O508="Yes"),59,100),(I508*Rubric!$C$2+J508*Rubric!$C$3+K508*Rubric!$C$4+L508*Rubric!$C$5+M508*Rubric!$C$6+N508*Rubric!$C$7)/5),1)</f>
        <v>71</v>
      </c>
      <c r="U508" s="8" t="str">
        <f aca="false">LOOKUP(T508,Bands!$A$2:$A$6,Bands!$B$2:$B$6)</f>
        <v>Meets Expectations</v>
      </c>
      <c r="V508" s="8" t="n">
        <f aca="false">IF(Q508="","",ROUND((Q508-B508)*24,1))</f>
        <v>72</v>
      </c>
    </row>
    <row r="509" customFormat="false" ht="15" hidden="false" customHeight="false" outlineLevel="0" collapsed="false">
      <c r="A509" s="3" t="s">
        <v>1148</v>
      </c>
      <c r="B509" s="5" t="n">
        <v>46171.5715277778</v>
      </c>
      <c r="C509" s="3" t="s">
        <v>39</v>
      </c>
      <c r="D509" s="3" t="s">
        <v>228</v>
      </c>
      <c r="E509" s="3" t="s">
        <v>229</v>
      </c>
      <c r="F509" s="3" t="s">
        <v>65</v>
      </c>
      <c r="G509" s="3" t="s">
        <v>54</v>
      </c>
      <c r="H509" s="3" t="s">
        <v>1149</v>
      </c>
      <c r="I509" s="3" t="n">
        <v>3</v>
      </c>
      <c r="J509" s="3" t="n">
        <v>3</v>
      </c>
      <c r="K509" s="3" t="n">
        <v>4</v>
      </c>
      <c r="L509" s="3" t="n">
        <v>4</v>
      </c>
      <c r="M509" s="3" t="n">
        <v>3</v>
      </c>
      <c r="N509" s="3" t="n">
        <v>2</v>
      </c>
      <c r="O509" s="6" t="b">
        <f aca="false">FALSE()</f>
        <v>0</v>
      </c>
      <c r="P509" s="3" t="s">
        <v>36</v>
      </c>
      <c r="Q509" s="5" t="n">
        <v>46176.5715277778</v>
      </c>
      <c r="R509" s="5" t="n">
        <v>46179.4777777778</v>
      </c>
      <c r="S509" s="3" t="s">
        <v>37</v>
      </c>
      <c r="T509" s="7" t="n">
        <f aca="false">ROUND(MIN(IF(OR(O509=TRUE(),O509="TRUE",O509="Yes"),59,100),(I509*Rubric!$C$2+J509*Rubric!$C$3+K509*Rubric!$C$4+L509*Rubric!$C$5+M509*Rubric!$C$6+N509*Rubric!$C$7)/5),1)</f>
        <v>64</v>
      </c>
      <c r="U509" s="8" t="str">
        <f aca="false">LOOKUP(T509,Bands!$A$2:$A$6,Bands!$B$2:$B$6)</f>
        <v>Needs Improvement</v>
      </c>
      <c r="V509" s="8" t="n">
        <f aca="false">IF(Q509="","",ROUND((Q509-B509)*24,1))</f>
        <v>120</v>
      </c>
    </row>
    <row r="510" customFormat="false" ht="15" hidden="false" customHeight="false" outlineLevel="0" collapsed="false">
      <c r="A510" s="3" t="s">
        <v>1150</v>
      </c>
      <c r="B510" s="5" t="n">
        <v>46171.4569444444</v>
      </c>
      <c r="C510" s="3" t="s">
        <v>68</v>
      </c>
      <c r="D510" s="3" t="s">
        <v>69</v>
      </c>
      <c r="E510" s="3" t="s">
        <v>70</v>
      </c>
      <c r="F510" s="3" t="s">
        <v>65</v>
      </c>
      <c r="G510" s="3" t="s">
        <v>54</v>
      </c>
      <c r="H510" s="3" t="s">
        <v>1151</v>
      </c>
      <c r="I510" s="3" t="n">
        <v>5</v>
      </c>
      <c r="J510" s="3" t="n">
        <v>4</v>
      </c>
      <c r="K510" s="3" t="n">
        <v>5</v>
      </c>
      <c r="L510" s="3" t="n">
        <v>4</v>
      </c>
      <c r="M510" s="3" t="n">
        <v>5</v>
      </c>
      <c r="N510" s="3" t="n">
        <v>3</v>
      </c>
      <c r="O510" s="6" t="b">
        <f aca="false">FALSE()</f>
        <v>0</v>
      </c>
      <c r="P510" s="3"/>
      <c r="Q510" s="5" t="n">
        <v>46178.4569444444</v>
      </c>
      <c r="R510" s="5" t="n">
        <v>46180.00625</v>
      </c>
      <c r="S510" s="3" t="s">
        <v>37</v>
      </c>
      <c r="T510" s="7" t="n">
        <f aca="false">ROUND(MIN(IF(OR(O510=TRUE(),O510="TRUE",O510="Yes"),59,100),(I510*Rubric!$C$2+J510*Rubric!$C$3+K510*Rubric!$C$4+L510*Rubric!$C$5+M510*Rubric!$C$6+N510*Rubric!$C$7)/5),1)</f>
        <v>86</v>
      </c>
      <c r="U510" s="8" t="str">
        <f aca="false">LOOKUP(T510,Bands!$A$2:$A$6,Bands!$B$2:$B$6)</f>
        <v>Solid Performance</v>
      </c>
      <c r="V510" s="8" t="n">
        <f aca="false">IF(Q510="","",ROUND((Q510-B510)*24,1))</f>
        <v>168</v>
      </c>
    </row>
    <row r="511" customFormat="false" ht="15" hidden="false" customHeight="false" outlineLevel="0" collapsed="false">
      <c r="A511" s="3" t="s">
        <v>1152</v>
      </c>
      <c r="B511" s="5" t="n">
        <v>46171.6208333333</v>
      </c>
      <c r="C511" s="3" t="s">
        <v>68</v>
      </c>
      <c r="D511" s="3" t="s">
        <v>161</v>
      </c>
      <c r="E511" s="3" t="s">
        <v>162</v>
      </c>
      <c r="F511" s="3" t="s">
        <v>33</v>
      </c>
      <c r="G511" s="3" t="s">
        <v>54</v>
      </c>
      <c r="H511" s="3" t="s">
        <v>1153</v>
      </c>
      <c r="I511" s="3" t="n">
        <v>4</v>
      </c>
      <c r="J511" s="3" t="n">
        <v>4</v>
      </c>
      <c r="K511" s="3" t="n">
        <v>4</v>
      </c>
      <c r="L511" s="3" t="n">
        <v>4</v>
      </c>
      <c r="M511" s="3" t="n">
        <v>3</v>
      </c>
      <c r="N511" s="3" t="n">
        <v>4</v>
      </c>
      <c r="O511" s="6" t="b">
        <f aca="false">FALSE()</f>
        <v>0</v>
      </c>
      <c r="P511" s="3"/>
      <c r="Q511" s="5" t="n">
        <v>46176.6208333333</v>
      </c>
      <c r="R511" s="5" t="n">
        <v>46178.43125</v>
      </c>
      <c r="S511" s="3" t="s">
        <v>37</v>
      </c>
      <c r="T511" s="7" t="n">
        <f aca="false">ROUND(MIN(IF(OR(O511=TRUE(),O511="TRUE",O511="Yes"),59,100),(I511*Rubric!$C$2+J511*Rubric!$C$3+K511*Rubric!$C$4+L511*Rubric!$C$5+M511*Rubric!$C$6+N511*Rubric!$C$7)/5),1)</f>
        <v>78</v>
      </c>
      <c r="U511" s="8" t="str">
        <f aca="false">LOOKUP(T511,Bands!$A$2:$A$6,Bands!$B$2:$B$6)</f>
        <v>Meets Expectations</v>
      </c>
      <c r="V511" s="8" t="n">
        <f aca="false">IF(Q511="","",ROUND((Q511-B511)*24,1))</f>
        <v>120</v>
      </c>
    </row>
    <row r="512" customFormat="false" ht="15" hidden="false" customHeight="false" outlineLevel="0" collapsed="false">
      <c r="A512" s="3" t="s">
        <v>1154</v>
      </c>
      <c r="B512" s="5" t="n">
        <v>46171.6930555556</v>
      </c>
      <c r="C512" s="3" t="s">
        <v>68</v>
      </c>
      <c r="D512" s="3" t="s">
        <v>77</v>
      </c>
      <c r="E512" s="3" t="s">
        <v>78</v>
      </c>
      <c r="F512" s="3" t="s">
        <v>33</v>
      </c>
      <c r="G512" s="3" t="s">
        <v>34</v>
      </c>
      <c r="H512" s="3" t="s">
        <v>1155</v>
      </c>
      <c r="I512" s="3" t="n">
        <v>4</v>
      </c>
      <c r="J512" s="3" t="n">
        <v>5</v>
      </c>
      <c r="K512" s="3" t="n">
        <v>3</v>
      </c>
      <c r="L512" s="3" t="n">
        <v>5</v>
      </c>
      <c r="M512" s="3" t="n">
        <v>5</v>
      </c>
      <c r="N512" s="3" t="n">
        <v>5</v>
      </c>
      <c r="O512" s="6" t="b">
        <f aca="false">FALSE()</f>
        <v>0</v>
      </c>
      <c r="P512" s="3"/>
      <c r="Q512" s="5" t="n">
        <v>46174.6930555556</v>
      </c>
      <c r="R512" s="5" t="n">
        <v>46176.6611111111</v>
      </c>
      <c r="S512" s="3" t="s">
        <v>37</v>
      </c>
      <c r="T512" s="7" t="n">
        <f aca="false">ROUND(MIN(IF(OR(O512=TRUE(),O512="TRUE",O512="Yes"),59,100),(I512*Rubric!$C$2+J512*Rubric!$C$3+K512*Rubric!$C$4+L512*Rubric!$C$5+M512*Rubric!$C$6+N512*Rubric!$C$7)/5),1)</f>
        <v>89</v>
      </c>
      <c r="U512" s="8" t="str">
        <f aca="false">LOOKUP(T512,Bands!$A$2:$A$6,Bands!$B$2:$B$6)</f>
        <v>Solid Performance</v>
      </c>
      <c r="V512" s="8" t="n">
        <f aca="false">IF(Q512="","",ROUND((Q512-B512)*24,1))</f>
        <v>72</v>
      </c>
    </row>
    <row r="513" customFormat="false" ht="15" hidden="false" customHeight="false" outlineLevel="0" collapsed="false">
      <c r="A513" s="3" t="s">
        <v>1156</v>
      </c>
      <c r="B513" s="5" t="n">
        <v>46171.41875</v>
      </c>
      <c r="C513" s="3" t="s">
        <v>39</v>
      </c>
      <c r="D513" s="3" t="s">
        <v>63</v>
      </c>
      <c r="E513" s="3" t="s">
        <v>64</v>
      </c>
      <c r="F513" s="3" t="s">
        <v>65</v>
      </c>
      <c r="G513" s="3" t="s">
        <v>42</v>
      </c>
      <c r="H513" s="3" t="s">
        <v>1157</v>
      </c>
      <c r="I513" s="3" t="n">
        <v>4</v>
      </c>
      <c r="J513" s="3" t="n">
        <v>4</v>
      </c>
      <c r="K513" s="3" t="n">
        <v>3</v>
      </c>
      <c r="L513" s="3" t="n">
        <v>4</v>
      </c>
      <c r="M513" s="3" t="n">
        <v>4</v>
      </c>
      <c r="N513" s="3" t="n">
        <v>5</v>
      </c>
      <c r="O513" s="6" t="b">
        <f aca="false">FALSE()</f>
        <v>0</v>
      </c>
      <c r="P513" s="3"/>
      <c r="Q513" s="5" t="n">
        <v>46174.41875</v>
      </c>
      <c r="R513" s="5" t="n">
        <v>46174.6166666667</v>
      </c>
      <c r="S513" s="3" t="s">
        <v>37</v>
      </c>
      <c r="T513" s="7" t="n">
        <f aca="false">ROUND(MIN(IF(OR(O513=TRUE(),O513="TRUE",O513="Yes"),59,100),(I513*Rubric!$C$2+J513*Rubric!$C$3+K513*Rubric!$C$4+L513*Rubric!$C$5+M513*Rubric!$C$6+N513*Rubric!$C$7)/5),1)</f>
        <v>79</v>
      </c>
      <c r="U513" s="8" t="str">
        <f aca="false">LOOKUP(T513,Bands!$A$2:$A$6,Bands!$B$2:$B$6)</f>
        <v>Meets Expectations</v>
      </c>
      <c r="V513" s="8" t="n">
        <f aca="false">IF(Q513="","",ROUND((Q513-B513)*24,1))</f>
        <v>72</v>
      </c>
    </row>
    <row r="514" customFormat="false" ht="15" hidden="false" customHeight="false" outlineLevel="0" collapsed="false">
      <c r="A514" s="3" t="s">
        <v>1158</v>
      </c>
      <c r="B514" s="5" t="n">
        <v>46171.4784722222</v>
      </c>
      <c r="C514" s="3" t="s">
        <v>30</v>
      </c>
      <c r="D514" s="3" t="s">
        <v>40</v>
      </c>
      <c r="E514" s="3" t="s">
        <v>41</v>
      </c>
      <c r="F514" s="3" t="s">
        <v>33</v>
      </c>
      <c r="G514" s="3" t="s">
        <v>54</v>
      </c>
      <c r="H514" s="3" t="s">
        <v>1159</v>
      </c>
      <c r="I514" s="3" t="n">
        <v>4</v>
      </c>
      <c r="J514" s="3" t="n">
        <v>4</v>
      </c>
      <c r="K514" s="3" t="n">
        <v>4</v>
      </c>
      <c r="L514" s="3" t="n">
        <v>3</v>
      </c>
      <c r="M514" s="3" t="n">
        <v>4</v>
      </c>
      <c r="N514" s="3" t="n">
        <v>4</v>
      </c>
      <c r="O514" s="6" t="b">
        <f aca="false">FALSE()</f>
        <v>0</v>
      </c>
      <c r="P514" s="3"/>
      <c r="Q514" s="5" t="n">
        <v>46176.4784722222</v>
      </c>
      <c r="R514" s="5" t="n">
        <v>46177.83125</v>
      </c>
      <c r="S514" s="3" t="s">
        <v>37</v>
      </c>
      <c r="T514" s="7" t="n">
        <f aca="false">ROUND(MIN(IF(OR(O514=TRUE(),O514="TRUE",O514="Yes"),59,100),(I514*Rubric!$C$2+J514*Rubric!$C$3+K514*Rubric!$C$4+L514*Rubric!$C$5+M514*Rubric!$C$6+N514*Rubric!$C$7)/5),1)</f>
        <v>77</v>
      </c>
      <c r="U514" s="8" t="str">
        <f aca="false">LOOKUP(T514,Bands!$A$2:$A$6,Bands!$B$2:$B$6)</f>
        <v>Meets Expectations</v>
      </c>
      <c r="V514" s="8" t="n">
        <f aca="false">IF(Q514="","",ROUND((Q514-B514)*24,1))</f>
        <v>120</v>
      </c>
    </row>
    <row r="515" customFormat="false" ht="15" hidden="false" customHeight="false" outlineLevel="0" collapsed="false">
      <c r="A515" s="3" t="s">
        <v>1160</v>
      </c>
      <c r="B515" s="5" t="n">
        <v>46171.5986111111</v>
      </c>
      <c r="C515" s="3" t="s">
        <v>30</v>
      </c>
      <c r="D515" s="3" t="s">
        <v>194</v>
      </c>
      <c r="E515" s="3" t="s">
        <v>195</v>
      </c>
      <c r="F515" s="3" t="s">
        <v>53</v>
      </c>
      <c r="G515" s="3" t="s">
        <v>54</v>
      </c>
      <c r="H515" s="3" t="s">
        <v>1161</v>
      </c>
      <c r="I515" s="3" t="n">
        <v>4</v>
      </c>
      <c r="J515" s="3" t="n">
        <v>4</v>
      </c>
      <c r="K515" s="3" t="n">
        <v>4</v>
      </c>
      <c r="L515" s="3" t="n">
        <v>3</v>
      </c>
      <c r="M515" s="3" t="n">
        <v>4</v>
      </c>
      <c r="N515" s="3" t="n">
        <v>3</v>
      </c>
      <c r="O515" s="6" t="b">
        <f aca="false">FALSE()</f>
        <v>0</v>
      </c>
      <c r="P515" s="3"/>
      <c r="Q515" s="5" t="n">
        <v>46177.5986111111</v>
      </c>
      <c r="R515" s="5" t="n">
        <v>46179.3368055556</v>
      </c>
      <c r="S515" s="3" t="s">
        <v>37</v>
      </c>
      <c r="T515" s="7" t="n">
        <f aca="false">ROUND(MIN(IF(OR(O515=TRUE(),O515="TRUE",O515="Yes"),59,100),(I515*Rubric!$C$2+J515*Rubric!$C$3+K515*Rubric!$C$4+L515*Rubric!$C$5+M515*Rubric!$C$6+N515*Rubric!$C$7)/5),1)</f>
        <v>74</v>
      </c>
      <c r="U515" s="8" t="str">
        <f aca="false">LOOKUP(T515,Bands!$A$2:$A$6,Bands!$B$2:$B$6)</f>
        <v>Meets Expectations</v>
      </c>
      <c r="V515" s="8" t="n">
        <f aca="false">IF(Q515="","",ROUND((Q515-B515)*24,1))</f>
        <v>144</v>
      </c>
    </row>
    <row r="516" customFormat="false" ht="15" hidden="false" customHeight="false" outlineLevel="0" collapsed="false">
      <c r="A516" s="3" t="s">
        <v>1162</v>
      </c>
      <c r="B516" s="5" t="n">
        <v>46171.3756944445</v>
      </c>
      <c r="C516" s="3" t="s">
        <v>30</v>
      </c>
      <c r="D516" s="3" t="s">
        <v>251</v>
      </c>
      <c r="E516" s="3" t="s">
        <v>252</v>
      </c>
      <c r="F516" s="3" t="s">
        <v>53</v>
      </c>
      <c r="G516" s="3" t="s">
        <v>54</v>
      </c>
      <c r="H516" s="3" t="s">
        <v>1163</v>
      </c>
      <c r="I516" s="3" t="n">
        <v>4</v>
      </c>
      <c r="J516" s="3" t="n">
        <v>3</v>
      </c>
      <c r="K516" s="3" t="n">
        <v>4</v>
      </c>
      <c r="L516" s="3" t="n">
        <v>4</v>
      </c>
      <c r="M516" s="3" t="n">
        <v>3</v>
      </c>
      <c r="N516" s="3" t="n">
        <v>3</v>
      </c>
      <c r="O516" s="6" t="b">
        <f aca="false">FALSE()</f>
        <v>0</v>
      </c>
      <c r="P516" s="3"/>
      <c r="Q516" s="5" t="n">
        <v>46174.3756944445</v>
      </c>
      <c r="R516" s="5" t="n">
        <v>46175.2645833333</v>
      </c>
      <c r="S516" s="3" t="s">
        <v>37</v>
      </c>
      <c r="T516" s="7" t="n">
        <f aca="false">ROUND(MIN(IF(OR(O516=TRUE(),O516="TRUE",O516="Yes"),59,100),(I516*Rubric!$C$2+J516*Rubric!$C$3+K516*Rubric!$C$4+L516*Rubric!$C$5+M516*Rubric!$C$6+N516*Rubric!$C$7)/5),1)</f>
        <v>70</v>
      </c>
      <c r="U516" s="8" t="str">
        <f aca="false">LOOKUP(T516,Bands!$A$2:$A$6,Bands!$B$2:$B$6)</f>
        <v>Meets Expectations</v>
      </c>
      <c r="V516" s="8" t="n">
        <f aca="false">IF(Q516="","",ROUND((Q516-B516)*24,1))</f>
        <v>72</v>
      </c>
    </row>
    <row r="517" customFormat="false" ht="15" hidden="false" customHeight="false" outlineLevel="0" collapsed="false">
      <c r="A517" s="3" t="s">
        <v>1164</v>
      </c>
      <c r="B517" s="5" t="n">
        <v>46171.6159722222</v>
      </c>
      <c r="C517" s="3" t="s">
        <v>68</v>
      </c>
      <c r="D517" s="3" t="s">
        <v>259</v>
      </c>
      <c r="E517" s="3" t="s">
        <v>260</v>
      </c>
      <c r="F517" s="3" t="s">
        <v>33</v>
      </c>
      <c r="G517" s="3" t="s">
        <v>42</v>
      </c>
      <c r="H517" s="3" t="s">
        <v>1165</v>
      </c>
      <c r="I517" s="3" t="n">
        <v>4</v>
      </c>
      <c r="J517" s="3" t="n">
        <v>5</v>
      </c>
      <c r="K517" s="3" t="n">
        <v>1</v>
      </c>
      <c r="L517" s="3" t="n">
        <v>5</v>
      </c>
      <c r="M517" s="3" t="n">
        <v>5</v>
      </c>
      <c r="N517" s="3" t="n">
        <v>5</v>
      </c>
      <c r="O517" s="6" t="b">
        <f aca="false">FALSE()</f>
        <v>0</v>
      </c>
      <c r="P517" s="3" t="s">
        <v>49</v>
      </c>
      <c r="Q517" s="5" t="n">
        <v>46178.6159722222</v>
      </c>
      <c r="R517" s="5" t="n">
        <v>46181.4284722222</v>
      </c>
      <c r="S517" s="3" t="s">
        <v>37</v>
      </c>
      <c r="T517" s="7" t="n">
        <f aca="false">ROUND(MIN(IF(OR(O517=TRUE(),O517="TRUE",O517="Yes"),59,100),(I517*Rubric!$C$2+J517*Rubric!$C$3+K517*Rubric!$C$4+L517*Rubric!$C$5+M517*Rubric!$C$6+N517*Rubric!$C$7)/5),1)</f>
        <v>81</v>
      </c>
      <c r="U517" s="8" t="str">
        <f aca="false">LOOKUP(T517,Bands!$A$2:$A$6,Bands!$B$2:$B$6)</f>
        <v>Solid Performance</v>
      </c>
      <c r="V517" s="8" t="n">
        <f aca="false">IF(Q517="","",ROUND((Q517-B517)*24,1))</f>
        <v>168</v>
      </c>
    </row>
    <row r="518" customFormat="false" ht="15" hidden="false" customHeight="false" outlineLevel="0" collapsed="false">
      <c r="A518" s="3" t="s">
        <v>1166</v>
      </c>
      <c r="B518" s="5" t="n">
        <v>46174.4208333333</v>
      </c>
      <c r="C518" s="3" t="s">
        <v>39</v>
      </c>
      <c r="D518" s="3" t="s">
        <v>202</v>
      </c>
      <c r="E518" s="3" t="s">
        <v>203</v>
      </c>
      <c r="F518" s="3" t="s">
        <v>53</v>
      </c>
      <c r="G518" s="3" t="s">
        <v>54</v>
      </c>
      <c r="H518" s="3" t="s">
        <v>1167</v>
      </c>
      <c r="I518" s="3" t="n">
        <v>4</v>
      </c>
      <c r="J518" s="3" t="n">
        <v>4</v>
      </c>
      <c r="K518" s="3" t="n">
        <v>4</v>
      </c>
      <c r="L518" s="3" t="n">
        <v>3</v>
      </c>
      <c r="M518" s="3" t="n">
        <v>4</v>
      </c>
      <c r="N518" s="3" t="n">
        <v>4</v>
      </c>
      <c r="O518" s="6" t="b">
        <f aca="false">FALSE()</f>
        <v>0</v>
      </c>
      <c r="P518" s="3"/>
      <c r="Q518" s="5" t="n">
        <v>46177.4208333333</v>
      </c>
      <c r="R518" s="5" t="n">
        <v>46177.63125</v>
      </c>
      <c r="S518" s="3" t="s">
        <v>37</v>
      </c>
      <c r="T518" s="7" t="n">
        <f aca="false">ROUND(MIN(IF(OR(O518=TRUE(),O518="TRUE",O518="Yes"),59,100),(I518*Rubric!$C$2+J518*Rubric!$C$3+K518*Rubric!$C$4+L518*Rubric!$C$5+M518*Rubric!$C$6+N518*Rubric!$C$7)/5),1)</f>
        <v>77</v>
      </c>
      <c r="U518" s="8" t="str">
        <f aca="false">LOOKUP(T518,Bands!$A$2:$A$6,Bands!$B$2:$B$6)</f>
        <v>Meets Expectations</v>
      </c>
      <c r="V518" s="8" t="n">
        <f aca="false">IF(Q518="","",ROUND((Q518-B518)*24,1))</f>
        <v>72</v>
      </c>
    </row>
    <row r="519" customFormat="false" ht="15" hidden="false" customHeight="false" outlineLevel="0" collapsed="false">
      <c r="A519" s="3" t="s">
        <v>1168</v>
      </c>
      <c r="B519" s="5" t="n">
        <v>46174.5944444445</v>
      </c>
      <c r="C519" s="3" t="s">
        <v>68</v>
      </c>
      <c r="D519" s="3" t="s">
        <v>194</v>
      </c>
      <c r="E519" s="3" t="s">
        <v>195</v>
      </c>
      <c r="F519" s="3" t="s">
        <v>53</v>
      </c>
      <c r="G519" s="3" t="s">
        <v>54</v>
      </c>
      <c r="H519" s="3" t="s">
        <v>1169</v>
      </c>
      <c r="I519" s="3" t="n">
        <v>4</v>
      </c>
      <c r="J519" s="3" t="n">
        <v>5</v>
      </c>
      <c r="K519" s="3" t="n">
        <v>4</v>
      </c>
      <c r="L519" s="3" t="n">
        <v>2</v>
      </c>
      <c r="M519" s="3" t="n">
        <v>5</v>
      </c>
      <c r="N519" s="3" t="n">
        <v>4</v>
      </c>
      <c r="O519" s="6" t="b">
        <f aca="false">FALSE()</f>
        <v>0</v>
      </c>
      <c r="P519" s="3" t="s">
        <v>44</v>
      </c>
      <c r="Q519" s="5" t="n">
        <v>46178.5944444445</v>
      </c>
      <c r="R519" s="5" t="n">
        <v>46179.3451388889</v>
      </c>
      <c r="S519" s="3" t="s">
        <v>37</v>
      </c>
      <c r="T519" s="7" t="n">
        <f aca="false">ROUND(MIN(IF(OR(O519=TRUE(),O519="TRUE",O519="Yes"),59,100),(I519*Rubric!$C$2+J519*Rubric!$C$3+K519*Rubric!$C$4+L519*Rubric!$C$5+M519*Rubric!$C$6+N519*Rubric!$C$7)/5),1)</f>
        <v>81</v>
      </c>
      <c r="U519" s="8" t="str">
        <f aca="false">LOOKUP(T519,Bands!$A$2:$A$6,Bands!$B$2:$B$6)</f>
        <v>Solid Performance</v>
      </c>
      <c r="V519" s="8" t="n">
        <f aca="false">IF(Q519="","",ROUND((Q519-B519)*24,1))</f>
        <v>96</v>
      </c>
    </row>
    <row r="520" customFormat="false" ht="15" hidden="false" customHeight="false" outlineLevel="0" collapsed="false">
      <c r="A520" s="3" t="s">
        <v>1170</v>
      </c>
      <c r="B520" s="5" t="n">
        <v>46174.5520833333</v>
      </c>
      <c r="C520" s="3" t="s">
        <v>30</v>
      </c>
      <c r="D520" s="3" t="s">
        <v>366</v>
      </c>
      <c r="E520" s="3" t="s">
        <v>367</v>
      </c>
      <c r="F520" s="3" t="s">
        <v>53</v>
      </c>
      <c r="G520" s="3" t="s">
        <v>54</v>
      </c>
      <c r="H520" s="3" t="s">
        <v>1171</v>
      </c>
      <c r="I520" s="3" t="n">
        <v>4</v>
      </c>
      <c r="J520" s="3" t="n">
        <v>5</v>
      </c>
      <c r="K520" s="3" t="n">
        <v>3</v>
      </c>
      <c r="L520" s="3" t="n">
        <v>4</v>
      </c>
      <c r="M520" s="3" t="n">
        <v>5</v>
      </c>
      <c r="N520" s="3" t="n">
        <v>4</v>
      </c>
      <c r="O520" s="6" t="b">
        <f aca="false">FALSE()</f>
        <v>0</v>
      </c>
      <c r="P520" s="3"/>
      <c r="Q520" s="5" t="n">
        <v>46180.5520833333</v>
      </c>
      <c r="R520" s="5" t="n">
        <v>46180.6423611111</v>
      </c>
      <c r="S520" s="3" t="s">
        <v>37</v>
      </c>
      <c r="T520" s="7" t="n">
        <f aca="false">ROUND(MIN(IF(OR(O520=TRUE(),O520="TRUE",O520="Yes"),59,100),(I520*Rubric!$C$2+J520*Rubric!$C$3+K520*Rubric!$C$4+L520*Rubric!$C$5+M520*Rubric!$C$6+N520*Rubric!$C$7)/5),1)</f>
        <v>83</v>
      </c>
      <c r="U520" s="8" t="str">
        <f aca="false">LOOKUP(T520,Bands!$A$2:$A$6,Bands!$B$2:$B$6)</f>
        <v>Solid Performance</v>
      </c>
      <c r="V520" s="8" t="n">
        <f aca="false">IF(Q520="","",ROUND((Q520-B520)*24,1))</f>
        <v>144</v>
      </c>
    </row>
    <row r="521" customFormat="false" ht="15" hidden="false" customHeight="false" outlineLevel="0" collapsed="false">
      <c r="A521" s="3" t="s">
        <v>1172</v>
      </c>
      <c r="B521" s="5" t="n">
        <v>46174.4097222222</v>
      </c>
      <c r="C521" s="3" t="s">
        <v>68</v>
      </c>
      <c r="D521" s="3" t="s">
        <v>77</v>
      </c>
      <c r="E521" s="3" t="s">
        <v>78</v>
      </c>
      <c r="F521" s="3" t="s">
        <v>33</v>
      </c>
      <c r="G521" s="3" t="s">
        <v>42</v>
      </c>
      <c r="H521" s="3" t="s">
        <v>1173</v>
      </c>
      <c r="I521" s="3" t="n">
        <v>4</v>
      </c>
      <c r="J521" s="3" t="n">
        <v>5</v>
      </c>
      <c r="K521" s="3" t="n">
        <v>2</v>
      </c>
      <c r="L521" s="3" t="n">
        <v>5</v>
      </c>
      <c r="M521" s="3" t="n">
        <v>5</v>
      </c>
      <c r="N521" s="3" t="n">
        <v>5</v>
      </c>
      <c r="O521" s="6" t="b">
        <f aca="false">FALSE()</f>
        <v>0</v>
      </c>
      <c r="P521" s="3" t="s">
        <v>49</v>
      </c>
      <c r="Q521" s="5" t="n">
        <v>46181.4097222222</v>
      </c>
      <c r="R521" s="5" t="n">
        <v>46182.4159722222</v>
      </c>
      <c r="S521" s="3" t="s">
        <v>37</v>
      </c>
      <c r="T521" s="7" t="n">
        <f aca="false">ROUND(MIN(IF(OR(O521=TRUE(),O521="TRUE",O521="Yes"),59,100),(I521*Rubric!$C$2+J521*Rubric!$C$3+K521*Rubric!$C$4+L521*Rubric!$C$5+M521*Rubric!$C$6+N521*Rubric!$C$7)/5),1)</f>
        <v>85</v>
      </c>
      <c r="U521" s="8" t="str">
        <f aca="false">LOOKUP(T521,Bands!$A$2:$A$6,Bands!$B$2:$B$6)</f>
        <v>Solid Performance</v>
      </c>
      <c r="V521" s="8" t="n">
        <f aca="false">IF(Q521="","",ROUND((Q521-B521)*24,1))</f>
        <v>168</v>
      </c>
    </row>
    <row r="522" customFormat="false" ht="15" hidden="false" customHeight="false" outlineLevel="0" collapsed="false">
      <c r="A522" s="3" t="s">
        <v>1174</v>
      </c>
      <c r="B522" s="5" t="n">
        <v>46174.5201388889</v>
      </c>
      <c r="C522" s="3" t="s">
        <v>39</v>
      </c>
      <c r="D522" s="3" t="s">
        <v>212</v>
      </c>
      <c r="E522" s="3" t="s">
        <v>213</v>
      </c>
      <c r="F522" s="3" t="s">
        <v>33</v>
      </c>
      <c r="G522" s="3" t="s">
        <v>54</v>
      </c>
      <c r="H522" s="3" t="s">
        <v>1175</v>
      </c>
      <c r="I522" s="3" t="n">
        <v>4</v>
      </c>
      <c r="J522" s="3" t="n">
        <v>4</v>
      </c>
      <c r="K522" s="3" t="n">
        <v>2</v>
      </c>
      <c r="L522" s="3" t="n">
        <v>4</v>
      </c>
      <c r="M522" s="3" t="n">
        <v>4</v>
      </c>
      <c r="N522" s="3" t="n">
        <v>3</v>
      </c>
      <c r="O522" s="6" t="b">
        <f aca="false">FALSE()</f>
        <v>0</v>
      </c>
      <c r="P522" s="3" t="s">
        <v>49</v>
      </c>
      <c r="Q522" s="5" t="n">
        <v>46177.5201388889</v>
      </c>
      <c r="R522" s="5" t="n">
        <v>46178.3840277778</v>
      </c>
      <c r="S522" s="3" t="s">
        <v>37</v>
      </c>
      <c r="T522" s="7" t="n">
        <f aca="false">ROUND(MIN(IF(OR(O522=TRUE(),O522="TRUE",O522="Yes"),59,100),(I522*Rubric!$C$2+J522*Rubric!$C$3+K522*Rubric!$C$4+L522*Rubric!$C$5+M522*Rubric!$C$6+N522*Rubric!$C$7)/5),1)</f>
        <v>69</v>
      </c>
      <c r="U522" s="8" t="str">
        <f aca="false">LOOKUP(T522,Bands!$A$2:$A$6,Bands!$B$2:$B$6)</f>
        <v>Needs Improvement</v>
      </c>
      <c r="V522" s="8" t="n">
        <f aca="false">IF(Q522="","",ROUND((Q522-B522)*24,1))</f>
        <v>72</v>
      </c>
    </row>
    <row r="523" customFormat="false" ht="15" hidden="false" customHeight="false" outlineLevel="0" collapsed="false">
      <c r="A523" s="3" t="s">
        <v>1176</v>
      </c>
      <c r="B523" s="5" t="n">
        <v>46174.4923611111</v>
      </c>
      <c r="C523" s="3" t="s">
        <v>39</v>
      </c>
      <c r="D523" s="3" t="s">
        <v>111</v>
      </c>
      <c r="E523" s="3" t="s">
        <v>112</v>
      </c>
      <c r="F523" s="3" t="s">
        <v>33</v>
      </c>
      <c r="G523" s="3" t="s">
        <v>42</v>
      </c>
      <c r="H523" s="3" t="s">
        <v>1177</v>
      </c>
      <c r="I523" s="3" t="n">
        <v>3</v>
      </c>
      <c r="J523" s="3" t="n">
        <v>4</v>
      </c>
      <c r="K523" s="3" t="n">
        <v>4</v>
      </c>
      <c r="L523" s="3" t="n">
        <v>4</v>
      </c>
      <c r="M523" s="3" t="n">
        <v>4</v>
      </c>
      <c r="N523" s="3" t="n">
        <v>4</v>
      </c>
      <c r="O523" s="6" t="b">
        <f aca="false">FALSE()</f>
        <v>0</v>
      </c>
      <c r="P523" s="3"/>
      <c r="Q523" s="5" t="n">
        <v>46177.4923611111</v>
      </c>
      <c r="R523" s="5" t="n">
        <v>46179.9541666667</v>
      </c>
      <c r="S523" s="3" t="s">
        <v>37</v>
      </c>
      <c r="T523" s="7" t="n">
        <f aca="false">ROUND(MIN(IF(OR(O523=TRUE(),O523="TRUE",O523="Yes"),59,100),(I523*Rubric!$C$2+J523*Rubric!$C$3+K523*Rubric!$C$4+L523*Rubric!$C$5+M523*Rubric!$C$6+N523*Rubric!$C$7)/5),1)</f>
        <v>77</v>
      </c>
      <c r="U523" s="8" t="str">
        <f aca="false">LOOKUP(T523,Bands!$A$2:$A$6,Bands!$B$2:$B$6)</f>
        <v>Meets Expectations</v>
      </c>
      <c r="V523" s="8" t="n">
        <f aca="false">IF(Q523="","",ROUND((Q523-B523)*24,1))</f>
        <v>72</v>
      </c>
    </row>
    <row r="524" customFormat="false" ht="15" hidden="false" customHeight="false" outlineLevel="0" collapsed="false">
      <c r="A524" s="3" t="s">
        <v>1178</v>
      </c>
      <c r="B524" s="5" t="n">
        <v>46174.6972222222</v>
      </c>
      <c r="C524" s="3" t="s">
        <v>30</v>
      </c>
      <c r="D524" s="3" t="s">
        <v>259</v>
      </c>
      <c r="E524" s="3" t="s">
        <v>260</v>
      </c>
      <c r="F524" s="3" t="s">
        <v>33</v>
      </c>
      <c r="G524" s="3" t="s">
        <v>54</v>
      </c>
      <c r="H524" s="3" t="s">
        <v>1179</v>
      </c>
      <c r="I524" s="3" t="n">
        <v>5</v>
      </c>
      <c r="J524" s="3" t="n">
        <v>5</v>
      </c>
      <c r="K524" s="3" t="n">
        <v>3</v>
      </c>
      <c r="L524" s="3" t="n">
        <v>4</v>
      </c>
      <c r="M524" s="3" t="n">
        <v>5</v>
      </c>
      <c r="N524" s="3" t="n">
        <v>5</v>
      </c>
      <c r="O524" s="6" t="b">
        <f aca="false">FALSE()</f>
        <v>0</v>
      </c>
      <c r="P524" s="3"/>
      <c r="Q524" s="5" t="n">
        <v>46180.6972222222</v>
      </c>
      <c r="R524" s="5" t="n">
        <v>46182.0416666667</v>
      </c>
      <c r="S524" s="3" t="s">
        <v>37</v>
      </c>
      <c r="T524" s="7" t="n">
        <f aca="false">ROUND(MIN(IF(OR(O524=TRUE(),O524="TRUE",O524="Yes"),59,100),(I524*Rubric!$C$2+J524*Rubric!$C$3+K524*Rubric!$C$4+L524*Rubric!$C$5+M524*Rubric!$C$6+N524*Rubric!$C$7)/5),1)</f>
        <v>89</v>
      </c>
      <c r="U524" s="8" t="str">
        <f aca="false">LOOKUP(T524,Bands!$A$2:$A$6,Bands!$B$2:$B$6)</f>
        <v>Solid Performance</v>
      </c>
      <c r="V524" s="8" t="n">
        <f aca="false">IF(Q524="","",ROUND((Q524-B524)*24,1))</f>
        <v>144</v>
      </c>
    </row>
    <row r="525" customFormat="false" ht="15" hidden="false" customHeight="false" outlineLevel="0" collapsed="false">
      <c r="A525" s="3" t="s">
        <v>1180</v>
      </c>
      <c r="B525" s="5" t="n">
        <v>46174.4347222222</v>
      </c>
      <c r="C525" s="3" t="s">
        <v>68</v>
      </c>
      <c r="D525" s="3" t="s">
        <v>40</v>
      </c>
      <c r="E525" s="3" t="s">
        <v>41</v>
      </c>
      <c r="F525" s="3" t="s">
        <v>33</v>
      </c>
      <c r="G525" s="3" t="s">
        <v>54</v>
      </c>
      <c r="H525" s="3" t="s">
        <v>1181</v>
      </c>
      <c r="I525" s="3" t="n">
        <v>3</v>
      </c>
      <c r="J525" s="3" t="n">
        <v>4</v>
      </c>
      <c r="K525" s="3" t="n">
        <v>4</v>
      </c>
      <c r="L525" s="3" t="n">
        <v>3</v>
      </c>
      <c r="M525" s="3" t="n">
        <v>4</v>
      </c>
      <c r="N525" s="3" t="n">
        <v>4</v>
      </c>
      <c r="O525" s="6" t="b">
        <f aca="false">FALSE()</f>
        <v>0</v>
      </c>
      <c r="P525" s="3"/>
      <c r="Q525" s="5" t="n">
        <v>46181.4347222222</v>
      </c>
      <c r="R525" s="5" t="n">
        <v>46182.6472222222</v>
      </c>
      <c r="S525" s="3" t="s">
        <v>37</v>
      </c>
      <c r="T525" s="7" t="n">
        <f aca="false">ROUND(MIN(IF(OR(O525=TRUE(),O525="TRUE",O525="Yes"),59,100),(I525*Rubric!$C$2+J525*Rubric!$C$3+K525*Rubric!$C$4+L525*Rubric!$C$5+M525*Rubric!$C$6+N525*Rubric!$C$7)/5),1)</f>
        <v>74</v>
      </c>
      <c r="U525" s="8" t="str">
        <f aca="false">LOOKUP(T525,Bands!$A$2:$A$6,Bands!$B$2:$B$6)</f>
        <v>Meets Expectations</v>
      </c>
      <c r="V525" s="8" t="n">
        <f aca="false">IF(Q525="","",ROUND((Q525-B525)*24,1))</f>
        <v>168</v>
      </c>
    </row>
    <row r="526" customFormat="false" ht="15" hidden="false" customHeight="false" outlineLevel="0" collapsed="false">
      <c r="A526" s="3" t="s">
        <v>1182</v>
      </c>
      <c r="B526" s="5" t="n">
        <v>46174.5305555556</v>
      </c>
      <c r="C526" s="3" t="s">
        <v>30</v>
      </c>
      <c r="D526" s="3" t="s">
        <v>137</v>
      </c>
      <c r="E526" s="3" t="s">
        <v>138</v>
      </c>
      <c r="F526" s="3" t="s">
        <v>65</v>
      </c>
      <c r="G526" s="3" t="s">
        <v>42</v>
      </c>
      <c r="H526" s="3" t="s">
        <v>1183</v>
      </c>
      <c r="I526" s="3" t="n">
        <v>2</v>
      </c>
      <c r="J526" s="3" t="n">
        <v>5</v>
      </c>
      <c r="K526" s="3" t="n">
        <v>5</v>
      </c>
      <c r="L526" s="3" t="n">
        <v>5</v>
      </c>
      <c r="M526" s="3" t="n">
        <v>5</v>
      </c>
      <c r="N526" s="3" t="n">
        <v>5</v>
      </c>
      <c r="O526" s="6" t="b">
        <f aca="false">FALSE()</f>
        <v>0</v>
      </c>
      <c r="P526" s="3" t="s">
        <v>88</v>
      </c>
      <c r="Q526" s="5" t="n">
        <v>46181.5305555556</v>
      </c>
      <c r="R526" s="5" t="n">
        <v>46186.5840277778</v>
      </c>
      <c r="S526" s="3" t="s">
        <v>37</v>
      </c>
      <c r="T526" s="7" t="n">
        <f aca="false">ROUND(MIN(IF(OR(O526=TRUE(),O526="TRUE",O526="Yes"),59,100),(I526*Rubric!$C$2+J526*Rubric!$C$3+K526*Rubric!$C$4+L526*Rubric!$C$5+M526*Rubric!$C$6+N526*Rubric!$C$7)/5),1)</f>
        <v>91</v>
      </c>
      <c r="U526" s="8" t="str">
        <f aca="false">LOOKUP(T526,Bands!$A$2:$A$6,Bands!$B$2:$B$6)</f>
        <v>Outstanding</v>
      </c>
      <c r="V526" s="8" t="n">
        <f aca="false">IF(Q526="","",ROUND((Q526-B526)*24,1))</f>
        <v>168</v>
      </c>
    </row>
    <row r="527" customFormat="false" ht="15" hidden="false" customHeight="false" outlineLevel="0" collapsed="false">
      <c r="A527" s="3" t="s">
        <v>1184</v>
      </c>
      <c r="B527" s="5" t="n">
        <v>46174.5756944444</v>
      </c>
      <c r="C527" s="3" t="s">
        <v>39</v>
      </c>
      <c r="D527" s="3" t="s">
        <v>90</v>
      </c>
      <c r="E527" s="3" t="s">
        <v>91</v>
      </c>
      <c r="F527" s="3" t="s">
        <v>65</v>
      </c>
      <c r="G527" s="3" t="s">
        <v>42</v>
      </c>
      <c r="H527" s="3" t="s">
        <v>1185</v>
      </c>
      <c r="I527" s="3" t="n">
        <v>3</v>
      </c>
      <c r="J527" s="3" t="n">
        <v>4</v>
      </c>
      <c r="K527" s="3" t="n">
        <v>3</v>
      </c>
      <c r="L527" s="3" t="n">
        <v>2</v>
      </c>
      <c r="M527" s="3" t="n">
        <v>4</v>
      </c>
      <c r="N527" s="3" t="n">
        <v>3</v>
      </c>
      <c r="O527" s="6" t="b">
        <f aca="false">FALSE()</f>
        <v>0</v>
      </c>
      <c r="P527" s="3" t="s">
        <v>44</v>
      </c>
      <c r="Q527" s="5" t="n">
        <v>46179.5756944444</v>
      </c>
      <c r="R527" s="5" t="n">
        <v>46181.2784722222</v>
      </c>
      <c r="S527" s="3" t="s">
        <v>37</v>
      </c>
      <c r="T527" s="7" t="n">
        <f aca="false">ROUND(MIN(IF(OR(O527=TRUE(),O527="TRUE",O527="Yes"),59,100),(I527*Rubric!$C$2+J527*Rubric!$C$3+K527*Rubric!$C$4+L527*Rubric!$C$5+M527*Rubric!$C$6+N527*Rubric!$C$7)/5),1)</f>
        <v>64</v>
      </c>
      <c r="U527" s="8" t="str">
        <f aca="false">LOOKUP(T527,Bands!$A$2:$A$6,Bands!$B$2:$B$6)</f>
        <v>Needs Improvement</v>
      </c>
      <c r="V527" s="8" t="n">
        <f aca="false">IF(Q527="","",ROUND((Q527-B527)*24,1))</f>
        <v>120</v>
      </c>
    </row>
    <row r="528" customFormat="false" ht="15" hidden="false" customHeight="false" outlineLevel="0" collapsed="false">
      <c r="A528" s="3" t="s">
        <v>1186</v>
      </c>
      <c r="B528" s="5" t="n">
        <v>46174.5402777778</v>
      </c>
      <c r="C528" s="3" t="s">
        <v>30</v>
      </c>
      <c r="D528" s="3" t="s">
        <v>51</v>
      </c>
      <c r="E528" s="3" t="s">
        <v>52</v>
      </c>
      <c r="F528" s="3" t="s">
        <v>53</v>
      </c>
      <c r="G528" s="3" t="s">
        <v>34</v>
      </c>
      <c r="H528" s="3" t="s">
        <v>1187</v>
      </c>
      <c r="I528" s="3" t="n">
        <v>4</v>
      </c>
      <c r="J528" s="3" t="n">
        <v>3</v>
      </c>
      <c r="K528" s="3" t="n">
        <v>5</v>
      </c>
      <c r="L528" s="3" t="n">
        <v>4</v>
      </c>
      <c r="M528" s="3" t="n">
        <v>4</v>
      </c>
      <c r="N528" s="3" t="n">
        <v>5</v>
      </c>
      <c r="O528" s="6" t="b">
        <f aca="false">FALSE()</f>
        <v>0</v>
      </c>
      <c r="P528" s="3"/>
      <c r="Q528" s="5" t="n">
        <v>46181.5402777778</v>
      </c>
      <c r="R528" s="5" t="n">
        <v>46182.5770833333</v>
      </c>
      <c r="S528" s="3" t="s">
        <v>37</v>
      </c>
      <c r="T528" s="7" t="n">
        <f aca="false">ROUND(MIN(IF(OR(O528=TRUE(),O528="TRUE",O528="Yes"),59,100),(I528*Rubric!$C$2+J528*Rubric!$C$3+K528*Rubric!$C$4+L528*Rubric!$C$5+M528*Rubric!$C$6+N528*Rubric!$C$7)/5),1)</f>
        <v>82</v>
      </c>
      <c r="U528" s="8" t="str">
        <f aca="false">LOOKUP(T528,Bands!$A$2:$A$6,Bands!$B$2:$B$6)</f>
        <v>Solid Performance</v>
      </c>
      <c r="V528" s="8" t="n">
        <f aca="false">IF(Q528="","",ROUND((Q528-B528)*24,1))</f>
        <v>168</v>
      </c>
    </row>
    <row r="529" customFormat="false" ht="15" hidden="false" customHeight="false" outlineLevel="0" collapsed="false">
      <c r="A529" s="3" t="s">
        <v>1188</v>
      </c>
      <c r="B529" s="5" t="n">
        <v>46174.3909722222</v>
      </c>
      <c r="C529" s="3" t="s">
        <v>30</v>
      </c>
      <c r="D529" s="3" t="s">
        <v>155</v>
      </c>
      <c r="E529" s="3" t="s">
        <v>156</v>
      </c>
      <c r="F529" s="3" t="s">
        <v>65</v>
      </c>
      <c r="G529" s="3" t="s">
        <v>34</v>
      </c>
      <c r="H529" s="3" t="s">
        <v>1189</v>
      </c>
      <c r="I529" s="3" t="n">
        <v>4</v>
      </c>
      <c r="J529" s="3" t="n">
        <v>3</v>
      </c>
      <c r="K529" s="3" t="n">
        <v>4</v>
      </c>
      <c r="L529" s="3" t="n">
        <v>4</v>
      </c>
      <c r="M529" s="3" t="n">
        <v>4</v>
      </c>
      <c r="N529" s="3" t="n">
        <v>4</v>
      </c>
      <c r="O529" s="6" t="b">
        <f aca="false">FALSE()</f>
        <v>0</v>
      </c>
      <c r="P529" s="3"/>
      <c r="Q529" s="5" t="n">
        <v>46179.3909722222</v>
      </c>
      <c r="R529" s="5" t="n">
        <v>46183.8798611111</v>
      </c>
      <c r="S529" s="3" t="s">
        <v>37</v>
      </c>
      <c r="T529" s="7" t="n">
        <f aca="false">ROUND(MIN(IF(OR(O529=TRUE(),O529="TRUE",O529="Yes"),59,100),(I529*Rubric!$C$2+J529*Rubric!$C$3+K529*Rubric!$C$4+L529*Rubric!$C$5+M529*Rubric!$C$6+N529*Rubric!$C$7)/5),1)</f>
        <v>75</v>
      </c>
      <c r="U529" s="8" t="str">
        <f aca="false">LOOKUP(T529,Bands!$A$2:$A$6,Bands!$B$2:$B$6)</f>
        <v>Meets Expectations</v>
      </c>
      <c r="V529" s="8" t="n">
        <f aca="false">IF(Q529="","",ROUND((Q529-B529)*24,1))</f>
        <v>120</v>
      </c>
    </row>
    <row r="530" customFormat="false" ht="15" hidden="false" customHeight="false" outlineLevel="0" collapsed="false">
      <c r="A530" s="3" t="s">
        <v>1190</v>
      </c>
      <c r="B530" s="5" t="n">
        <v>46175.4208333333</v>
      </c>
      <c r="C530" s="3" t="s">
        <v>39</v>
      </c>
      <c r="D530" s="3" t="s">
        <v>293</v>
      </c>
      <c r="E530" s="3" t="s">
        <v>294</v>
      </c>
      <c r="F530" s="3" t="s">
        <v>65</v>
      </c>
      <c r="G530" s="3" t="s">
        <v>54</v>
      </c>
      <c r="H530" s="3" t="s">
        <v>1191</v>
      </c>
      <c r="I530" s="3" t="n">
        <v>4</v>
      </c>
      <c r="J530" s="3" t="n">
        <v>5</v>
      </c>
      <c r="K530" s="3" t="n">
        <v>5</v>
      </c>
      <c r="L530" s="3" t="n">
        <v>3</v>
      </c>
      <c r="M530" s="3" t="n">
        <v>5</v>
      </c>
      <c r="N530" s="3" t="n">
        <v>5</v>
      </c>
      <c r="O530" s="6" t="b">
        <f aca="false">FALSE()</f>
        <v>0</v>
      </c>
      <c r="P530" s="3"/>
      <c r="Q530" s="5" t="n">
        <v>46180.4208333333</v>
      </c>
      <c r="R530" s="5" t="n">
        <v>46181.2229166667</v>
      </c>
      <c r="S530" s="3" t="s">
        <v>37</v>
      </c>
      <c r="T530" s="7" t="n">
        <f aca="false">ROUND(MIN(IF(OR(O530=TRUE(),O530="TRUE",O530="Yes"),59,100),(I530*Rubric!$C$2+J530*Rubric!$C$3+K530*Rubric!$C$4+L530*Rubric!$C$5+M530*Rubric!$C$6+N530*Rubric!$C$7)/5),1)</f>
        <v>91</v>
      </c>
      <c r="U530" s="8" t="str">
        <f aca="false">LOOKUP(T530,Bands!$A$2:$A$6,Bands!$B$2:$B$6)</f>
        <v>Outstanding</v>
      </c>
      <c r="V530" s="8" t="n">
        <f aca="false">IF(Q530="","",ROUND((Q530-B530)*24,1))</f>
        <v>120</v>
      </c>
    </row>
    <row r="531" customFormat="false" ht="15" hidden="false" customHeight="false" outlineLevel="0" collapsed="false">
      <c r="A531" s="3" t="s">
        <v>1192</v>
      </c>
      <c r="B531" s="5" t="n">
        <v>46175.4680555556</v>
      </c>
      <c r="C531" s="3" t="s">
        <v>39</v>
      </c>
      <c r="D531" s="3" t="s">
        <v>51</v>
      </c>
      <c r="E531" s="3" t="s">
        <v>52</v>
      </c>
      <c r="F531" s="3" t="s">
        <v>53</v>
      </c>
      <c r="G531" s="3" t="s">
        <v>54</v>
      </c>
      <c r="H531" s="3" t="s">
        <v>1193</v>
      </c>
      <c r="I531" s="3" t="n">
        <v>5</v>
      </c>
      <c r="J531" s="3" t="n">
        <v>3</v>
      </c>
      <c r="K531" s="3" t="n">
        <v>4</v>
      </c>
      <c r="L531" s="3" t="n">
        <v>4</v>
      </c>
      <c r="M531" s="3" t="n">
        <v>3</v>
      </c>
      <c r="N531" s="3" t="n">
        <v>4</v>
      </c>
      <c r="O531" s="6" t="b">
        <f aca="false">FALSE()</f>
        <v>0</v>
      </c>
      <c r="P531" s="3"/>
      <c r="Q531" s="5" t="n">
        <v>46182.4680555556</v>
      </c>
      <c r="R531" s="5" t="n">
        <v>46183.3576388889</v>
      </c>
      <c r="S531" s="3" t="s">
        <v>37</v>
      </c>
      <c r="T531" s="7" t="n">
        <f aca="false">ROUND(MIN(IF(OR(O531=TRUE(),O531="TRUE",O531="Yes"),59,100),(I531*Rubric!$C$2+J531*Rubric!$C$3+K531*Rubric!$C$4+L531*Rubric!$C$5+M531*Rubric!$C$6+N531*Rubric!$C$7)/5),1)</f>
        <v>76</v>
      </c>
      <c r="U531" s="8" t="str">
        <f aca="false">LOOKUP(T531,Bands!$A$2:$A$6,Bands!$B$2:$B$6)</f>
        <v>Meets Expectations</v>
      </c>
      <c r="V531" s="8" t="n">
        <f aca="false">IF(Q531="","",ROUND((Q531-B531)*24,1))</f>
        <v>168</v>
      </c>
    </row>
    <row r="532" customFormat="false" ht="15" hidden="false" customHeight="false" outlineLevel="0" collapsed="false">
      <c r="A532" s="3" t="s">
        <v>1194</v>
      </c>
      <c r="B532" s="5" t="n">
        <v>46175.4395833333</v>
      </c>
      <c r="C532" s="3" t="s">
        <v>39</v>
      </c>
      <c r="D532" s="3" t="s">
        <v>251</v>
      </c>
      <c r="E532" s="3" t="s">
        <v>252</v>
      </c>
      <c r="F532" s="3" t="s">
        <v>53</v>
      </c>
      <c r="G532" s="3" t="s">
        <v>42</v>
      </c>
      <c r="H532" s="3" t="s">
        <v>1195</v>
      </c>
      <c r="I532" s="3" t="n">
        <v>4</v>
      </c>
      <c r="J532" s="3" t="n">
        <v>4</v>
      </c>
      <c r="K532" s="3" t="n">
        <v>4</v>
      </c>
      <c r="L532" s="3" t="n">
        <v>4</v>
      </c>
      <c r="M532" s="3" t="n">
        <v>2</v>
      </c>
      <c r="N532" s="3" t="n">
        <v>4</v>
      </c>
      <c r="O532" s="6" t="b">
        <f aca="false">FALSE()</f>
        <v>0</v>
      </c>
      <c r="P532" s="3" t="s">
        <v>103</v>
      </c>
      <c r="Q532" s="5" t="n">
        <v>46187.4395833333</v>
      </c>
      <c r="R532" s="5" t="n">
        <v>46189.7729166667</v>
      </c>
      <c r="S532" s="3" t="s">
        <v>37</v>
      </c>
      <c r="T532" s="7" t="n">
        <f aca="false">ROUND(MIN(IF(OR(O532=TRUE(),O532="TRUE",O532="Yes"),59,100),(I532*Rubric!$C$2+J532*Rubric!$C$3+K532*Rubric!$C$4+L532*Rubric!$C$5+M532*Rubric!$C$6+N532*Rubric!$C$7)/5),1)</f>
        <v>76</v>
      </c>
      <c r="U532" s="8" t="str">
        <f aca="false">LOOKUP(T532,Bands!$A$2:$A$6,Bands!$B$2:$B$6)</f>
        <v>Meets Expectations</v>
      </c>
      <c r="V532" s="8" t="n">
        <f aca="false">IF(Q532="","",ROUND((Q532-B532)*24,1))</f>
        <v>288</v>
      </c>
    </row>
    <row r="533" customFormat="false" ht="15" hidden="false" customHeight="false" outlineLevel="0" collapsed="false">
      <c r="A533" s="3" t="s">
        <v>1196</v>
      </c>
      <c r="B533" s="5" t="n">
        <v>46175.6569444445</v>
      </c>
      <c r="C533" s="3" t="s">
        <v>39</v>
      </c>
      <c r="D533" s="3" t="s">
        <v>212</v>
      </c>
      <c r="E533" s="3" t="s">
        <v>213</v>
      </c>
      <c r="F533" s="3" t="s">
        <v>33</v>
      </c>
      <c r="G533" s="3" t="s">
        <v>42</v>
      </c>
      <c r="H533" s="3" t="s">
        <v>1197</v>
      </c>
      <c r="I533" s="3" t="n">
        <v>4</v>
      </c>
      <c r="J533" s="3" t="n">
        <v>3</v>
      </c>
      <c r="K533" s="3" t="n">
        <v>2</v>
      </c>
      <c r="L533" s="3" t="n">
        <v>3</v>
      </c>
      <c r="M533" s="3" t="n">
        <v>4</v>
      </c>
      <c r="N533" s="3" t="n">
        <v>4</v>
      </c>
      <c r="O533" s="6" t="b">
        <f aca="false">FALSE()</f>
        <v>0</v>
      </c>
      <c r="P533" s="3" t="s">
        <v>49</v>
      </c>
      <c r="Q533" s="5" t="n">
        <v>46184.6569444445</v>
      </c>
      <c r="R533" s="5" t="n">
        <v>46188.4791666667</v>
      </c>
      <c r="S533" s="3" t="s">
        <v>37</v>
      </c>
      <c r="T533" s="7" t="n">
        <f aca="false">ROUND(MIN(IF(OR(O533=TRUE(),O533="TRUE",O533="Yes"),59,100),(I533*Rubric!$C$2+J533*Rubric!$C$3+K533*Rubric!$C$4+L533*Rubric!$C$5+M533*Rubric!$C$6+N533*Rubric!$C$7)/5),1)</f>
        <v>64</v>
      </c>
      <c r="U533" s="8" t="str">
        <f aca="false">LOOKUP(T533,Bands!$A$2:$A$6,Bands!$B$2:$B$6)</f>
        <v>Needs Improvement</v>
      </c>
      <c r="V533" s="8" t="n">
        <f aca="false">IF(Q533="","",ROUND((Q533-B533)*24,1))</f>
        <v>216</v>
      </c>
    </row>
    <row r="534" customFormat="false" ht="15" hidden="false" customHeight="false" outlineLevel="0" collapsed="false">
      <c r="A534" s="3" t="s">
        <v>1198</v>
      </c>
      <c r="B534" s="5" t="n">
        <v>46175.59375</v>
      </c>
      <c r="C534" s="3" t="s">
        <v>68</v>
      </c>
      <c r="D534" s="3" t="s">
        <v>307</v>
      </c>
      <c r="E534" s="3" t="s">
        <v>308</v>
      </c>
      <c r="F534" s="3" t="s">
        <v>33</v>
      </c>
      <c r="G534" s="3" t="s">
        <v>54</v>
      </c>
      <c r="H534" s="3" t="s">
        <v>1199</v>
      </c>
      <c r="I534" s="3" t="n">
        <v>5</v>
      </c>
      <c r="J534" s="3" t="n">
        <v>2</v>
      </c>
      <c r="K534" s="3" t="n">
        <v>5</v>
      </c>
      <c r="L534" s="3" t="n">
        <v>4</v>
      </c>
      <c r="M534" s="3" t="n">
        <v>5</v>
      </c>
      <c r="N534" s="3" t="n">
        <v>5</v>
      </c>
      <c r="O534" s="6" t="b">
        <f aca="false">FALSE()</f>
        <v>0</v>
      </c>
      <c r="P534" s="3" t="s">
        <v>56</v>
      </c>
      <c r="Q534" s="5" t="n">
        <v>46180.59375</v>
      </c>
      <c r="R534" s="5" t="n">
        <v>46180.7222222222</v>
      </c>
      <c r="S534" s="3" t="s">
        <v>37</v>
      </c>
      <c r="T534" s="7" t="n">
        <f aca="false">ROUND(MIN(IF(OR(O534=TRUE(),O534="TRUE",O534="Yes"),59,100),(I534*Rubric!$C$2+J534*Rubric!$C$3+K534*Rubric!$C$4+L534*Rubric!$C$5+M534*Rubric!$C$6+N534*Rubric!$C$7)/5),1)</f>
        <v>82</v>
      </c>
      <c r="U534" s="8" t="str">
        <f aca="false">LOOKUP(T534,Bands!$A$2:$A$6,Bands!$B$2:$B$6)</f>
        <v>Solid Performance</v>
      </c>
      <c r="V534" s="8" t="n">
        <f aca="false">IF(Q534="","",ROUND((Q534-B534)*24,1))</f>
        <v>120</v>
      </c>
    </row>
    <row r="535" customFormat="false" ht="15" hidden="false" customHeight="false" outlineLevel="0" collapsed="false">
      <c r="A535" s="3" t="s">
        <v>1200</v>
      </c>
      <c r="B535" s="5" t="n">
        <v>46175.5479166667</v>
      </c>
      <c r="C535" s="3" t="s">
        <v>30</v>
      </c>
      <c r="D535" s="3" t="s">
        <v>202</v>
      </c>
      <c r="E535" s="3" t="s">
        <v>203</v>
      </c>
      <c r="F535" s="3" t="s">
        <v>53</v>
      </c>
      <c r="G535" s="3" t="s">
        <v>54</v>
      </c>
      <c r="H535" s="3" t="s">
        <v>1201</v>
      </c>
      <c r="I535" s="3" t="n">
        <v>4</v>
      </c>
      <c r="J535" s="3" t="n">
        <v>3</v>
      </c>
      <c r="K535" s="3" t="n">
        <v>4</v>
      </c>
      <c r="L535" s="3" t="n">
        <v>3</v>
      </c>
      <c r="M535" s="3" t="n">
        <v>4</v>
      </c>
      <c r="N535" s="3" t="n">
        <v>4</v>
      </c>
      <c r="O535" s="6" t="b">
        <f aca="false">FALSE()</f>
        <v>0</v>
      </c>
      <c r="P535" s="3"/>
      <c r="Q535" s="5" t="n">
        <v>46180.5479166667</v>
      </c>
      <c r="R535" s="5" t="n">
        <v>46180.58125</v>
      </c>
      <c r="S535" s="3" t="s">
        <v>37</v>
      </c>
      <c r="T535" s="7" t="n">
        <f aca="false">ROUND(MIN(IF(OR(O535=TRUE(),O535="TRUE",O535="Yes"),59,100),(I535*Rubric!$C$2+J535*Rubric!$C$3+K535*Rubric!$C$4+L535*Rubric!$C$5+M535*Rubric!$C$6+N535*Rubric!$C$7)/5),1)</f>
        <v>72</v>
      </c>
      <c r="U535" s="8" t="str">
        <f aca="false">LOOKUP(T535,Bands!$A$2:$A$6,Bands!$B$2:$B$6)</f>
        <v>Meets Expectations</v>
      </c>
      <c r="V535" s="8" t="n">
        <f aca="false">IF(Q535="","",ROUND((Q535-B535)*24,1))</f>
        <v>120</v>
      </c>
    </row>
    <row r="536" customFormat="false" ht="15" hidden="false" customHeight="false" outlineLevel="0" collapsed="false">
      <c r="A536" s="3" t="s">
        <v>1202</v>
      </c>
      <c r="B536" s="5" t="n">
        <v>46175.4486111111</v>
      </c>
      <c r="C536" s="3" t="s">
        <v>68</v>
      </c>
      <c r="D536" s="3" t="s">
        <v>119</v>
      </c>
      <c r="E536" s="3" t="s">
        <v>120</v>
      </c>
      <c r="F536" s="3" t="s">
        <v>33</v>
      </c>
      <c r="G536" s="3" t="s">
        <v>42</v>
      </c>
      <c r="H536" s="3" t="s">
        <v>1203</v>
      </c>
      <c r="I536" s="3" t="n">
        <v>4</v>
      </c>
      <c r="J536" s="3" t="n">
        <v>4</v>
      </c>
      <c r="K536" s="3" t="n">
        <v>4</v>
      </c>
      <c r="L536" s="3" t="n">
        <v>4</v>
      </c>
      <c r="M536" s="3" t="n">
        <v>4</v>
      </c>
      <c r="N536" s="3" t="n">
        <v>1</v>
      </c>
      <c r="O536" s="6" t="b">
        <f aca="false">TRUE()</f>
        <v>1</v>
      </c>
      <c r="P536" s="3" t="s">
        <v>36</v>
      </c>
      <c r="Q536" s="5" t="n">
        <v>46179.4486111111</v>
      </c>
      <c r="R536" s="5" t="n">
        <v>46182.1326388889</v>
      </c>
      <c r="S536" s="3" t="s">
        <v>37</v>
      </c>
      <c r="T536" s="7" t="n">
        <f aca="false">ROUND(MIN(IF(OR(O536=TRUE(),O536="TRUE",O536="Yes"),59,100),(I536*Rubric!$C$2+J536*Rubric!$C$3+K536*Rubric!$C$4+L536*Rubric!$C$5+M536*Rubric!$C$6+N536*Rubric!$C$7)/5),1)</f>
        <v>59</v>
      </c>
      <c r="U536" s="8" t="str">
        <f aca="false">LOOKUP(T536,Bands!$A$2:$A$6,Bands!$B$2:$B$6)</f>
        <v>Critical</v>
      </c>
      <c r="V536" s="8" t="n">
        <f aca="false">IF(Q536="","",ROUND((Q536-B536)*24,1))</f>
        <v>96</v>
      </c>
    </row>
    <row r="537" customFormat="false" ht="15" hidden="false" customHeight="false" outlineLevel="0" collapsed="false">
      <c r="A537" s="3" t="s">
        <v>1204</v>
      </c>
      <c r="B537" s="5" t="n">
        <v>46175.3819444445</v>
      </c>
      <c r="C537" s="3" t="s">
        <v>39</v>
      </c>
      <c r="D537" s="3" t="s">
        <v>238</v>
      </c>
      <c r="E537" s="3" t="s">
        <v>239</v>
      </c>
      <c r="F537" s="3" t="s">
        <v>33</v>
      </c>
      <c r="G537" s="3" t="s">
        <v>54</v>
      </c>
      <c r="H537" s="3" t="s">
        <v>1205</v>
      </c>
      <c r="I537" s="3" t="n">
        <v>4</v>
      </c>
      <c r="J537" s="3" t="n">
        <v>5</v>
      </c>
      <c r="K537" s="3" t="n">
        <v>4</v>
      </c>
      <c r="L537" s="3" t="n">
        <v>4</v>
      </c>
      <c r="M537" s="3" t="n">
        <v>2</v>
      </c>
      <c r="N537" s="3" t="n">
        <v>3</v>
      </c>
      <c r="O537" s="6" t="b">
        <f aca="false">FALSE()</f>
        <v>0</v>
      </c>
      <c r="P537" s="3" t="s">
        <v>103</v>
      </c>
      <c r="Q537" s="5" t="n">
        <v>46180.3819444445</v>
      </c>
      <c r="R537" s="5" t="n">
        <v>46181.1701388889</v>
      </c>
      <c r="S537" s="3" t="s">
        <v>37</v>
      </c>
      <c r="T537" s="7" t="n">
        <f aca="false">ROUND(MIN(IF(OR(O537=TRUE(),O537="TRUE",O537="Yes"),59,100),(I537*Rubric!$C$2+J537*Rubric!$C$3+K537*Rubric!$C$4+L537*Rubric!$C$5+M537*Rubric!$C$6+N537*Rubric!$C$7)/5),1)</f>
        <v>78</v>
      </c>
      <c r="U537" s="8" t="str">
        <f aca="false">LOOKUP(T537,Bands!$A$2:$A$6,Bands!$B$2:$B$6)</f>
        <v>Meets Expectations</v>
      </c>
      <c r="V537" s="8" t="n">
        <f aca="false">IF(Q537="","",ROUND((Q537-B537)*24,1))</f>
        <v>120</v>
      </c>
    </row>
    <row r="538" customFormat="false" ht="15" hidden="false" customHeight="false" outlineLevel="0" collapsed="false">
      <c r="A538" s="3" t="s">
        <v>1206</v>
      </c>
      <c r="B538" s="5" t="n">
        <v>46175.5423611111</v>
      </c>
      <c r="C538" s="3" t="s">
        <v>30</v>
      </c>
      <c r="D538" s="3" t="s">
        <v>125</v>
      </c>
      <c r="E538" s="3" t="s">
        <v>126</v>
      </c>
      <c r="F538" s="3" t="s">
        <v>53</v>
      </c>
      <c r="G538" s="3" t="s">
        <v>42</v>
      </c>
      <c r="H538" s="3" t="s">
        <v>1207</v>
      </c>
      <c r="I538" s="3" t="n">
        <v>5</v>
      </c>
      <c r="J538" s="3" t="n">
        <v>5</v>
      </c>
      <c r="K538" s="3" t="n">
        <v>4</v>
      </c>
      <c r="L538" s="3" t="n">
        <v>3</v>
      </c>
      <c r="M538" s="3" t="n">
        <v>4</v>
      </c>
      <c r="N538" s="3" t="n">
        <v>5</v>
      </c>
      <c r="O538" s="6" t="b">
        <f aca="false">FALSE()</f>
        <v>0</v>
      </c>
      <c r="P538" s="3"/>
      <c r="Q538" s="5" t="n">
        <v>46179.5423611111</v>
      </c>
      <c r="R538" s="5" t="n">
        <v>46183.1229166667</v>
      </c>
      <c r="S538" s="3" t="s">
        <v>37</v>
      </c>
      <c r="T538" s="7" t="n">
        <f aca="false">ROUND(MIN(IF(OR(O538=TRUE(),O538="TRUE",O538="Yes"),59,100),(I538*Rubric!$C$2+J538*Rubric!$C$3+K538*Rubric!$C$4+L538*Rubric!$C$5+M538*Rubric!$C$6+N538*Rubric!$C$7)/5),1)</f>
        <v>88</v>
      </c>
      <c r="U538" s="8" t="str">
        <f aca="false">LOOKUP(T538,Bands!$A$2:$A$6,Bands!$B$2:$B$6)</f>
        <v>Solid Performance</v>
      </c>
      <c r="V538" s="8" t="n">
        <f aca="false">IF(Q538="","",ROUND((Q538-B538)*24,1))</f>
        <v>96</v>
      </c>
    </row>
    <row r="539" customFormat="false" ht="15" hidden="false" customHeight="false" outlineLevel="0" collapsed="false">
      <c r="A539" s="3" t="s">
        <v>1208</v>
      </c>
      <c r="B539" s="5" t="n">
        <v>46175.5784722222</v>
      </c>
      <c r="C539" s="3" t="s">
        <v>30</v>
      </c>
      <c r="D539" s="3" t="s">
        <v>161</v>
      </c>
      <c r="E539" s="3" t="s">
        <v>162</v>
      </c>
      <c r="F539" s="3" t="s">
        <v>33</v>
      </c>
      <c r="G539" s="3" t="s">
        <v>54</v>
      </c>
      <c r="H539" s="3" t="s">
        <v>1209</v>
      </c>
      <c r="I539" s="3" t="n">
        <v>4</v>
      </c>
      <c r="J539" s="3" t="n">
        <v>5</v>
      </c>
      <c r="K539" s="3" t="n">
        <v>3</v>
      </c>
      <c r="L539" s="3" t="n">
        <v>4</v>
      </c>
      <c r="M539" s="3" t="n">
        <v>3</v>
      </c>
      <c r="N539" s="3" t="n">
        <v>3</v>
      </c>
      <c r="O539" s="6" t="b">
        <f aca="false">FALSE()</f>
        <v>0</v>
      </c>
      <c r="P539" s="3"/>
      <c r="Q539" s="5" t="n">
        <v>46184.5784722222</v>
      </c>
      <c r="R539" s="5" t="n">
        <v>46188.4805555556</v>
      </c>
      <c r="S539" s="3" t="s">
        <v>37</v>
      </c>
      <c r="T539" s="7" t="n">
        <f aca="false">ROUND(MIN(IF(OR(O539=TRUE(),O539="TRUE",O539="Yes"),59,100),(I539*Rubric!$C$2+J539*Rubric!$C$3+K539*Rubric!$C$4+L539*Rubric!$C$5+M539*Rubric!$C$6+N539*Rubric!$C$7)/5),1)</f>
        <v>76</v>
      </c>
      <c r="U539" s="8" t="str">
        <f aca="false">LOOKUP(T539,Bands!$A$2:$A$6,Bands!$B$2:$B$6)</f>
        <v>Meets Expectations</v>
      </c>
      <c r="V539" s="8" t="n">
        <f aca="false">IF(Q539="","",ROUND((Q539-B539)*24,1))</f>
        <v>216</v>
      </c>
    </row>
    <row r="540" customFormat="false" ht="15" hidden="false" customHeight="false" outlineLevel="0" collapsed="false">
      <c r="A540" s="3" t="s">
        <v>1210</v>
      </c>
      <c r="B540" s="5" t="n">
        <v>46175.5291666667</v>
      </c>
      <c r="C540" s="3" t="s">
        <v>68</v>
      </c>
      <c r="D540" s="3" t="s">
        <v>73</v>
      </c>
      <c r="E540" s="3" t="s">
        <v>74</v>
      </c>
      <c r="F540" s="3" t="s">
        <v>33</v>
      </c>
      <c r="G540" s="3" t="s">
        <v>54</v>
      </c>
      <c r="H540" s="3" t="s">
        <v>1211</v>
      </c>
      <c r="I540" s="3" t="n">
        <v>4</v>
      </c>
      <c r="J540" s="3" t="n">
        <v>4</v>
      </c>
      <c r="K540" s="3" t="n">
        <v>4</v>
      </c>
      <c r="L540" s="3" t="n">
        <v>5</v>
      </c>
      <c r="M540" s="3" t="n">
        <v>5</v>
      </c>
      <c r="N540" s="3" t="n">
        <v>3</v>
      </c>
      <c r="O540" s="6" t="b">
        <f aca="false">FALSE()</f>
        <v>0</v>
      </c>
      <c r="P540" s="3"/>
      <c r="Q540" s="5" t="n">
        <v>46181.5291666667</v>
      </c>
      <c r="R540" s="5" t="n">
        <v>46183.8722222222</v>
      </c>
      <c r="S540" s="3" t="s">
        <v>37</v>
      </c>
      <c r="T540" s="7" t="n">
        <f aca="false">ROUND(MIN(IF(OR(O540=TRUE(),O540="TRUE",O540="Yes"),59,100),(I540*Rubric!$C$2+J540*Rubric!$C$3+K540*Rubric!$C$4+L540*Rubric!$C$5+M540*Rubric!$C$6+N540*Rubric!$C$7)/5),1)</f>
        <v>82</v>
      </c>
      <c r="U540" s="8" t="str">
        <f aca="false">LOOKUP(T540,Bands!$A$2:$A$6,Bands!$B$2:$B$6)</f>
        <v>Solid Performance</v>
      </c>
      <c r="V540" s="8" t="n">
        <f aca="false">IF(Q540="","",ROUND((Q540-B540)*24,1))</f>
        <v>144</v>
      </c>
    </row>
    <row r="541" customFormat="false" ht="15" hidden="false" customHeight="false" outlineLevel="0" collapsed="false">
      <c r="A541" s="3" t="s">
        <v>1212</v>
      </c>
      <c r="B541" s="5" t="n">
        <v>46175.5979166667</v>
      </c>
      <c r="C541" s="3" t="s">
        <v>30</v>
      </c>
      <c r="D541" s="3" t="s">
        <v>90</v>
      </c>
      <c r="E541" s="3" t="s">
        <v>91</v>
      </c>
      <c r="F541" s="3" t="s">
        <v>65</v>
      </c>
      <c r="G541" s="3" t="s">
        <v>34</v>
      </c>
      <c r="H541" s="3" t="s">
        <v>1213</v>
      </c>
      <c r="I541" s="3" t="n">
        <v>4</v>
      </c>
      <c r="J541" s="3" t="n">
        <v>4</v>
      </c>
      <c r="K541" s="3" t="n">
        <v>4</v>
      </c>
      <c r="L541" s="3" t="n">
        <v>3</v>
      </c>
      <c r="M541" s="3" t="n">
        <v>4</v>
      </c>
      <c r="N541" s="3" t="n">
        <v>1</v>
      </c>
      <c r="O541" s="6" t="b">
        <f aca="false">TRUE()</f>
        <v>1</v>
      </c>
      <c r="P541" s="3" t="s">
        <v>36</v>
      </c>
      <c r="Q541" s="5" t="n">
        <v>46180.5979166667</v>
      </c>
      <c r="R541" s="5" t="n">
        <v>46180.6611111111</v>
      </c>
      <c r="S541" s="3" t="s">
        <v>37</v>
      </c>
      <c r="T541" s="7" t="n">
        <f aca="false">ROUND(MIN(IF(OR(O541=TRUE(),O541="TRUE",O541="Yes"),59,100),(I541*Rubric!$C$2+J541*Rubric!$C$3+K541*Rubric!$C$4+L541*Rubric!$C$5+M541*Rubric!$C$6+N541*Rubric!$C$7)/5),1)</f>
        <v>59</v>
      </c>
      <c r="U541" s="8" t="str">
        <f aca="false">LOOKUP(T541,Bands!$A$2:$A$6,Bands!$B$2:$B$6)</f>
        <v>Critical</v>
      </c>
      <c r="V541" s="8" t="n">
        <f aca="false">IF(Q541="","",ROUND((Q541-B541)*24,1))</f>
        <v>120</v>
      </c>
    </row>
    <row r="542" customFormat="false" ht="15" hidden="false" customHeight="false" outlineLevel="0" collapsed="false">
      <c r="A542" s="3" t="s">
        <v>1214</v>
      </c>
      <c r="B542" s="5" t="n">
        <v>46176.5951388889</v>
      </c>
      <c r="C542" s="3" t="s">
        <v>68</v>
      </c>
      <c r="D542" s="3" t="s">
        <v>212</v>
      </c>
      <c r="E542" s="3" t="s">
        <v>213</v>
      </c>
      <c r="F542" s="3" t="s">
        <v>33</v>
      </c>
      <c r="G542" s="3" t="s">
        <v>42</v>
      </c>
      <c r="H542" s="3" t="s">
        <v>1215</v>
      </c>
      <c r="I542" s="3" t="n">
        <v>4</v>
      </c>
      <c r="J542" s="3" t="n">
        <v>4</v>
      </c>
      <c r="K542" s="3" t="n">
        <v>2</v>
      </c>
      <c r="L542" s="3" t="n">
        <v>3</v>
      </c>
      <c r="M542" s="3" t="n">
        <v>3</v>
      </c>
      <c r="N542" s="3" t="n">
        <v>4</v>
      </c>
      <c r="O542" s="6" t="b">
        <f aca="false">FALSE()</f>
        <v>0</v>
      </c>
      <c r="P542" s="3" t="s">
        <v>49</v>
      </c>
      <c r="Q542" s="5" t="n">
        <v>46183.5951388889</v>
      </c>
      <c r="R542" s="5" t="n">
        <v>46184.2493055556</v>
      </c>
      <c r="S542" s="3" t="s">
        <v>37</v>
      </c>
      <c r="T542" s="7" t="n">
        <f aca="false">ROUND(MIN(IF(OR(O542=TRUE(),O542="TRUE",O542="Yes"),59,100),(I542*Rubric!$C$2+J542*Rubric!$C$3+K542*Rubric!$C$4+L542*Rubric!$C$5+M542*Rubric!$C$6+N542*Rubric!$C$7)/5),1)</f>
        <v>67</v>
      </c>
      <c r="U542" s="8" t="str">
        <f aca="false">LOOKUP(T542,Bands!$A$2:$A$6,Bands!$B$2:$B$6)</f>
        <v>Needs Improvement</v>
      </c>
      <c r="V542" s="8" t="n">
        <f aca="false">IF(Q542="","",ROUND((Q542-B542)*24,1))</f>
        <v>168</v>
      </c>
    </row>
    <row r="543" customFormat="false" ht="15" hidden="false" customHeight="false" outlineLevel="0" collapsed="false">
      <c r="A543" s="3" t="s">
        <v>1216</v>
      </c>
      <c r="B543" s="5" t="n">
        <v>46176.6423611111</v>
      </c>
      <c r="C543" s="3" t="s">
        <v>30</v>
      </c>
      <c r="D543" s="3" t="s">
        <v>111</v>
      </c>
      <c r="E543" s="3" t="s">
        <v>112</v>
      </c>
      <c r="F543" s="3" t="s">
        <v>33</v>
      </c>
      <c r="G543" s="3" t="s">
        <v>54</v>
      </c>
      <c r="H543" s="3" t="s">
        <v>1217</v>
      </c>
      <c r="I543" s="3" t="n">
        <v>2</v>
      </c>
      <c r="J543" s="3" t="n">
        <v>5</v>
      </c>
      <c r="K543" s="3" t="n">
        <v>3</v>
      </c>
      <c r="L543" s="3" t="n">
        <v>4</v>
      </c>
      <c r="M543" s="3" t="n">
        <v>3</v>
      </c>
      <c r="N543" s="3" t="n">
        <v>4</v>
      </c>
      <c r="O543" s="6" t="b">
        <f aca="false">FALSE()</f>
        <v>0</v>
      </c>
      <c r="P543" s="3" t="s">
        <v>88</v>
      </c>
      <c r="Q543" s="5" t="n">
        <v>46180.6423611111</v>
      </c>
      <c r="R543" s="5" t="n">
        <v>46181.1284722222</v>
      </c>
      <c r="S543" s="3" t="s">
        <v>37</v>
      </c>
      <c r="T543" s="7" t="n">
        <f aca="false">ROUND(MIN(IF(OR(O543=TRUE(),O543="TRUE",O543="Yes"),59,100),(I543*Rubric!$C$2+J543*Rubric!$C$3+K543*Rubric!$C$4+L543*Rubric!$C$5+M543*Rubric!$C$6+N543*Rubric!$C$7)/5),1)</f>
        <v>73</v>
      </c>
      <c r="U543" s="8" t="str">
        <f aca="false">LOOKUP(T543,Bands!$A$2:$A$6,Bands!$B$2:$B$6)</f>
        <v>Meets Expectations</v>
      </c>
      <c r="V543" s="8" t="n">
        <f aca="false">IF(Q543="","",ROUND((Q543-B543)*24,1))</f>
        <v>96</v>
      </c>
    </row>
    <row r="544" customFormat="false" ht="15" hidden="false" customHeight="false" outlineLevel="0" collapsed="false">
      <c r="A544" s="3" t="s">
        <v>1218</v>
      </c>
      <c r="B544" s="5" t="n">
        <v>46176.61875</v>
      </c>
      <c r="C544" s="3" t="s">
        <v>68</v>
      </c>
      <c r="D544" s="3" t="s">
        <v>40</v>
      </c>
      <c r="E544" s="3" t="s">
        <v>41</v>
      </c>
      <c r="F544" s="3" t="s">
        <v>33</v>
      </c>
      <c r="G544" s="3" t="s">
        <v>34</v>
      </c>
      <c r="H544" s="3" t="s">
        <v>1219</v>
      </c>
      <c r="I544" s="3" t="n">
        <v>3</v>
      </c>
      <c r="J544" s="3" t="n">
        <v>4</v>
      </c>
      <c r="K544" s="3" t="n">
        <v>4</v>
      </c>
      <c r="L544" s="3" t="n">
        <v>2</v>
      </c>
      <c r="M544" s="3" t="n">
        <v>4</v>
      </c>
      <c r="N544" s="3" t="n">
        <v>5</v>
      </c>
      <c r="O544" s="6" t="b">
        <f aca="false">FALSE()</f>
        <v>0</v>
      </c>
      <c r="P544" s="3" t="s">
        <v>44</v>
      </c>
      <c r="Q544" s="5" t="n">
        <v>46180.61875</v>
      </c>
      <c r="R544" s="5" t="n">
        <v>46186.8743055556</v>
      </c>
      <c r="S544" s="3" t="s">
        <v>37</v>
      </c>
      <c r="T544" s="7" t="n">
        <f aca="false">ROUND(MIN(IF(OR(O544=TRUE(),O544="TRUE",O544="Yes"),59,100),(I544*Rubric!$C$2+J544*Rubric!$C$3+K544*Rubric!$C$4+L544*Rubric!$C$5+M544*Rubric!$C$6+N544*Rubric!$C$7)/5),1)</f>
        <v>74</v>
      </c>
      <c r="U544" s="8" t="str">
        <f aca="false">LOOKUP(T544,Bands!$A$2:$A$6,Bands!$B$2:$B$6)</f>
        <v>Meets Expectations</v>
      </c>
      <c r="V544" s="8" t="n">
        <f aca="false">IF(Q544="","",ROUND((Q544-B544)*24,1))</f>
        <v>96</v>
      </c>
    </row>
    <row r="545" customFormat="false" ht="15" hidden="false" customHeight="false" outlineLevel="0" collapsed="false">
      <c r="A545" s="3" t="s">
        <v>1220</v>
      </c>
      <c r="B545" s="5" t="n">
        <v>46176.6840277778</v>
      </c>
      <c r="C545" s="3" t="s">
        <v>30</v>
      </c>
      <c r="D545" s="3" t="s">
        <v>77</v>
      </c>
      <c r="E545" s="3" t="s">
        <v>78</v>
      </c>
      <c r="F545" s="3" t="s">
        <v>33</v>
      </c>
      <c r="G545" s="3" t="s">
        <v>34</v>
      </c>
      <c r="H545" s="3" t="s">
        <v>1221</v>
      </c>
      <c r="I545" s="3" t="n">
        <v>5</v>
      </c>
      <c r="J545" s="3" t="n">
        <v>5</v>
      </c>
      <c r="K545" s="3" t="n">
        <v>3</v>
      </c>
      <c r="L545" s="3" t="n">
        <v>5</v>
      </c>
      <c r="M545" s="3" t="n">
        <v>5</v>
      </c>
      <c r="N545" s="3" t="n">
        <v>5</v>
      </c>
      <c r="O545" s="6" t="b">
        <f aca="false">FALSE()</f>
        <v>0</v>
      </c>
      <c r="P545" s="3"/>
      <c r="Q545" s="5" t="n">
        <v>46185.6840277778</v>
      </c>
      <c r="R545" s="5" t="n">
        <v>46187.1006944445</v>
      </c>
      <c r="S545" s="3" t="s">
        <v>37</v>
      </c>
      <c r="T545" s="7" t="n">
        <f aca="false">ROUND(MIN(IF(OR(O545=TRUE(),O545="TRUE",O545="Yes"),59,100),(I545*Rubric!$C$2+J545*Rubric!$C$3+K545*Rubric!$C$4+L545*Rubric!$C$5+M545*Rubric!$C$6+N545*Rubric!$C$7)/5),1)</f>
        <v>92</v>
      </c>
      <c r="U545" s="8" t="str">
        <f aca="false">LOOKUP(T545,Bands!$A$2:$A$6,Bands!$B$2:$B$6)</f>
        <v>Outstanding</v>
      </c>
      <c r="V545" s="8" t="n">
        <f aca="false">IF(Q545="","",ROUND((Q545-B545)*24,1))</f>
        <v>216</v>
      </c>
    </row>
    <row r="546" customFormat="false" ht="15" hidden="false" customHeight="false" outlineLevel="0" collapsed="false">
      <c r="A546" s="3" t="s">
        <v>1222</v>
      </c>
      <c r="B546" s="5" t="n">
        <v>46176.5416666667</v>
      </c>
      <c r="C546" s="3" t="s">
        <v>39</v>
      </c>
      <c r="D546" s="3" t="s">
        <v>145</v>
      </c>
      <c r="E546" s="3" t="s">
        <v>146</v>
      </c>
      <c r="F546" s="3" t="s">
        <v>33</v>
      </c>
      <c r="G546" s="3" t="s">
        <v>54</v>
      </c>
      <c r="H546" s="3" t="s">
        <v>1223</v>
      </c>
      <c r="I546" s="3" t="n">
        <v>4</v>
      </c>
      <c r="J546" s="3" t="n">
        <v>3</v>
      </c>
      <c r="K546" s="3" t="n">
        <v>4</v>
      </c>
      <c r="L546" s="3" t="n">
        <v>4</v>
      </c>
      <c r="M546" s="3" t="n">
        <v>4</v>
      </c>
      <c r="N546" s="3" t="n">
        <v>5</v>
      </c>
      <c r="O546" s="6" t="b">
        <f aca="false">FALSE()</f>
        <v>0</v>
      </c>
      <c r="P546" s="3"/>
      <c r="Q546" s="5" t="n">
        <v>46182.5416666667</v>
      </c>
      <c r="R546" s="5" t="n">
        <v>46184.1409722222</v>
      </c>
      <c r="S546" s="3" t="s">
        <v>37</v>
      </c>
      <c r="T546" s="7" t="n">
        <f aca="false">ROUND(MIN(IF(OR(O546=TRUE(),O546="TRUE",O546="Yes"),59,100),(I546*Rubric!$C$2+J546*Rubric!$C$3+K546*Rubric!$C$4+L546*Rubric!$C$5+M546*Rubric!$C$6+N546*Rubric!$C$7)/5),1)</f>
        <v>78</v>
      </c>
      <c r="U546" s="8" t="str">
        <f aca="false">LOOKUP(T546,Bands!$A$2:$A$6,Bands!$B$2:$B$6)</f>
        <v>Meets Expectations</v>
      </c>
      <c r="V546" s="8" t="n">
        <f aca="false">IF(Q546="","",ROUND((Q546-B546)*24,1))</f>
        <v>144</v>
      </c>
    </row>
    <row r="547" customFormat="false" ht="15" hidden="false" customHeight="false" outlineLevel="0" collapsed="false">
      <c r="A547" s="3" t="s">
        <v>1224</v>
      </c>
      <c r="B547" s="5" t="n">
        <v>46176.4583333333</v>
      </c>
      <c r="C547" s="3" t="s">
        <v>39</v>
      </c>
      <c r="D547" s="3" t="s">
        <v>155</v>
      </c>
      <c r="E547" s="3" t="s">
        <v>156</v>
      </c>
      <c r="F547" s="3" t="s">
        <v>65</v>
      </c>
      <c r="G547" s="3" t="s">
        <v>54</v>
      </c>
      <c r="H547" s="3" t="s">
        <v>1225</v>
      </c>
      <c r="I547" s="3" t="n">
        <v>2</v>
      </c>
      <c r="J547" s="3" t="n">
        <v>4</v>
      </c>
      <c r="K547" s="3" t="n">
        <v>4</v>
      </c>
      <c r="L547" s="3" t="n">
        <v>5</v>
      </c>
      <c r="M547" s="3" t="n">
        <v>5</v>
      </c>
      <c r="N547" s="3" t="n">
        <v>5</v>
      </c>
      <c r="O547" s="6" t="b">
        <f aca="false">FALSE()</f>
        <v>0</v>
      </c>
      <c r="P547" s="3" t="s">
        <v>88</v>
      </c>
      <c r="Q547" s="5" t="n">
        <v>46179.4583333333</v>
      </c>
      <c r="R547" s="5" t="n">
        <v>46180.4354166667</v>
      </c>
      <c r="S547" s="3" t="s">
        <v>37</v>
      </c>
      <c r="T547" s="7" t="n">
        <f aca="false">ROUND(MIN(IF(OR(O547=TRUE(),O547="TRUE",O547="Yes"),59,100),(I547*Rubric!$C$2+J547*Rubric!$C$3+K547*Rubric!$C$4+L547*Rubric!$C$5+M547*Rubric!$C$6+N547*Rubric!$C$7)/5),1)</f>
        <v>82</v>
      </c>
      <c r="U547" s="8" t="str">
        <f aca="false">LOOKUP(T547,Bands!$A$2:$A$6,Bands!$B$2:$B$6)</f>
        <v>Solid Performance</v>
      </c>
      <c r="V547" s="8" t="n">
        <f aca="false">IF(Q547="","",ROUND((Q547-B547)*24,1))</f>
        <v>72</v>
      </c>
    </row>
    <row r="548" customFormat="false" ht="15" hidden="false" customHeight="false" outlineLevel="0" collapsed="false">
      <c r="A548" s="3" t="s">
        <v>1226</v>
      </c>
      <c r="B548" s="5" t="n">
        <v>46176.3944444444</v>
      </c>
      <c r="C548" s="3" t="s">
        <v>30</v>
      </c>
      <c r="D548" s="3" t="s">
        <v>115</v>
      </c>
      <c r="E548" s="3" t="s">
        <v>116</v>
      </c>
      <c r="F548" s="3" t="s">
        <v>33</v>
      </c>
      <c r="G548" s="3" t="s">
        <v>42</v>
      </c>
      <c r="H548" s="3" t="s">
        <v>1227</v>
      </c>
      <c r="I548" s="3" t="n">
        <v>4</v>
      </c>
      <c r="J548" s="3" t="n">
        <v>4</v>
      </c>
      <c r="K548" s="3" t="n">
        <v>5</v>
      </c>
      <c r="L548" s="3" t="n">
        <v>5</v>
      </c>
      <c r="M548" s="3" t="n">
        <v>3</v>
      </c>
      <c r="N548" s="3" t="n">
        <v>4</v>
      </c>
      <c r="O548" s="6" t="b">
        <f aca="false">FALSE()</f>
        <v>0</v>
      </c>
      <c r="P548" s="3"/>
      <c r="Q548" s="5" t="n">
        <v>46185.3944444444</v>
      </c>
      <c r="R548" s="5" t="n">
        <v>46187.4361111111</v>
      </c>
      <c r="S548" s="3" t="s">
        <v>37</v>
      </c>
      <c r="T548" s="7" t="n">
        <f aca="false">ROUND(MIN(IF(OR(O548=TRUE(),O548="TRUE",O548="Yes"),59,100),(I548*Rubric!$C$2+J548*Rubric!$C$3+K548*Rubric!$C$4+L548*Rubric!$C$5+M548*Rubric!$C$6+N548*Rubric!$C$7)/5),1)</f>
        <v>85</v>
      </c>
      <c r="U548" s="8" t="str">
        <f aca="false">LOOKUP(T548,Bands!$A$2:$A$6,Bands!$B$2:$B$6)</f>
        <v>Solid Performance</v>
      </c>
      <c r="V548" s="8" t="n">
        <f aca="false">IF(Q548="","",ROUND((Q548-B548)*24,1))</f>
        <v>216</v>
      </c>
    </row>
    <row r="549" customFormat="false" ht="15" hidden="false" customHeight="false" outlineLevel="0" collapsed="false">
      <c r="A549" s="3" t="s">
        <v>1228</v>
      </c>
      <c r="B549" s="5" t="n">
        <v>46176.5583333333</v>
      </c>
      <c r="C549" s="3" t="s">
        <v>39</v>
      </c>
      <c r="D549" s="3" t="s">
        <v>46</v>
      </c>
      <c r="E549" s="3" t="s">
        <v>47</v>
      </c>
      <c r="F549" s="3" t="s">
        <v>33</v>
      </c>
      <c r="G549" s="3" t="s">
        <v>54</v>
      </c>
      <c r="H549" s="3" t="s">
        <v>1229</v>
      </c>
      <c r="I549" s="3" t="n">
        <v>4</v>
      </c>
      <c r="J549" s="3" t="n">
        <v>4</v>
      </c>
      <c r="K549" s="3" t="n">
        <v>2</v>
      </c>
      <c r="L549" s="3" t="n">
        <v>4</v>
      </c>
      <c r="M549" s="3" t="n">
        <v>4</v>
      </c>
      <c r="N549" s="3" t="n">
        <v>5</v>
      </c>
      <c r="O549" s="6" t="b">
        <f aca="false">FALSE()</f>
        <v>0</v>
      </c>
      <c r="P549" s="3" t="s">
        <v>49</v>
      </c>
      <c r="Q549" s="5" t="n">
        <v>46183.5583333333</v>
      </c>
      <c r="R549" s="5" t="n">
        <v>46184.9576388889</v>
      </c>
      <c r="S549" s="3" t="s">
        <v>37</v>
      </c>
      <c r="T549" s="7" t="n">
        <f aca="false">ROUND(MIN(IF(OR(O549=TRUE(),O549="TRUE",O549="Yes"),59,100),(I549*Rubric!$C$2+J549*Rubric!$C$3+K549*Rubric!$C$4+L549*Rubric!$C$5+M549*Rubric!$C$6+N549*Rubric!$C$7)/5),1)</f>
        <v>75</v>
      </c>
      <c r="U549" s="8" t="str">
        <f aca="false">LOOKUP(T549,Bands!$A$2:$A$6,Bands!$B$2:$B$6)</f>
        <v>Meets Expectations</v>
      </c>
      <c r="V549" s="8" t="n">
        <f aca="false">IF(Q549="","",ROUND((Q549-B549)*24,1))</f>
        <v>168</v>
      </c>
    </row>
    <row r="550" customFormat="false" ht="15" hidden="false" customHeight="false" outlineLevel="0" collapsed="false">
      <c r="A550" s="3" t="s">
        <v>1230</v>
      </c>
      <c r="B550" s="5" t="n">
        <v>46176.6013888889</v>
      </c>
      <c r="C550" s="3" t="s">
        <v>30</v>
      </c>
      <c r="D550" s="3" t="s">
        <v>198</v>
      </c>
      <c r="E550" s="3" t="s">
        <v>199</v>
      </c>
      <c r="F550" s="3" t="s">
        <v>33</v>
      </c>
      <c r="G550" s="3" t="s">
        <v>54</v>
      </c>
      <c r="H550" s="3" t="s">
        <v>1231</v>
      </c>
      <c r="I550" s="3" t="n">
        <v>4</v>
      </c>
      <c r="J550" s="3" t="n">
        <v>3</v>
      </c>
      <c r="K550" s="3" t="n">
        <v>4</v>
      </c>
      <c r="L550" s="3" t="n">
        <v>3</v>
      </c>
      <c r="M550" s="3" t="n">
        <v>3</v>
      </c>
      <c r="N550" s="3" t="n">
        <v>4</v>
      </c>
      <c r="O550" s="6" t="b">
        <f aca="false">FALSE()</f>
        <v>0</v>
      </c>
      <c r="P550" s="3"/>
      <c r="Q550" s="5" t="n">
        <v>46183.6013888889</v>
      </c>
      <c r="R550" s="5" t="n">
        <v>46184.3097222222</v>
      </c>
      <c r="S550" s="3" t="s">
        <v>37</v>
      </c>
      <c r="T550" s="7" t="n">
        <f aca="false">ROUND(MIN(IF(OR(O550=TRUE(),O550="TRUE",O550="Yes"),59,100),(I550*Rubric!$C$2+J550*Rubric!$C$3+K550*Rubric!$C$4+L550*Rubric!$C$5+M550*Rubric!$C$6+N550*Rubric!$C$7)/5),1)</f>
        <v>70</v>
      </c>
      <c r="U550" s="8" t="str">
        <f aca="false">LOOKUP(T550,Bands!$A$2:$A$6,Bands!$B$2:$B$6)</f>
        <v>Meets Expectations</v>
      </c>
      <c r="V550" s="8" t="n">
        <f aca="false">IF(Q550="","",ROUND((Q550-B550)*24,1))</f>
        <v>168</v>
      </c>
    </row>
    <row r="551" customFormat="false" ht="15" hidden="false" customHeight="false" outlineLevel="0" collapsed="false">
      <c r="A551" s="3" t="s">
        <v>1232</v>
      </c>
      <c r="B551" s="5" t="n">
        <v>46176.6875</v>
      </c>
      <c r="C551" s="3" t="s">
        <v>68</v>
      </c>
      <c r="D551" s="3" t="s">
        <v>96</v>
      </c>
      <c r="E551" s="3" t="s">
        <v>97</v>
      </c>
      <c r="F551" s="3" t="s">
        <v>33</v>
      </c>
      <c r="G551" s="3" t="s">
        <v>42</v>
      </c>
      <c r="H551" s="3" t="s">
        <v>1233</v>
      </c>
      <c r="I551" s="3" t="n">
        <v>5</v>
      </c>
      <c r="J551" s="3" t="n">
        <v>2</v>
      </c>
      <c r="K551" s="3" t="n">
        <v>5</v>
      </c>
      <c r="L551" s="3" t="n">
        <v>5</v>
      </c>
      <c r="M551" s="3" t="n">
        <v>4</v>
      </c>
      <c r="N551" s="3" t="n">
        <v>5</v>
      </c>
      <c r="O551" s="6" t="b">
        <f aca="false">FALSE()</f>
        <v>0</v>
      </c>
      <c r="P551" s="3" t="s">
        <v>56</v>
      </c>
      <c r="Q551" s="5" t="n">
        <v>46188.6875</v>
      </c>
      <c r="R551" s="5" t="n">
        <v>46189.7354166667</v>
      </c>
      <c r="S551" s="3" t="s">
        <v>37</v>
      </c>
      <c r="T551" s="7" t="n">
        <f aca="false">ROUND(MIN(IF(OR(O551=TRUE(),O551="TRUE",O551="Yes"),59,100),(I551*Rubric!$C$2+J551*Rubric!$C$3+K551*Rubric!$C$4+L551*Rubric!$C$5+M551*Rubric!$C$6+N551*Rubric!$C$7)/5),1)</f>
        <v>83</v>
      </c>
      <c r="U551" s="8" t="str">
        <f aca="false">LOOKUP(T551,Bands!$A$2:$A$6,Bands!$B$2:$B$6)</f>
        <v>Solid Performance</v>
      </c>
      <c r="V551" s="8" t="n">
        <f aca="false">IF(Q551="","",ROUND((Q551-B551)*24,1))</f>
        <v>288</v>
      </c>
    </row>
    <row r="552" customFormat="false" ht="15" hidden="false" customHeight="false" outlineLevel="0" collapsed="false">
      <c r="A552" s="3" t="s">
        <v>1234</v>
      </c>
      <c r="B552" s="5" t="n">
        <v>46176.41875</v>
      </c>
      <c r="C552" s="3" t="s">
        <v>39</v>
      </c>
      <c r="D552" s="3" t="s">
        <v>202</v>
      </c>
      <c r="E552" s="3" t="s">
        <v>203</v>
      </c>
      <c r="F552" s="3" t="s">
        <v>53</v>
      </c>
      <c r="G552" s="3" t="s">
        <v>54</v>
      </c>
      <c r="H552" s="3" t="s">
        <v>1235</v>
      </c>
      <c r="I552" s="3" t="n">
        <v>3</v>
      </c>
      <c r="J552" s="3" t="n">
        <v>4</v>
      </c>
      <c r="K552" s="3" t="n">
        <v>4</v>
      </c>
      <c r="L552" s="3" t="n">
        <v>3</v>
      </c>
      <c r="M552" s="3" t="n">
        <v>5</v>
      </c>
      <c r="N552" s="3" t="n">
        <v>3</v>
      </c>
      <c r="O552" s="6" t="b">
        <f aca="false">FALSE()</f>
        <v>0</v>
      </c>
      <c r="P552" s="3"/>
      <c r="Q552" s="5" t="n">
        <v>46180.41875</v>
      </c>
      <c r="R552" s="5" t="n">
        <v>46181.1854166667</v>
      </c>
      <c r="S552" s="3" t="s">
        <v>37</v>
      </c>
      <c r="T552" s="7" t="n">
        <f aca="false">ROUND(MIN(IF(OR(O552=TRUE(),O552="TRUE",O552="Yes"),59,100),(I552*Rubric!$C$2+J552*Rubric!$C$3+K552*Rubric!$C$4+L552*Rubric!$C$5+M552*Rubric!$C$6+N552*Rubric!$C$7)/5),1)</f>
        <v>73</v>
      </c>
      <c r="U552" s="8" t="str">
        <f aca="false">LOOKUP(T552,Bands!$A$2:$A$6,Bands!$B$2:$B$6)</f>
        <v>Meets Expectations</v>
      </c>
      <c r="V552" s="8" t="n">
        <f aca="false">IF(Q552="","",ROUND((Q552-B552)*24,1))</f>
        <v>96</v>
      </c>
    </row>
    <row r="553" customFormat="false" ht="15" hidden="false" customHeight="false" outlineLevel="0" collapsed="false">
      <c r="A553" s="3" t="s">
        <v>1236</v>
      </c>
      <c r="B553" s="5" t="n">
        <v>46176.61875</v>
      </c>
      <c r="C553" s="3" t="s">
        <v>68</v>
      </c>
      <c r="D553" s="3" t="s">
        <v>238</v>
      </c>
      <c r="E553" s="3" t="s">
        <v>239</v>
      </c>
      <c r="F553" s="3" t="s">
        <v>33</v>
      </c>
      <c r="G553" s="3" t="s">
        <v>54</v>
      </c>
      <c r="H553" s="3" t="s">
        <v>1237</v>
      </c>
      <c r="I553" s="3" t="n">
        <v>5</v>
      </c>
      <c r="J553" s="3" t="n">
        <v>4</v>
      </c>
      <c r="K553" s="3" t="n">
        <v>4</v>
      </c>
      <c r="L553" s="3" t="n">
        <v>3</v>
      </c>
      <c r="M553" s="3" t="n">
        <v>3</v>
      </c>
      <c r="N553" s="3" t="n">
        <v>4</v>
      </c>
      <c r="O553" s="6" t="b">
        <f aca="false">FALSE()</f>
        <v>0</v>
      </c>
      <c r="P553" s="3"/>
      <c r="Q553" s="5" t="n">
        <v>46180.61875</v>
      </c>
      <c r="R553" s="5" t="n">
        <v>46180.7597222222</v>
      </c>
      <c r="S553" s="3" t="s">
        <v>37</v>
      </c>
      <c r="T553" s="7" t="n">
        <f aca="false">ROUND(MIN(IF(OR(O553=TRUE(),O553="TRUE",O553="Yes"),59,100),(I553*Rubric!$C$2+J553*Rubric!$C$3+K553*Rubric!$C$4+L553*Rubric!$C$5+M553*Rubric!$C$6+N553*Rubric!$C$7)/5),1)</f>
        <v>78</v>
      </c>
      <c r="U553" s="8" t="str">
        <f aca="false">LOOKUP(T553,Bands!$A$2:$A$6,Bands!$B$2:$B$6)</f>
        <v>Meets Expectations</v>
      </c>
      <c r="V553" s="8" t="n">
        <f aca="false">IF(Q553="","",ROUND((Q553-B553)*24,1))</f>
        <v>96</v>
      </c>
    </row>
    <row r="554" customFormat="false" ht="15" hidden="false" customHeight="false" outlineLevel="0" collapsed="false">
      <c r="A554" s="3" t="s">
        <v>1238</v>
      </c>
      <c r="B554" s="5" t="n">
        <v>46177.4819444444</v>
      </c>
      <c r="C554" s="3" t="s">
        <v>30</v>
      </c>
      <c r="D554" s="3" t="s">
        <v>161</v>
      </c>
      <c r="E554" s="3" t="s">
        <v>162</v>
      </c>
      <c r="F554" s="3" t="s">
        <v>33</v>
      </c>
      <c r="G554" s="3" t="s">
        <v>54</v>
      </c>
      <c r="H554" s="3" t="s">
        <v>1239</v>
      </c>
      <c r="I554" s="3" t="n">
        <v>4</v>
      </c>
      <c r="J554" s="3" t="n">
        <v>4</v>
      </c>
      <c r="K554" s="3" t="n">
        <v>4</v>
      </c>
      <c r="L554" s="3" t="n">
        <v>3</v>
      </c>
      <c r="M554" s="3" t="n">
        <v>2</v>
      </c>
      <c r="N554" s="3" t="n">
        <v>5</v>
      </c>
      <c r="O554" s="6" t="b">
        <f aca="false">FALSE()</f>
        <v>0</v>
      </c>
      <c r="P554" s="3" t="s">
        <v>103</v>
      </c>
      <c r="Q554" s="5" t="n">
        <v>46180.4819444444</v>
      </c>
      <c r="R554" s="5" t="n">
        <v>46183.2979166667</v>
      </c>
      <c r="S554" s="3" t="s">
        <v>37</v>
      </c>
      <c r="T554" s="7" t="n">
        <f aca="false">ROUND(MIN(IF(OR(O554=TRUE(),O554="TRUE",O554="Yes"),59,100),(I554*Rubric!$C$2+J554*Rubric!$C$3+K554*Rubric!$C$4+L554*Rubric!$C$5+M554*Rubric!$C$6+N554*Rubric!$C$7)/5),1)</f>
        <v>76</v>
      </c>
      <c r="U554" s="8" t="str">
        <f aca="false">LOOKUP(T554,Bands!$A$2:$A$6,Bands!$B$2:$B$6)</f>
        <v>Meets Expectations</v>
      </c>
      <c r="V554" s="8" t="n">
        <f aca="false">IF(Q554="","",ROUND((Q554-B554)*24,1))</f>
        <v>72</v>
      </c>
    </row>
    <row r="555" customFormat="false" ht="15" hidden="false" customHeight="false" outlineLevel="0" collapsed="false">
      <c r="A555" s="3" t="s">
        <v>1240</v>
      </c>
      <c r="B555" s="5" t="n">
        <v>46177.6944444445</v>
      </c>
      <c r="C555" s="3" t="s">
        <v>39</v>
      </c>
      <c r="D555" s="3" t="s">
        <v>228</v>
      </c>
      <c r="E555" s="3" t="s">
        <v>229</v>
      </c>
      <c r="F555" s="3" t="s">
        <v>65</v>
      </c>
      <c r="G555" s="3" t="s">
        <v>42</v>
      </c>
      <c r="H555" s="3" t="s">
        <v>1241</v>
      </c>
      <c r="I555" s="3" t="n">
        <v>4</v>
      </c>
      <c r="J555" s="3" t="n">
        <v>3</v>
      </c>
      <c r="K555" s="3" t="n">
        <v>3</v>
      </c>
      <c r="L555" s="3" t="n">
        <v>3</v>
      </c>
      <c r="M555" s="3" t="n">
        <v>3</v>
      </c>
      <c r="N555" s="3" t="n">
        <v>2</v>
      </c>
      <c r="O555" s="6" t="b">
        <f aca="false">FALSE()</f>
        <v>0</v>
      </c>
      <c r="P555" s="3" t="s">
        <v>36</v>
      </c>
      <c r="Q555" s="5" t="n">
        <v>46186.6944444445</v>
      </c>
      <c r="R555" s="5" t="n">
        <v>46189.9541666667</v>
      </c>
      <c r="S555" s="3" t="s">
        <v>37</v>
      </c>
      <c r="T555" s="7" t="n">
        <f aca="false">ROUND(MIN(IF(OR(O555=TRUE(),O555="TRUE",O555="Yes"),59,100),(I555*Rubric!$C$2+J555*Rubric!$C$3+K555*Rubric!$C$4+L555*Rubric!$C$5+M555*Rubric!$C$6+N555*Rubric!$C$7)/5),1)</f>
        <v>60</v>
      </c>
      <c r="U555" s="8" t="str">
        <f aca="false">LOOKUP(T555,Bands!$A$2:$A$6,Bands!$B$2:$B$6)</f>
        <v>Needs Improvement</v>
      </c>
      <c r="V555" s="8" t="n">
        <f aca="false">IF(Q555="","",ROUND((Q555-B555)*24,1))</f>
        <v>216</v>
      </c>
    </row>
    <row r="556" customFormat="false" ht="15" hidden="false" customHeight="false" outlineLevel="0" collapsed="false">
      <c r="A556" s="3" t="s">
        <v>1242</v>
      </c>
      <c r="B556" s="5" t="n">
        <v>46177.40625</v>
      </c>
      <c r="C556" s="3" t="s">
        <v>30</v>
      </c>
      <c r="D556" s="3" t="s">
        <v>46</v>
      </c>
      <c r="E556" s="3" t="s">
        <v>47</v>
      </c>
      <c r="F556" s="3" t="s">
        <v>33</v>
      </c>
      <c r="G556" s="3" t="s">
        <v>54</v>
      </c>
      <c r="H556" s="3" t="s">
        <v>1243</v>
      </c>
      <c r="I556" s="3" t="n">
        <v>5</v>
      </c>
      <c r="J556" s="3" t="n">
        <v>4</v>
      </c>
      <c r="K556" s="3" t="n">
        <v>2</v>
      </c>
      <c r="L556" s="3" t="n">
        <v>5</v>
      </c>
      <c r="M556" s="3" t="n">
        <v>5</v>
      </c>
      <c r="N556" s="3" t="n">
        <v>4</v>
      </c>
      <c r="O556" s="6" t="b">
        <f aca="false">FALSE()</f>
        <v>0</v>
      </c>
      <c r="P556" s="3" t="s">
        <v>49</v>
      </c>
      <c r="Q556" s="5" t="n">
        <v>46181.40625</v>
      </c>
      <c r="R556" s="5" t="n">
        <v>46181.7694444444</v>
      </c>
      <c r="S556" s="3" t="s">
        <v>37</v>
      </c>
      <c r="T556" s="7" t="n">
        <f aca="false">ROUND(MIN(IF(OR(O556=TRUE(),O556="TRUE",O556="Yes"),59,100),(I556*Rubric!$C$2+J556*Rubric!$C$3+K556*Rubric!$C$4+L556*Rubric!$C$5+M556*Rubric!$C$6+N556*Rubric!$C$7)/5),1)</f>
        <v>80</v>
      </c>
      <c r="U556" s="8" t="str">
        <f aca="false">LOOKUP(T556,Bands!$A$2:$A$6,Bands!$B$2:$B$6)</f>
        <v>Solid Performance</v>
      </c>
      <c r="V556" s="8" t="n">
        <f aca="false">IF(Q556="","",ROUND((Q556-B556)*24,1))</f>
        <v>96</v>
      </c>
    </row>
    <row r="557" customFormat="false" ht="15" hidden="false" customHeight="false" outlineLevel="0" collapsed="false">
      <c r="A557" s="3" t="s">
        <v>1244</v>
      </c>
      <c r="B557" s="5" t="n">
        <v>46177.5361111111</v>
      </c>
      <c r="C557" s="3" t="s">
        <v>68</v>
      </c>
      <c r="D557" s="3" t="s">
        <v>105</v>
      </c>
      <c r="E557" s="3" t="s">
        <v>106</v>
      </c>
      <c r="F557" s="3" t="s">
        <v>65</v>
      </c>
      <c r="G557" s="3" t="s">
        <v>54</v>
      </c>
      <c r="H557" s="3" t="s">
        <v>1245</v>
      </c>
      <c r="I557" s="3" t="n">
        <v>4</v>
      </c>
      <c r="J557" s="3" t="n">
        <v>2</v>
      </c>
      <c r="K557" s="3" t="n">
        <v>4</v>
      </c>
      <c r="L557" s="3" t="n">
        <v>4</v>
      </c>
      <c r="M557" s="3" t="n">
        <v>4</v>
      </c>
      <c r="N557" s="3" t="n">
        <v>4</v>
      </c>
      <c r="O557" s="6" t="b">
        <f aca="false">FALSE()</f>
        <v>0</v>
      </c>
      <c r="P557" s="3" t="s">
        <v>56</v>
      </c>
      <c r="Q557" s="5" t="n">
        <v>46182.5361111111</v>
      </c>
      <c r="R557" s="5" t="n">
        <v>46183.025</v>
      </c>
      <c r="S557" s="3" t="s">
        <v>37</v>
      </c>
      <c r="T557" s="7" t="n">
        <f aca="false">ROUND(MIN(IF(OR(O557=TRUE(),O557="TRUE",O557="Yes"),59,100),(I557*Rubric!$C$2+J557*Rubric!$C$3+K557*Rubric!$C$4+L557*Rubric!$C$5+M557*Rubric!$C$6+N557*Rubric!$C$7)/5),1)</f>
        <v>70</v>
      </c>
      <c r="U557" s="8" t="str">
        <f aca="false">LOOKUP(T557,Bands!$A$2:$A$6,Bands!$B$2:$B$6)</f>
        <v>Meets Expectations</v>
      </c>
      <c r="V557" s="8" t="n">
        <f aca="false">IF(Q557="","",ROUND((Q557-B557)*24,1))</f>
        <v>120</v>
      </c>
    </row>
    <row r="558" customFormat="false" ht="15" hidden="false" customHeight="false" outlineLevel="0" collapsed="false">
      <c r="A558" s="3" t="s">
        <v>1246</v>
      </c>
      <c r="B558" s="5" t="n">
        <v>46177.3770833333</v>
      </c>
      <c r="C558" s="3" t="s">
        <v>68</v>
      </c>
      <c r="D558" s="3" t="s">
        <v>167</v>
      </c>
      <c r="E558" s="3" t="s">
        <v>168</v>
      </c>
      <c r="F558" s="3" t="s">
        <v>33</v>
      </c>
      <c r="G558" s="3" t="s">
        <v>42</v>
      </c>
      <c r="H558" s="3" t="s">
        <v>1247</v>
      </c>
      <c r="I558" s="3" t="n">
        <v>3</v>
      </c>
      <c r="J558" s="3" t="n">
        <v>2</v>
      </c>
      <c r="K558" s="3" t="n">
        <v>3</v>
      </c>
      <c r="L558" s="3" t="n">
        <v>3</v>
      </c>
      <c r="M558" s="3" t="n">
        <v>3</v>
      </c>
      <c r="N558" s="3" t="n">
        <v>3</v>
      </c>
      <c r="O558" s="6" t="b">
        <f aca="false">FALSE()</f>
        <v>0</v>
      </c>
      <c r="P558" s="3" t="s">
        <v>56</v>
      </c>
      <c r="Q558" s="5" t="n">
        <v>46182.3770833333</v>
      </c>
      <c r="R558" s="5" t="n">
        <v>46186.4076388889</v>
      </c>
      <c r="S558" s="3" t="s">
        <v>37</v>
      </c>
      <c r="T558" s="7" t="n">
        <f aca="false">ROUND(MIN(IF(OR(O558=TRUE(),O558="TRUE",O558="Yes"),59,100),(I558*Rubric!$C$2+J558*Rubric!$C$3+K558*Rubric!$C$4+L558*Rubric!$C$5+M558*Rubric!$C$6+N558*Rubric!$C$7)/5),1)</f>
        <v>55</v>
      </c>
      <c r="U558" s="8" t="str">
        <f aca="false">LOOKUP(T558,Bands!$A$2:$A$6,Bands!$B$2:$B$6)</f>
        <v>Critical</v>
      </c>
      <c r="V558" s="8" t="n">
        <f aca="false">IF(Q558="","",ROUND((Q558-B558)*24,1))</f>
        <v>120</v>
      </c>
    </row>
    <row r="559" customFormat="false" ht="15" hidden="false" customHeight="false" outlineLevel="0" collapsed="false">
      <c r="A559" s="3" t="s">
        <v>1248</v>
      </c>
      <c r="B559" s="5" t="n">
        <v>46177.5479166667</v>
      </c>
      <c r="C559" s="3" t="s">
        <v>30</v>
      </c>
      <c r="D559" s="3" t="s">
        <v>90</v>
      </c>
      <c r="E559" s="3" t="s">
        <v>91</v>
      </c>
      <c r="F559" s="3" t="s">
        <v>65</v>
      </c>
      <c r="G559" s="3" t="s">
        <v>42</v>
      </c>
      <c r="H559" s="3" t="s">
        <v>1249</v>
      </c>
      <c r="I559" s="3" t="n">
        <v>5</v>
      </c>
      <c r="J559" s="3" t="n">
        <v>5</v>
      </c>
      <c r="K559" s="3" t="n">
        <v>4</v>
      </c>
      <c r="L559" s="3" t="n">
        <v>3</v>
      </c>
      <c r="M559" s="3" t="n">
        <v>5</v>
      </c>
      <c r="N559" s="3" t="n">
        <v>5</v>
      </c>
      <c r="O559" s="6" t="b">
        <f aca="false">FALSE()</f>
        <v>0</v>
      </c>
      <c r="P559" s="3"/>
      <c r="Q559" s="5" t="n">
        <v>46182.5479166667</v>
      </c>
      <c r="R559" s="5" t="n">
        <v>46183.0805555556</v>
      </c>
      <c r="S559" s="3" t="s">
        <v>37</v>
      </c>
      <c r="T559" s="7" t="n">
        <f aca="false">ROUND(MIN(IF(OR(O559=TRUE(),O559="TRUE",O559="Yes"),59,100),(I559*Rubric!$C$2+J559*Rubric!$C$3+K559*Rubric!$C$4+L559*Rubric!$C$5+M559*Rubric!$C$6+N559*Rubric!$C$7)/5),1)</f>
        <v>90</v>
      </c>
      <c r="U559" s="8" t="str">
        <f aca="false">LOOKUP(T559,Bands!$A$2:$A$6,Bands!$B$2:$B$6)</f>
        <v>Outstanding</v>
      </c>
      <c r="V559" s="8" t="n">
        <f aca="false">IF(Q559="","",ROUND((Q559-B559)*24,1))</f>
        <v>120</v>
      </c>
    </row>
    <row r="560" customFormat="false" ht="15" hidden="false" customHeight="false" outlineLevel="0" collapsed="false">
      <c r="A560" s="3" t="s">
        <v>1250</v>
      </c>
      <c r="B560" s="5" t="n">
        <v>46177.6819444444</v>
      </c>
      <c r="C560" s="3" t="s">
        <v>39</v>
      </c>
      <c r="D560" s="3" t="s">
        <v>69</v>
      </c>
      <c r="E560" s="3" t="s">
        <v>70</v>
      </c>
      <c r="F560" s="3" t="s">
        <v>65</v>
      </c>
      <c r="G560" s="3" t="s">
        <v>34</v>
      </c>
      <c r="H560" s="3" t="s">
        <v>1251</v>
      </c>
      <c r="I560" s="3" t="n">
        <v>3</v>
      </c>
      <c r="J560" s="3" t="n">
        <v>4</v>
      </c>
      <c r="K560" s="3" t="n">
        <v>4</v>
      </c>
      <c r="L560" s="3" t="n">
        <v>5</v>
      </c>
      <c r="M560" s="3" t="n">
        <v>4</v>
      </c>
      <c r="N560" s="3" t="n">
        <v>4</v>
      </c>
      <c r="O560" s="6" t="b">
        <f aca="false">FALSE()</f>
        <v>0</v>
      </c>
      <c r="P560" s="3"/>
      <c r="Q560" s="5" t="n">
        <v>46183.6819444444</v>
      </c>
      <c r="R560" s="5" t="n">
        <v>46183.6909722222</v>
      </c>
      <c r="S560" s="3" t="s">
        <v>37</v>
      </c>
      <c r="T560" s="7" t="n">
        <f aca="false">ROUND(MIN(IF(OR(O560=TRUE(),O560="TRUE",O560="Yes"),59,100),(I560*Rubric!$C$2+J560*Rubric!$C$3+K560*Rubric!$C$4+L560*Rubric!$C$5+M560*Rubric!$C$6+N560*Rubric!$C$7)/5),1)</f>
        <v>80</v>
      </c>
      <c r="U560" s="8" t="str">
        <f aca="false">LOOKUP(T560,Bands!$A$2:$A$6,Bands!$B$2:$B$6)</f>
        <v>Solid Performance</v>
      </c>
      <c r="V560" s="8" t="n">
        <f aca="false">IF(Q560="","",ROUND((Q560-B560)*24,1))</f>
        <v>144</v>
      </c>
    </row>
    <row r="561" customFormat="false" ht="15" hidden="false" customHeight="false" outlineLevel="0" collapsed="false">
      <c r="A561" s="3" t="s">
        <v>1252</v>
      </c>
      <c r="B561" s="5" t="n">
        <v>46177.4145833333</v>
      </c>
      <c r="C561" s="3" t="s">
        <v>39</v>
      </c>
      <c r="D561" s="3" t="s">
        <v>51</v>
      </c>
      <c r="E561" s="3" t="s">
        <v>52</v>
      </c>
      <c r="F561" s="3" t="s">
        <v>53</v>
      </c>
      <c r="G561" s="3" t="s">
        <v>34</v>
      </c>
      <c r="H561" s="3" t="s">
        <v>1253</v>
      </c>
      <c r="I561" s="3" t="n">
        <v>3</v>
      </c>
      <c r="J561" s="3" t="n">
        <v>3</v>
      </c>
      <c r="K561" s="3" t="n">
        <v>5</v>
      </c>
      <c r="L561" s="3" t="n">
        <v>4</v>
      </c>
      <c r="M561" s="3" t="n">
        <v>4</v>
      </c>
      <c r="N561" s="3" t="n">
        <v>4</v>
      </c>
      <c r="O561" s="6" t="b">
        <f aca="false">FALSE()</f>
        <v>0</v>
      </c>
      <c r="P561" s="3"/>
      <c r="Q561" s="5" t="n">
        <v>46180.4145833333</v>
      </c>
      <c r="R561" s="5" t="n">
        <v>46184.3569444444</v>
      </c>
      <c r="S561" s="3" t="s">
        <v>37</v>
      </c>
      <c r="T561" s="7" t="n">
        <f aca="false">ROUND(MIN(IF(OR(O561=TRUE(),O561="TRUE",O561="Yes"),59,100),(I561*Rubric!$C$2+J561*Rubric!$C$3+K561*Rubric!$C$4+L561*Rubric!$C$5+M561*Rubric!$C$6+N561*Rubric!$C$7)/5),1)</f>
        <v>76</v>
      </c>
      <c r="U561" s="8" t="str">
        <f aca="false">LOOKUP(T561,Bands!$A$2:$A$6,Bands!$B$2:$B$6)</f>
        <v>Meets Expectations</v>
      </c>
      <c r="V561" s="8" t="n">
        <f aca="false">IF(Q561="","",ROUND((Q561-B561)*24,1))</f>
        <v>72</v>
      </c>
    </row>
    <row r="562" customFormat="false" ht="15" hidden="false" customHeight="false" outlineLevel="0" collapsed="false">
      <c r="A562" s="3" t="s">
        <v>1254</v>
      </c>
      <c r="B562" s="5" t="n">
        <v>46177.4041666667</v>
      </c>
      <c r="C562" s="3" t="s">
        <v>30</v>
      </c>
      <c r="D562" s="3" t="s">
        <v>265</v>
      </c>
      <c r="E562" s="3" t="s">
        <v>266</v>
      </c>
      <c r="F562" s="3" t="s">
        <v>33</v>
      </c>
      <c r="G562" s="3" t="s">
        <v>42</v>
      </c>
      <c r="H562" s="3" t="s">
        <v>1255</v>
      </c>
      <c r="I562" s="3" t="n">
        <v>3</v>
      </c>
      <c r="J562" s="3" t="n">
        <v>2</v>
      </c>
      <c r="K562" s="3" t="n">
        <v>3</v>
      </c>
      <c r="L562" s="3" t="n">
        <v>3</v>
      </c>
      <c r="M562" s="3" t="n">
        <v>3</v>
      </c>
      <c r="N562" s="3" t="n">
        <v>3</v>
      </c>
      <c r="O562" s="6" t="b">
        <f aca="false">FALSE()</f>
        <v>0</v>
      </c>
      <c r="P562" s="3" t="s">
        <v>56</v>
      </c>
      <c r="Q562" s="5" t="n">
        <v>46182.4041666667</v>
      </c>
      <c r="R562" s="5" t="n">
        <v>46183.6833333333</v>
      </c>
      <c r="S562" s="3" t="s">
        <v>37</v>
      </c>
      <c r="T562" s="7" t="n">
        <f aca="false">ROUND(MIN(IF(OR(O562=TRUE(),O562="TRUE",O562="Yes"),59,100),(I562*Rubric!$C$2+J562*Rubric!$C$3+K562*Rubric!$C$4+L562*Rubric!$C$5+M562*Rubric!$C$6+N562*Rubric!$C$7)/5),1)</f>
        <v>55</v>
      </c>
      <c r="U562" s="8" t="str">
        <f aca="false">LOOKUP(T562,Bands!$A$2:$A$6,Bands!$B$2:$B$6)</f>
        <v>Critical</v>
      </c>
      <c r="V562" s="8" t="n">
        <f aca="false">IF(Q562="","",ROUND((Q562-B562)*24,1))</f>
        <v>120</v>
      </c>
    </row>
    <row r="563" customFormat="false" ht="15" hidden="false" customHeight="false" outlineLevel="0" collapsed="false">
      <c r="A563" s="3" t="s">
        <v>1256</v>
      </c>
      <c r="B563" s="5" t="n">
        <v>46177.4027777778</v>
      </c>
      <c r="C563" s="3" t="s">
        <v>68</v>
      </c>
      <c r="D563" s="3" t="s">
        <v>119</v>
      </c>
      <c r="E563" s="3" t="s">
        <v>120</v>
      </c>
      <c r="F563" s="3" t="s">
        <v>33</v>
      </c>
      <c r="G563" s="3" t="s">
        <v>54</v>
      </c>
      <c r="H563" s="3" t="s">
        <v>1257</v>
      </c>
      <c r="I563" s="3" t="n">
        <v>4</v>
      </c>
      <c r="J563" s="3" t="n">
        <v>4</v>
      </c>
      <c r="K563" s="3" t="n">
        <v>5</v>
      </c>
      <c r="L563" s="3" t="n">
        <v>3</v>
      </c>
      <c r="M563" s="3" t="n">
        <v>4</v>
      </c>
      <c r="N563" s="3" t="n">
        <v>3</v>
      </c>
      <c r="O563" s="6" t="b">
        <f aca="false">FALSE()</f>
        <v>0</v>
      </c>
      <c r="P563" s="3"/>
      <c r="Q563" s="5" t="n">
        <v>46183.4027777778</v>
      </c>
      <c r="R563" s="5" t="n">
        <v>46191.3256944444</v>
      </c>
      <c r="S563" s="3" t="s">
        <v>37</v>
      </c>
      <c r="T563" s="7" t="n">
        <f aca="false">ROUND(MIN(IF(OR(O563=TRUE(),O563="TRUE",O563="Yes"),59,100),(I563*Rubric!$C$2+J563*Rubric!$C$3+K563*Rubric!$C$4+L563*Rubric!$C$5+M563*Rubric!$C$6+N563*Rubric!$C$7)/5),1)</f>
        <v>78</v>
      </c>
      <c r="U563" s="8" t="str">
        <f aca="false">LOOKUP(T563,Bands!$A$2:$A$6,Bands!$B$2:$B$6)</f>
        <v>Meets Expectations</v>
      </c>
      <c r="V563" s="8" t="n">
        <f aca="false">IF(Q563="","",ROUND((Q563-B563)*24,1))</f>
        <v>144</v>
      </c>
    </row>
    <row r="564" customFormat="false" ht="15" hidden="false" customHeight="false" outlineLevel="0" collapsed="false">
      <c r="A564" s="3" t="s">
        <v>1258</v>
      </c>
      <c r="B564" s="5" t="n">
        <v>46177.5638888889</v>
      </c>
      <c r="C564" s="3" t="s">
        <v>30</v>
      </c>
      <c r="D564" s="3" t="s">
        <v>58</v>
      </c>
      <c r="E564" s="3" t="s">
        <v>59</v>
      </c>
      <c r="F564" s="3" t="s">
        <v>53</v>
      </c>
      <c r="G564" s="3" t="s">
        <v>54</v>
      </c>
      <c r="H564" s="3" t="s">
        <v>1259</v>
      </c>
      <c r="I564" s="3" t="n">
        <v>3</v>
      </c>
      <c r="J564" s="3" t="n">
        <v>3</v>
      </c>
      <c r="K564" s="3" t="n">
        <v>2</v>
      </c>
      <c r="L564" s="3" t="n">
        <v>3</v>
      </c>
      <c r="M564" s="3" t="n">
        <v>3</v>
      </c>
      <c r="N564" s="3" t="n">
        <v>3</v>
      </c>
      <c r="O564" s="6" t="b">
        <f aca="false">FALSE()</f>
        <v>0</v>
      </c>
      <c r="P564" s="3" t="s">
        <v>49</v>
      </c>
      <c r="Q564" s="5" t="n">
        <v>46189.5638888889</v>
      </c>
      <c r="R564" s="5" t="n">
        <v>46190.1416666667</v>
      </c>
      <c r="S564" s="3" t="s">
        <v>37</v>
      </c>
      <c r="T564" s="7" t="n">
        <f aca="false">ROUND(MIN(IF(OR(O564=TRUE(),O564="TRUE",O564="Yes"),59,100),(I564*Rubric!$C$2+J564*Rubric!$C$3+K564*Rubric!$C$4+L564*Rubric!$C$5+M564*Rubric!$C$6+N564*Rubric!$C$7)/5),1)</f>
        <v>56</v>
      </c>
      <c r="U564" s="8" t="str">
        <f aca="false">LOOKUP(T564,Bands!$A$2:$A$6,Bands!$B$2:$B$6)</f>
        <v>Critical</v>
      </c>
      <c r="V564" s="8" t="n">
        <f aca="false">IF(Q564="","",ROUND((Q564-B564)*24,1))</f>
        <v>288</v>
      </c>
    </row>
    <row r="565" customFormat="false" ht="15" hidden="false" customHeight="false" outlineLevel="0" collapsed="false">
      <c r="A565" s="3" t="s">
        <v>1260</v>
      </c>
      <c r="B565" s="5" t="n">
        <v>46177.7027777778</v>
      </c>
      <c r="C565" s="3" t="s">
        <v>39</v>
      </c>
      <c r="D565" s="3" t="s">
        <v>251</v>
      </c>
      <c r="E565" s="3" t="s">
        <v>252</v>
      </c>
      <c r="F565" s="3" t="s">
        <v>53</v>
      </c>
      <c r="G565" s="3" t="s">
        <v>42</v>
      </c>
      <c r="H565" s="3" t="s">
        <v>1261</v>
      </c>
      <c r="I565" s="3" t="n">
        <v>4</v>
      </c>
      <c r="J565" s="3" t="n">
        <v>3</v>
      </c>
      <c r="K565" s="3" t="n">
        <v>4</v>
      </c>
      <c r="L565" s="3" t="n">
        <v>3</v>
      </c>
      <c r="M565" s="3" t="n">
        <v>2</v>
      </c>
      <c r="N565" s="3" t="n">
        <v>4</v>
      </c>
      <c r="O565" s="6" t="b">
        <f aca="false">FALSE()</f>
        <v>0</v>
      </c>
      <c r="P565" s="3" t="s">
        <v>103</v>
      </c>
      <c r="Q565" s="5" t="n">
        <v>46182.7027777778</v>
      </c>
      <c r="R565" s="5" t="n">
        <v>46186.6743055556</v>
      </c>
      <c r="S565" s="3" t="s">
        <v>37</v>
      </c>
      <c r="T565" s="7" t="n">
        <f aca="false">ROUND(MIN(IF(OR(O565=TRUE(),O565="TRUE",O565="Yes"),59,100),(I565*Rubric!$C$2+J565*Rubric!$C$3+K565*Rubric!$C$4+L565*Rubric!$C$5+M565*Rubric!$C$6+N565*Rubric!$C$7)/5),1)</f>
        <v>68</v>
      </c>
      <c r="U565" s="8" t="str">
        <f aca="false">LOOKUP(T565,Bands!$A$2:$A$6,Bands!$B$2:$B$6)</f>
        <v>Needs Improvement</v>
      </c>
      <c r="V565" s="8" t="n">
        <f aca="false">IF(Q565="","",ROUND((Q565-B565)*24,1))</f>
        <v>120</v>
      </c>
    </row>
    <row r="566" customFormat="false" ht="15" hidden="false" customHeight="false" outlineLevel="0" collapsed="false">
      <c r="A566" s="3" t="s">
        <v>1262</v>
      </c>
      <c r="B566" s="5" t="n">
        <v>46178.4638888889</v>
      </c>
      <c r="C566" s="3" t="s">
        <v>68</v>
      </c>
      <c r="D566" s="3" t="s">
        <v>259</v>
      </c>
      <c r="E566" s="3" t="s">
        <v>260</v>
      </c>
      <c r="F566" s="3" t="s">
        <v>33</v>
      </c>
      <c r="G566" s="3" t="s">
        <v>34</v>
      </c>
      <c r="H566" s="3" t="s">
        <v>1263</v>
      </c>
      <c r="I566" s="3" t="n">
        <v>5</v>
      </c>
      <c r="J566" s="3" t="n">
        <v>5</v>
      </c>
      <c r="K566" s="3" t="n">
        <v>4</v>
      </c>
      <c r="L566" s="3" t="n">
        <v>5</v>
      </c>
      <c r="M566" s="3" t="n">
        <v>5</v>
      </c>
      <c r="N566" s="3" t="n">
        <v>4</v>
      </c>
      <c r="O566" s="6" t="b">
        <f aca="false">FALSE()</f>
        <v>0</v>
      </c>
      <c r="P566" s="3"/>
      <c r="Q566" s="5" t="n">
        <v>46182.4638888889</v>
      </c>
      <c r="R566" s="5" t="n">
        <v>46182.8798611111</v>
      </c>
      <c r="S566" s="3" t="s">
        <v>37</v>
      </c>
      <c r="T566" s="7" t="n">
        <f aca="false">ROUND(MIN(IF(OR(O566=TRUE(),O566="TRUE",O566="Yes"),59,100),(I566*Rubric!$C$2+J566*Rubric!$C$3+K566*Rubric!$C$4+L566*Rubric!$C$5+M566*Rubric!$C$6+N566*Rubric!$C$7)/5),1)</f>
        <v>93</v>
      </c>
      <c r="U566" s="8" t="str">
        <f aca="false">LOOKUP(T566,Bands!$A$2:$A$6,Bands!$B$2:$B$6)</f>
        <v>Outstanding</v>
      </c>
      <c r="V566" s="8" t="n">
        <f aca="false">IF(Q566="","",ROUND((Q566-B566)*24,1))</f>
        <v>96</v>
      </c>
    </row>
    <row r="567" customFormat="false" ht="15" hidden="false" customHeight="false" outlineLevel="0" collapsed="false">
      <c r="A567" s="3" t="s">
        <v>1264</v>
      </c>
      <c r="B567" s="5" t="n">
        <v>46178.6340277778</v>
      </c>
      <c r="C567" s="3" t="s">
        <v>30</v>
      </c>
      <c r="D567" s="3" t="s">
        <v>63</v>
      </c>
      <c r="E567" s="3" t="s">
        <v>64</v>
      </c>
      <c r="F567" s="3" t="s">
        <v>65</v>
      </c>
      <c r="G567" s="3" t="s">
        <v>54</v>
      </c>
      <c r="H567" s="3" t="s">
        <v>1265</v>
      </c>
      <c r="I567" s="3" t="n">
        <v>4</v>
      </c>
      <c r="J567" s="3" t="n">
        <v>5</v>
      </c>
      <c r="K567" s="3" t="n">
        <v>2</v>
      </c>
      <c r="L567" s="3" t="n">
        <v>3</v>
      </c>
      <c r="M567" s="3" t="n">
        <v>4</v>
      </c>
      <c r="N567" s="3" t="n">
        <v>4</v>
      </c>
      <c r="O567" s="6" t="b">
        <f aca="false">FALSE()</f>
        <v>0</v>
      </c>
      <c r="P567" s="3" t="s">
        <v>49</v>
      </c>
      <c r="Q567" s="5" t="n">
        <v>46185.6340277778</v>
      </c>
      <c r="R567" s="5" t="n">
        <v>46187.75</v>
      </c>
      <c r="S567" s="3" t="s">
        <v>37</v>
      </c>
      <c r="T567" s="7" t="n">
        <f aca="false">ROUND(MIN(IF(OR(O567=TRUE(),O567="TRUE",O567="Yes"),59,100),(I567*Rubric!$C$2+J567*Rubric!$C$3+K567*Rubric!$C$4+L567*Rubric!$C$5+M567*Rubric!$C$6+N567*Rubric!$C$7)/5),1)</f>
        <v>74</v>
      </c>
      <c r="U567" s="8" t="str">
        <f aca="false">LOOKUP(T567,Bands!$A$2:$A$6,Bands!$B$2:$B$6)</f>
        <v>Meets Expectations</v>
      </c>
      <c r="V567" s="8" t="n">
        <f aca="false">IF(Q567="","",ROUND((Q567-B567)*24,1))</f>
        <v>168</v>
      </c>
    </row>
    <row r="568" customFormat="false" ht="15" hidden="false" customHeight="false" outlineLevel="0" collapsed="false">
      <c r="A568" s="3" t="s">
        <v>1266</v>
      </c>
      <c r="B568" s="5" t="n">
        <v>46178.6993055556</v>
      </c>
      <c r="C568" s="3" t="s">
        <v>30</v>
      </c>
      <c r="D568" s="3" t="s">
        <v>100</v>
      </c>
      <c r="E568" s="3" t="s">
        <v>101</v>
      </c>
      <c r="F568" s="3" t="s">
        <v>33</v>
      </c>
      <c r="G568" s="3" t="s">
        <v>42</v>
      </c>
      <c r="H568" s="3" t="s">
        <v>1267</v>
      </c>
      <c r="I568" s="3" t="n">
        <v>4</v>
      </c>
      <c r="J568" s="3" t="n">
        <v>4</v>
      </c>
      <c r="K568" s="3" t="n">
        <v>5</v>
      </c>
      <c r="L568" s="3" t="n">
        <v>4</v>
      </c>
      <c r="M568" s="3" t="n">
        <v>3</v>
      </c>
      <c r="N568" s="3" t="n">
        <v>4</v>
      </c>
      <c r="O568" s="6" t="b">
        <f aca="false">FALSE()</f>
        <v>0</v>
      </c>
      <c r="P568" s="3"/>
      <c r="Q568" s="5" t="n">
        <v>46182.6993055556</v>
      </c>
      <c r="R568" s="5" t="n">
        <v>46182.86875</v>
      </c>
      <c r="S568" s="3" t="s">
        <v>37</v>
      </c>
      <c r="T568" s="7" t="n">
        <f aca="false">ROUND(MIN(IF(OR(O568=TRUE(),O568="TRUE",O568="Yes"),59,100),(I568*Rubric!$C$2+J568*Rubric!$C$3+K568*Rubric!$C$4+L568*Rubric!$C$5+M568*Rubric!$C$6+N568*Rubric!$C$7)/5),1)</f>
        <v>82</v>
      </c>
      <c r="U568" s="8" t="str">
        <f aca="false">LOOKUP(T568,Bands!$A$2:$A$6,Bands!$B$2:$B$6)</f>
        <v>Solid Performance</v>
      </c>
      <c r="V568" s="8" t="n">
        <f aca="false">IF(Q568="","",ROUND((Q568-B568)*24,1))</f>
        <v>96</v>
      </c>
    </row>
    <row r="569" customFormat="false" ht="15" hidden="false" customHeight="false" outlineLevel="0" collapsed="false">
      <c r="A569" s="3" t="s">
        <v>1268</v>
      </c>
      <c r="B569" s="5" t="n">
        <v>46178.5604166667</v>
      </c>
      <c r="C569" s="3" t="s">
        <v>39</v>
      </c>
      <c r="D569" s="3" t="s">
        <v>119</v>
      </c>
      <c r="E569" s="3" t="s">
        <v>120</v>
      </c>
      <c r="F569" s="3" t="s">
        <v>33</v>
      </c>
      <c r="G569" s="3" t="s">
        <v>42</v>
      </c>
      <c r="H569" s="3" t="s">
        <v>1269</v>
      </c>
      <c r="I569" s="3" t="n">
        <v>4</v>
      </c>
      <c r="J569" s="3" t="n">
        <v>4</v>
      </c>
      <c r="K569" s="3" t="n">
        <v>5</v>
      </c>
      <c r="L569" s="3" t="n">
        <v>5</v>
      </c>
      <c r="M569" s="3" t="n">
        <v>5</v>
      </c>
      <c r="N569" s="3" t="n">
        <v>3</v>
      </c>
      <c r="O569" s="6" t="b">
        <f aca="false">FALSE()</f>
        <v>0</v>
      </c>
      <c r="P569" s="3"/>
      <c r="Q569" s="5" t="n">
        <v>46185.5604166667</v>
      </c>
      <c r="R569" s="5" t="n">
        <v>46189.4861111111</v>
      </c>
      <c r="S569" s="3" t="s">
        <v>37</v>
      </c>
      <c r="T569" s="7" t="n">
        <f aca="false">ROUND(MIN(IF(OR(O569=TRUE(),O569="TRUE",O569="Yes"),59,100),(I569*Rubric!$C$2+J569*Rubric!$C$3+K569*Rubric!$C$4+L569*Rubric!$C$5+M569*Rubric!$C$6+N569*Rubric!$C$7)/5),1)</f>
        <v>86</v>
      </c>
      <c r="U569" s="8" t="str">
        <f aca="false">LOOKUP(T569,Bands!$A$2:$A$6,Bands!$B$2:$B$6)</f>
        <v>Solid Performance</v>
      </c>
      <c r="V569" s="8" t="n">
        <f aca="false">IF(Q569="","",ROUND((Q569-B569)*24,1))</f>
        <v>168</v>
      </c>
    </row>
    <row r="570" customFormat="false" ht="15" hidden="false" customHeight="false" outlineLevel="0" collapsed="false">
      <c r="A570" s="3" t="s">
        <v>1270</v>
      </c>
      <c r="B570" s="5" t="n">
        <v>46178.4590277778</v>
      </c>
      <c r="C570" s="3" t="s">
        <v>30</v>
      </c>
      <c r="D570" s="3" t="s">
        <v>58</v>
      </c>
      <c r="E570" s="3" t="s">
        <v>59</v>
      </c>
      <c r="F570" s="3" t="s">
        <v>53</v>
      </c>
      <c r="G570" s="3" t="s">
        <v>42</v>
      </c>
      <c r="H570" s="3" t="s">
        <v>1271</v>
      </c>
      <c r="I570" s="3" t="n">
        <v>4</v>
      </c>
      <c r="J570" s="3" t="n">
        <v>3</v>
      </c>
      <c r="K570" s="3" t="n">
        <v>2</v>
      </c>
      <c r="L570" s="3" t="n">
        <v>2</v>
      </c>
      <c r="M570" s="3" t="n">
        <v>5</v>
      </c>
      <c r="N570" s="3" t="n">
        <v>3</v>
      </c>
      <c r="O570" s="6" t="b">
        <f aca="false">FALSE()</f>
        <v>0</v>
      </c>
      <c r="P570" s="3" t="s">
        <v>1272</v>
      </c>
      <c r="Q570" s="5" t="n">
        <v>46183.4590277778</v>
      </c>
      <c r="R570" s="5" t="n">
        <v>46184.4541666667</v>
      </c>
      <c r="S570" s="3" t="s">
        <v>37</v>
      </c>
      <c r="T570" s="7" t="n">
        <f aca="false">ROUND(MIN(IF(OR(O570=TRUE(),O570="TRUE",O570="Yes"),59,100),(I570*Rubric!$C$2+J570*Rubric!$C$3+K570*Rubric!$C$4+L570*Rubric!$C$5+M570*Rubric!$C$6+N570*Rubric!$C$7)/5),1)</f>
        <v>60</v>
      </c>
      <c r="U570" s="8" t="str">
        <f aca="false">LOOKUP(T570,Bands!$A$2:$A$6,Bands!$B$2:$B$6)</f>
        <v>Needs Improvement</v>
      </c>
      <c r="V570" s="8" t="n">
        <f aca="false">IF(Q570="","",ROUND((Q570-B570)*24,1))</f>
        <v>120</v>
      </c>
    </row>
    <row r="571" customFormat="false" ht="15" hidden="false" customHeight="false" outlineLevel="0" collapsed="false">
      <c r="A571" s="3" t="s">
        <v>1273</v>
      </c>
      <c r="B571" s="5" t="n">
        <v>46178.4784722222</v>
      </c>
      <c r="C571" s="3" t="s">
        <v>39</v>
      </c>
      <c r="D571" s="3" t="s">
        <v>111</v>
      </c>
      <c r="E571" s="3" t="s">
        <v>112</v>
      </c>
      <c r="F571" s="3" t="s">
        <v>33</v>
      </c>
      <c r="G571" s="3" t="s">
        <v>42</v>
      </c>
      <c r="H571" s="3" t="s">
        <v>1274</v>
      </c>
      <c r="I571" s="3" t="n">
        <v>4</v>
      </c>
      <c r="J571" s="3" t="n">
        <v>4</v>
      </c>
      <c r="K571" s="3" t="n">
        <v>4</v>
      </c>
      <c r="L571" s="3" t="n">
        <v>5</v>
      </c>
      <c r="M571" s="3" t="n">
        <v>4</v>
      </c>
      <c r="N571" s="3" t="n">
        <v>5</v>
      </c>
      <c r="O571" s="6" t="b">
        <f aca="false">FALSE()</f>
        <v>0</v>
      </c>
      <c r="P571" s="3"/>
      <c r="Q571" s="5" t="n">
        <v>46184.4784722222</v>
      </c>
      <c r="R571" s="5" t="n">
        <v>46185.0368055556</v>
      </c>
      <c r="S571" s="3" t="s">
        <v>37</v>
      </c>
      <c r="T571" s="7" t="n">
        <f aca="false">ROUND(MIN(IF(OR(O571=TRUE(),O571="TRUE",O571="Yes"),59,100),(I571*Rubric!$C$2+J571*Rubric!$C$3+K571*Rubric!$C$4+L571*Rubric!$C$5+M571*Rubric!$C$6+N571*Rubric!$C$7)/5),1)</f>
        <v>86</v>
      </c>
      <c r="U571" s="8" t="str">
        <f aca="false">LOOKUP(T571,Bands!$A$2:$A$6,Bands!$B$2:$B$6)</f>
        <v>Solid Performance</v>
      </c>
      <c r="V571" s="8" t="n">
        <f aca="false">IF(Q571="","",ROUND((Q571-B571)*24,1))</f>
        <v>144</v>
      </c>
    </row>
    <row r="572" customFormat="false" ht="15" hidden="false" customHeight="false" outlineLevel="0" collapsed="false">
      <c r="A572" s="3" t="s">
        <v>1275</v>
      </c>
      <c r="B572" s="5" t="n">
        <v>46178.5652777778</v>
      </c>
      <c r="C572" s="3" t="s">
        <v>30</v>
      </c>
      <c r="D572" s="3" t="s">
        <v>151</v>
      </c>
      <c r="E572" s="3" t="s">
        <v>152</v>
      </c>
      <c r="F572" s="3" t="s">
        <v>33</v>
      </c>
      <c r="G572" s="3" t="s">
        <v>42</v>
      </c>
      <c r="H572" s="3" t="s">
        <v>1276</v>
      </c>
      <c r="I572" s="3" t="n">
        <v>4</v>
      </c>
      <c r="J572" s="3" t="n">
        <v>2</v>
      </c>
      <c r="K572" s="3" t="n">
        <v>4</v>
      </c>
      <c r="L572" s="3" t="n">
        <v>4</v>
      </c>
      <c r="M572" s="3" t="n">
        <v>4</v>
      </c>
      <c r="N572" s="3" t="n">
        <v>5</v>
      </c>
      <c r="O572" s="6" t="b">
        <f aca="false">FALSE()</f>
        <v>0</v>
      </c>
      <c r="P572" s="3" t="s">
        <v>56</v>
      </c>
      <c r="Q572" s="5" t="n">
        <v>46185.5652777778</v>
      </c>
      <c r="R572" s="5" t="n">
        <v>46185.8826388889</v>
      </c>
      <c r="S572" s="3" t="s">
        <v>37</v>
      </c>
      <c r="T572" s="7" t="n">
        <f aca="false">ROUND(MIN(IF(OR(O572=TRUE(),O572="TRUE",O572="Yes"),59,100),(I572*Rubric!$C$2+J572*Rubric!$C$3+K572*Rubric!$C$4+L572*Rubric!$C$5+M572*Rubric!$C$6+N572*Rubric!$C$7)/5),1)</f>
        <v>73</v>
      </c>
      <c r="U572" s="8" t="str">
        <f aca="false">LOOKUP(T572,Bands!$A$2:$A$6,Bands!$B$2:$B$6)</f>
        <v>Meets Expectations</v>
      </c>
      <c r="V572" s="8" t="n">
        <f aca="false">IF(Q572="","",ROUND((Q572-B572)*24,1))</f>
        <v>168</v>
      </c>
    </row>
    <row r="573" customFormat="false" ht="15" hidden="false" customHeight="false" outlineLevel="0" collapsed="false">
      <c r="A573" s="3" t="s">
        <v>1277</v>
      </c>
      <c r="B573" s="5" t="n">
        <v>46178.5319444445</v>
      </c>
      <c r="C573" s="3" t="s">
        <v>68</v>
      </c>
      <c r="D573" s="3" t="s">
        <v>137</v>
      </c>
      <c r="E573" s="3" t="s">
        <v>138</v>
      </c>
      <c r="F573" s="3" t="s">
        <v>65</v>
      </c>
      <c r="G573" s="3" t="s">
        <v>42</v>
      </c>
      <c r="H573" s="3" t="s">
        <v>1278</v>
      </c>
      <c r="I573" s="3" t="n">
        <v>2</v>
      </c>
      <c r="J573" s="3" t="n">
        <v>3</v>
      </c>
      <c r="K573" s="3" t="n">
        <v>5</v>
      </c>
      <c r="L573" s="3" t="n">
        <v>5</v>
      </c>
      <c r="M573" s="3" t="n">
        <v>5</v>
      </c>
      <c r="N573" s="3" t="n">
        <v>4</v>
      </c>
      <c r="O573" s="6" t="b">
        <f aca="false">FALSE()</f>
        <v>0</v>
      </c>
      <c r="P573" s="3" t="s">
        <v>88</v>
      </c>
      <c r="Q573" s="5" t="n">
        <v>46181.5319444445</v>
      </c>
      <c r="R573" s="5" t="n">
        <v>46181.5993055556</v>
      </c>
      <c r="S573" s="3" t="s">
        <v>37</v>
      </c>
      <c r="T573" s="7" t="n">
        <f aca="false">ROUND(MIN(IF(OR(O573=TRUE(),O573="TRUE",O573="Yes"),59,100),(I573*Rubric!$C$2+J573*Rubric!$C$3+K573*Rubric!$C$4+L573*Rubric!$C$5+M573*Rubric!$C$6+N573*Rubric!$C$7)/5),1)</f>
        <v>78</v>
      </c>
      <c r="U573" s="8" t="str">
        <f aca="false">LOOKUP(T573,Bands!$A$2:$A$6,Bands!$B$2:$B$6)</f>
        <v>Meets Expectations</v>
      </c>
      <c r="V573" s="8" t="n">
        <f aca="false">IF(Q573="","",ROUND((Q573-B573)*24,1))</f>
        <v>72</v>
      </c>
    </row>
    <row r="574" customFormat="false" ht="15" hidden="false" customHeight="false" outlineLevel="0" collapsed="false">
      <c r="A574" s="3" t="s">
        <v>1279</v>
      </c>
      <c r="B574" s="5" t="n">
        <v>46178.6201388889</v>
      </c>
      <c r="C574" s="3" t="s">
        <v>39</v>
      </c>
      <c r="D574" s="3" t="s">
        <v>366</v>
      </c>
      <c r="E574" s="3" t="s">
        <v>367</v>
      </c>
      <c r="F574" s="3" t="s">
        <v>53</v>
      </c>
      <c r="G574" s="3" t="s">
        <v>54</v>
      </c>
      <c r="H574" s="3" t="s">
        <v>1280</v>
      </c>
      <c r="I574" s="3" t="n">
        <v>4</v>
      </c>
      <c r="J574" s="3" t="n">
        <v>4</v>
      </c>
      <c r="K574" s="3" t="n">
        <v>2</v>
      </c>
      <c r="L574" s="3" t="n">
        <v>5</v>
      </c>
      <c r="M574" s="3" t="n">
        <v>5</v>
      </c>
      <c r="N574" s="3" t="n">
        <v>5</v>
      </c>
      <c r="O574" s="6" t="b">
        <f aca="false">FALSE()</f>
        <v>0</v>
      </c>
      <c r="P574" s="3" t="s">
        <v>49</v>
      </c>
      <c r="Q574" s="5" t="n">
        <v>46185.6201388889</v>
      </c>
      <c r="R574" s="5" t="n">
        <v>46185.8298611111</v>
      </c>
      <c r="S574" s="3" t="s">
        <v>37</v>
      </c>
      <c r="T574" s="7" t="n">
        <f aca="false">ROUND(MIN(IF(OR(O574=TRUE(),O574="TRUE",O574="Yes"),59,100),(I574*Rubric!$C$2+J574*Rubric!$C$3+K574*Rubric!$C$4+L574*Rubric!$C$5+M574*Rubric!$C$6+N574*Rubric!$C$7)/5),1)</f>
        <v>80</v>
      </c>
      <c r="U574" s="8" t="str">
        <f aca="false">LOOKUP(T574,Bands!$A$2:$A$6,Bands!$B$2:$B$6)</f>
        <v>Solid Performance</v>
      </c>
      <c r="V574" s="8" t="n">
        <f aca="false">IF(Q574="","",ROUND((Q574-B574)*24,1))</f>
        <v>168</v>
      </c>
    </row>
    <row r="575" customFormat="false" ht="15" hidden="false" customHeight="false" outlineLevel="0" collapsed="false">
      <c r="A575" s="3" t="s">
        <v>1281</v>
      </c>
      <c r="B575" s="5" t="n">
        <v>46178.6076388889</v>
      </c>
      <c r="C575" s="3" t="s">
        <v>39</v>
      </c>
      <c r="D575" s="3" t="s">
        <v>133</v>
      </c>
      <c r="E575" s="3" t="s">
        <v>134</v>
      </c>
      <c r="F575" s="3" t="s">
        <v>33</v>
      </c>
      <c r="G575" s="3" t="s">
        <v>42</v>
      </c>
      <c r="H575" s="3" t="s">
        <v>1282</v>
      </c>
      <c r="I575" s="3" t="n">
        <v>5</v>
      </c>
      <c r="J575" s="3" t="n">
        <v>3</v>
      </c>
      <c r="K575" s="3" t="n">
        <v>5</v>
      </c>
      <c r="L575" s="3" t="n">
        <v>3</v>
      </c>
      <c r="M575" s="3" t="n">
        <v>5</v>
      </c>
      <c r="N575" s="3" t="n">
        <v>5</v>
      </c>
      <c r="O575" s="6" t="b">
        <f aca="false">FALSE()</f>
        <v>0</v>
      </c>
      <c r="P575" s="3"/>
      <c r="Q575" s="5" t="n">
        <v>46187.6076388889</v>
      </c>
      <c r="R575" s="5" t="n">
        <v>46187.6784722222</v>
      </c>
      <c r="S575" s="3" t="s">
        <v>37</v>
      </c>
      <c r="T575" s="7" t="n">
        <f aca="false">ROUND(MIN(IF(OR(O575=TRUE(),O575="TRUE",O575="Yes"),59,100),(I575*Rubric!$C$2+J575*Rubric!$C$3+K575*Rubric!$C$4+L575*Rubric!$C$5+M575*Rubric!$C$6+N575*Rubric!$C$7)/5),1)</f>
        <v>84</v>
      </c>
      <c r="U575" s="8" t="str">
        <f aca="false">LOOKUP(T575,Bands!$A$2:$A$6,Bands!$B$2:$B$6)</f>
        <v>Solid Performance</v>
      </c>
      <c r="V575" s="8" t="n">
        <f aca="false">IF(Q575="","",ROUND((Q575-B575)*24,1))</f>
        <v>216</v>
      </c>
    </row>
    <row r="576" customFormat="false" ht="15" hidden="false" customHeight="false" outlineLevel="0" collapsed="false">
      <c r="A576" s="3" t="s">
        <v>1283</v>
      </c>
      <c r="B576" s="5" t="n">
        <v>46178.5736111111</v>
      </c>
      <c r="C576" s="3" t="s">
        <v>68</v>
      </c>
      <c r="D576" s="3" t="s">
        <v>105</v>
      </c>
      <c r="E576" s="3" t="s">
        <v>106</v>
      </c>
      <c r="F576" s="3" t="s">
        <v>65</v>
      </c>
      <c r="G576" s="3" t="s">
        <v>42</v>
      </c>
      <c r="H576" s="3" t="s">
        <v>1284</v>
      </c>
      <c r="I576" s="3" t="n">
        <v>5</v>
      </c>
      <c r="J576" s="3" t="n">
        <v>3</v>
      </c>
      <c r="K576" s="3" t="n">
        <v>5</v>
      </c>
      <c r="L576" s="3" t="n">
        <v>3</v>
      </c>
      <c r="M576" s="3" t="n">
        <v>4</v>
      </c>
      <c r="N576" s="3" t="n">
        <v>4</v>
      </c>
      <c r="O576" s="6" t="b">
        <f aca="false">FALSE()</f>
        <v>0</v>
      </c>
      <c r="P576" s="3"/>
      <c r="Q576" s="5" t="n">
        <v>46190.5736111111</v>
      </c>
      <c r="R576" s="5" t="n">
        <v>46191.7347222222</v>
      </c>
      <c r="S576" s="3" t="s">
        <v>37</v>
      </c>
      <c r="T576" s="7" t="n">
        <f aca="false">ROUND(MIN(IF(OR(O576=TRUE(),O576="TRUE",O576="Yes"),59,100),(I576*Rubric!$C$2+J576*Rubric!$C$3+K576*Rubric!$C$4+L576*Rubric!$C$5+M576*Rubric!$C$6+N576*Rubric!$C$7)/5),1)</f>
        <v>79</v>
      </c>
      <c r="U576" s="8" t="str">
        <f aca="false">LOOKUP(T576,Bands!$A$2:$A$6,Bands!$B$2:$B$6)</f>
        <v>Meets Expectations</v>
      </c>
      <c r="V576" s="8" t="n">
        <f aca="false">IF(Q576="","",ROUND((Q576-B576)*24,1))</f>
        <v>288</v>
      </c>
    </row>
    <row r="577" customFormat="false" ht="15" hidden="false" customHeight="false" outlineLevel="0" collapsed="false">
      <c r="A577" s="3" t="s">
        <v>1285</v>
      </c>
      <c r="B577" s="5" t="n">
        <v>46178.40625</v>
      </c>
      <c r="C577" s="3" t="s">
        <v>30</v>
      </c>
      <c r="D577" s="3" t="s">
        <v>228</v>
      </c>
      <c r="E577" s="3" t="s">
        <v>229</v>
      </c>
      <c r="F577" s="3" t="s">
        <v>65</v>
      </c>
      <c r="G577" s="3" t="s">
        <v>34</v>
      </c>
      <c r="H577" s="3" t="s">
        <v>1286</v>
      </c>
      <c r="I577" s="3" t="n">
        <v>2</v>
      </c>
      <c r="J577" s="3" t="n">
        <v>3</v>
      </c>
      <c r="K577" s="3" t="n">
        <v>3</v>
      </c>
      <c r="L577" s="3" t="n">
        <v>3</v>
      </c>
      <c r="M577" s="3" t="n">
        <v>4</v>
      </c>
      <c r="N577" s="3" t="n">
        <v>3</v>
      </c>
      <c r="O577" s="6" t="b">
        <f aca="false">FALSE()</f>
        <v>0</v>
      </c>
      <c r="P577" s="3" t="s">
        <v>88</v>
      </c>
      <c r="Q577" s="5" t="n">
        <v>46184.40625</v>
      </c>
      <c r="R577" s="5" t="n">
        <v>46186.0715277778</v>
      </c>
      <c r="S577" s="3" t="s">
        <v>37</v>
      </c>
      <c r="T577" s="7" t="n">
        <f aca="false">ROUND(MIN(IF(OR(O577=TRUE(),O577="TRUE",O577="Yes"),59,100),(I577*Rubric!$C$2+J577*Rubric!$C$3+K577*Rubric!$C$4+L577*Rubric!$C$5+M577*Rubric!$C$6+N577*Rubric!$C$7)/5),1)</f>
        <v>59</v>
      </c>
      <c r="U577" s="8" t="str">
        <f aca="false">LOOKUP(T577,Bands!$A$2:$A$6,Bands!$B$2:$B$6)</f>
        <v>Critical</v>
      </c>
      <c r="V577" s="8" t="n">
        <f aca="false">IF(Q577="","",ROUND((Q577-B577)*24,1))</f>
        <v>144</v>
      </c>
    </row>
    <row r="578" customFormat="false" ht="15" hidden="false" customHeight="false" outlineLevel="0" collapsed="false">
      <c r="A578" s="3" t="s">
        <v>1287</v>
      </c>
      <c r="B578" s="5" t="n">
        <v>46181.5222222222</v>
      </c>
      <c r="C578" s="3" t="s">
        <v>30</v>
      </c>
      <c r="D578" s="3" t="s">
        <v>81</v>
      </c>
      <c r="E578" s="3" t="s">
        <v>82</v>
      </c>
      <c r="F578" s="3" t="s">
        <v>65</v>
      </c>
      <c r="G578" s="3" t="s">
        <v>42</v>
      </c>
      <c r="H578" s="3" t="s">
        <v>1288</v>
      </c>
      <c r="I578" s="3" t="n">
        <v>4</v>
      </c>
      <c r="J578" s="3" t="n">
        <v>2</v>
      </c>
      <c r="K578" s="3" t="n">
        <v>5</v>
      </c>
      <c r="L578" s="3" t="n">
        <v>4</v>
      </c>
      <c r="M578" s="3" t="n">
        <v>5</v>
      </c>
      <c r="N578" s="3" t="n">
        <v>4</v>
      </c>
      <c r="O578" s="6" t="b">
        <f aca="false">FALSE()</f>
        <v>0</v>
      </c>
      <c r="P578" s="3" t="s">
        <v>56</v>
      </c>
      <c r="Q578" s="5" t="n">
        <v>46186.5222222222</v>
      </c>
      <c r="R578" s="5" t="n">
        <v>46186.8118055556</v>
      </c>
      <c r="S578" s="3" t="s">
        <v>37</v>
      </c>
      <c r="T578" s="7" t="n">
        <f aca="false">ROUND(MIN(IF(OR(O578=TRUE(),O578="TRUE",O578="Yes"),59,100),(I578*Rubric!$C$2+J578*Rubric!$C$3+K578*Rubric!$C$4+L578*Rubric!$C$5+M578*Rubric!$C$6+N578*Rubric!$C$7)/5),1)</f>
        <v>76</v>
      </c>
      <c r="U578" s="8" t="str">
        <f aca="false">LOOKUP(T578,Bands!$A$2:$A$6,Bands!$B$2:$B$6)</f>
        <v>Meets Expectations</v>
      </c>
      <c r="V578" s="8" t="n">
        <f aca="false">IF(Q578="","",ROUND((Q578-B578)*24,1))</f>
        <v>120</v>
      </c>
    </row>
    <row r="579" customFormat="false" ht="15" hidden="false" customHeight="false" outlineLevel="0" collapsed="false">
      <c r="A579" s="3" t="s">
        <v>1289</v>
      </c>
      <c r="B579" s="5" t="n">
        <v>46181.69375</v>
      </c>
      <c r="C579" s="3" t="s">
        <v>30</v>
      </c>
      <c r="D579" s="3" t="s">
        <v>58</v>
      </c>
      <c r="E579" s="3" t="s">
        <v>59</v>
      </c>
      <c r="F579" s="3" t="s">
        <v>53</v>
      </c>
      <c r="G579" s="3" t="s">
        <v>54</v>
      </c>
      <c r="H579" s="3" t="s">
        <v>1290</v>
      </c>
      <c r="I579" s="3" t="n">
        <v>2</v>
      </c>
      <c r="J579" s="3" t="n">
        <v>4</v>
      </c>
      <c r="K579" s="3" t="n">
        <v>2</v>
      </c>
      <c r="L579" s="3" t="n">
        <v>3</v>
      </c>
      <c r="M579" s="3" t="n">
        <v>3</v>
      </c>
      <c r="N579" s="3" t="n">
        <v>3</v>
      </c>
      <c r="O579" s="6" t="b">
        <f aca="false">FALSE()</f>
        <v>0</v>
      </c>
      <c r="P579" s="3" t="s">
        <v>180</v>
      </c>
      <c r="Q579" s="5" t="n">
        <v>46190.69375</v>
      </c>
      <c r="R579" s="5" t="n">
        <v>46191.3354166667</v>
      </c>
      <c r="S579" s="3" t="s">
        <v>37</v>
      </c>
      <c r="T579" s="7" t="n">
        <f aca="false">ROUND(MIN(IF(OR(O579=TRUE(),O579="TRUE",O579="Yes"),59,100),(I579*Rubric!$C$2+J579*Rubric!$C$3+K579*Rubric!$C$4+L579*Rubric!$C$5+M579*Rubric!$C$6+N579*Rubric!$C$7)/5),1)</f>
        <v>58</v>
      </c>
      <c r="U579" s="8" t="str">
        <f aca="false">LOOKUP(T579,Bands!$A$2:$A$6,Bands!$B$2:$B$6)</f>
        <v>Critical</v>
      </c>
      <c r="V579" s="8" t="n">
        <f aca="false">IF(Q579="","",ROUND((Q579-B579)*24,1))</f>
        <v>216</v>
      </c>
    </row>
    <row r="580" customFormat="false" ht="15" hidden="false" customHeight="false" outlineLevel="0" collapsed="false">
      <c r="A580" s="3" t="s">
        <v>1291</v>
      </c>
      <c r="B580" s="5" t="n">
        <v>46181.6743055556</v>
      </c>
      <c r="C580" s="3" t="s">
        <v>30</v>
      </c>
      <c r="D580" s="3" t="s">
        <v>212</v>
      </c>
      <c r="E580" s="3" t="s">
        <v>213</v>
      </c>
      <c r="F580" s="3" t="s">
        <v>33</v>
      </c>
      <c r="G580" s="3" t="s">
        <v>54</v>
      </c>
      <c r="H580" s="3" t="s">
        <v>1292</v>
      </c>
      <c r="I580" s="3" t="n">
        <v>3</v>
      </c>
      <c r="J580" s="3" t="n">
        <v>3</v>
      </c>
      <c r="K580" s="3" t="n">
        <v>2</v>
      </c>
      <c r="L580" s="3" t="n">
        <v>4</v>
      </c>
      <c r="M580" s="3" t="n">
        <v>3</v>
      </c>
      <c r="N580" s="3" t="n">
        <v>4</v>
      </c>
      <c r="O580" s="6" t="b">
        <f aca="false">FALSE()</f>
        <v>0</v>
      </c>
      <c r="P580" s="3" t="s">
        <v>49</v>
      </c>
      <c r="Q580" s="5" t="n">
        <v>46185.6743055556</v>
      </c>
      <c r="R580" s="5" t="n">
        <v>46189.5076388889</v>
      </c>
      <c r="S580" s="3" t="s">
        <v>37</v>
      </c>
      <c r="T580" s="7" t="n">
        <f aca="false">ROUND(MIN(IF(OR(O580=TRUE(),O580="TRUE",O580="Yes"),59,100),(I580*Rubric!$C$2+J580*Rubric!$C$3+K580*Rubric!$C$4+L580*Rubric!$C$5+M580*Rubric!$C$6+N580*Rubric!$C$7)/5),1)</f>
        <v>62</v>
      </c>
      <c r="U580" s="8" t="str">
        <f aca="false">LOOKUP(T580,Bands!$A$2:$A$6,Bands!$B$2:$B$6)</f>
        <v>Needs Improvement</v>
      </c>
      <c r="V580" s="8" t="n">
        <f aca="false">IF(Q580="","",ROUND((Q580-B580)*24,1))</f>
        <v>96</v>
      </c>
    </row>
    <row r="581" customFormat="false" ht="15" hidden="false" customHeight="false" outlineLevel="0" collapsed="false">
      <c r="A581" s="3" t="s">
        <v>1293</v>
      </c>
      <c r="B581" s="5" t="n">
        <v>46181.4784722222</v>
      </c>
      <c r="C581" s="3" t="s">
        <v>39</v>
      </c>
      <c r="D581" s="3" t="s">
        <v>265</v>
      </c>
      <c r="E581" s="3" t="s">
        <v>266</v>
      </c>
      <c r="F581" s="3" t="s">
        <v>33</v>
      </c>
      <c r="G581" s="3" t="s">
        <v>34</v>
      </c>
      <c r="H581" s="3" t="s">
        <v>1294</v>
      </c>
      <c r="I581" s="3" t="n">
        <v>3</v>
      </c>
      <c r="J581" s="3" t="n">
        <v>3</v>
      </c>
      <c r="K581" s="3" t="n">
        <v>4</v>
      </c>
      <c r="L581" s="3" t="n">
        <v>4</v>
      </c>
      <c r="M581" s="3" t="n">
        <v>3</v>
      </c>
      <c r="N581" s="3" t="n">
        <v>3</v>
      </c>
      <c r="O581" s="6" t="b">
        <f aca="false">FALSE()</f>
        <v>0</v>
      </c>
      <c r="P581" s="3"/>
      <c r="Q581" s="5" t="n">
        <v>46190.4784722222</v>
      </c>
      <c r="R581" s="5" t="n">
        <v>46191.1986111111</v>
      </c>
      <c r="S581" s="3" t="s">
        <v>37</v>
      </c>
      <c r="T581" s="7" t="n">
        <f aca="false">ROUND(MIN(IF(OR(O581=TRUE(),O581="TRUE",O581="Yes"),59,100),(I581*Rubric!$C$2+J581*Rubric!$C$3+K581*Rubric!$C$4+L581*Rubric!$C$5+M581*Rubric!$C$6+N581*Rubric!$C$7)/5),1)</f>
        <v>67</v>
      </c>
      <c r="U581" s="8" t="str">
        <f aca="false">LOOKUP(T581,Bands!$A$2:$A$6,Bands!$B$2:$B$6)</f>
        <v>Needs Improvement</v>
      </c>
      <c r="V581" s="8" t="n">
        <f aca="false">IF(Q581="","",ROUND((Q581-B581)*24,1))</f>
        <v>216</v>
      </c>
    </row>
    <row r="582" customFormat="false" ht="15" hidden="false" customHeight="false" outlineLevel="0" collapsed="false">
      <c r="A582" s="3" t="s">
        <v>1295</v>
      </c>
      <c r="B582" s="5" t="n">
        <v>46181.4506944444</v>
      </c>
      <c r="C582" s="3" t="s">
        <v>68</v>
      </c>
      <c r="D582" s="3" t="s">
        <v>63</v>
      </c>
      <c r="E582" s="3" t="s">
        <v>64</v>
      </c>
      <c r="F582" s="3" t="s">
        <v>65</v>
      </c>
      <c r="G582" s="3" t="s">
        <v>42</v>
      </c>
      <c r="H582" s="3" t="s">
        <v>1296</v>
      </c>
      <c r="I582" s="3" t="n">
        <v>4</v>
      </c>
      <c r="J582" s="3" t="n">
        <v>4</v>
      </c>
      <c r="K582" s="3" t="n">
        <v>2</v>
      </c>
      <c r="L582" s="3" t="n">
        <v>4</v>
      </c>
      <c r="M582" s="3" t="n">
        <v>4</v>
      </c>
      <c r="N582" s="3" t="n">
        <v>4</v>
      </c>
      <c r="O582" s="6" t="b">
        <f aca="false">FALSE()</f>
        <v>0</v>
      </c>
      <c r="P582" s="3" t="s">
        <v>49</v>
      </c>
      <c r="Q582" s="5" t="n">
        <v>46188.4506944444</v>
      </c>
      <c r="R582" s="5" t="n">
        <v>46190.2423611111</v>
      </c>
      <c r="S582" s="3" t="s">
        <v>37</v>
      </c>
      <c r="T582" s="7" t="n">
        <f aca="false">ROUND(MIN(IF(OR(O582=TRUE(),O582="TRUE",O582="Yes"),59,100),(I582*Rubric!$C$2+J582*Rubric!$C$3+K582*Rubric!$C$4+L582*Rubric!$C$5+M582*Rubric!$C$6+N582*Rubric!$C$7)/5),1)</f>
        <v>72</v>
      </c>
      <c r="U582" s="8" t="str">
        <f aca="false">LOOKUP(T582,Bands!$A$2:$A$6,Bands!$B$2:$B$6)</f>
        <v>Meets Expectations</v>
      </c>
      <c r="V582" s="8" t="n">
        <f aca="false">IF(Q582="","",ROUND((Q582-B582)*24,1))</f>
        <v>168</v>
      </c>
    </row>
    <row r="583" customFormat="false" ht="15" hidden="false" customHeight="false" outlineLevel="0" collapsed="false">
      <c r="A583" s="3" t="s">
        <v>1297</v>
      </c>
      <c r="B583" s="5" t="n">
        <v>46181.6361111111</v>
      </c>
      <c r="C583" s="3" t="s">
        <v>39</v>
      </c>
      <c r="D583" s="3" t="s">
        <v>222</v>
      </c>
      <c r="E583" s="3" t="s">
        <v>223</v>
      </c>
      <c r="F583" s="3" t="s">
        <v>53</v>
      </c>
      <c r="G583" s="3" t="s">
        <v>54</v>
      </c>
      <c r="H583" s="3" t="s">
        <v>1298</v>
      </c>
      <c r="I583" s="3" t="n">
        <v>5</v>
      </c>
      <c r="J583" s="3" t="n">
        <v>4</v>
      </c>
      <c r="K583" s="3" t="n">
        <v>4</v>
      </c>
      <c r="L583" s="3" t="n">
        <v>4</v>
      </c>
      <c r="M583" s="3" t="n">
        <v>4</v>
      </c>
      <c r="N583" s="3" t="n">
        <v>0</v>
      </c>
      <c r="O583" s="6" t="b">
        <f aca="false">TRUE()</f>
        <v>1</v>
      </c>
      <c r="P583" s="3" t="s">
        <v>36</v>
      </c>
      <c r="Q583" s="5" t="n">
        <v>46184.6361111111</v>
      </c>
      <c r="R583" s="5" t="n">
        <v>46186.2944444444</v>
      </c>
      <c r="S583" s="3" t="s">
        <v>37</v>
      </c>
      <c r="T583" s="7" t="n">
        <f aca="false">ROUND(MIN(IF(OR(O583=TRUE(),O583="TRUE",O583="Yes"),59,100),(I583*Rubric!$C$2+J583*Rubric!$C$3+K583*Rubric!$C$4+L583*Rubric!$C$5+M583*Rubric!$C$6+N583*Rubric!$C$7)/5),1)</f>
        <v>59</v>
      </c>
      <c r="U583" s="8" t="str">
        <f aca="false">LOOKUP(T583,Bands!$A$2:$A$6,Bands!$B$2:$B$6)</f>
        <v>Critical</v>
      </c>
      <c r="V583" s="8" t="n">
        <f aca="false">IF(Q583="","",ROUND((Q583-B583)*24,1))</f>
        <v>72</v>
      </c>
    </row>
    <row r="584" customFormat="false" ht="15" hidden="false" customHeight="false" outlineLevel="0" collapsed="false">
      <c r="A584" s="3" t="s">
        <v>1299</v>
      </c>
      <c r="B584" s="5" t="n">
        <v>46181.5576388889</v>
      </c>
      <c r="C584" s="3" t="s">
        <v>68</v>
      </c>
      <c r="D584" s="3" t="s">
        <v>202</v>
      </c>
      <c r="E584" s="3" t="s">
        <v>203</v>
      </c>
      <c r="F584" s="3" t="s">
        <v>53</v>
      </c>
      <c r="G584" s="3" t="s">
        <v>54</v>
      </c>
      <c r="H584" s="3" t="s">
        <v>1300</v>
      </c>
      <c r="I584" s="3" t="n">
        <v>4</v>
      </c>
      <c r="J584" s="3" t="n">
        <v>4</v>
      </c>
      <c r="K584" s="3" t="n">
        <v>4</v>
      </c>
      <c r="L584" s="3" t="n">
        <v>3</v>
      </c>
      <c r="M584" s="3" t="n">
        <v>4</v>
      </c>
      <c r="N584" s="3" t="n">
        <v>4</v>
      </c>
      <c r="O584" s="6" t="b">
        <f aca="false">FALSE()</f>
        <v>0</v>
      </c>
      <c r="P584" s="3"/>
      <c r="Q584" s="5" t="n">
        <v>46193.5576388889</v>
      </c>
      <c r="R584" s="5" t="n">
        <v>46200.175</v>
      </c>
      <c r="S584" s="3" t="s">
        <v>37</v>
      </c>
      <c r="T584" s="7" t="n">
        <f aca="false">ROUND(MIN(IF(OR(O584=TRUE(),O584="TRUE",O584="Yes"),59,100),(I584*Rubric!$C$2+J584*Rubric!$C$3+K584*Rubric!$C$4+L584*Rubric!$C$5+M584*Rubric!$C$6+N584*Rubric!$C$7)/5),1)</f>
        <v>77</v>
      </c>
      <c r="U584" s="8" t="str">
        <f aca="false">LOOKUP(T584,Bands!$A$2:$A$6,Bands!$B$2:$B$6)</f>
        <v>Meets Expectations</v>
      </c>
      <c r="V584" s="8" t="n">
        <f aca="false">IF(Q584="","",ROUND((Q584-B584)*24,1))</f>
        <v>288</v>
      </c>
    </row>
    <row r="585" customFormat="false" ht="15" hidden="false" customHeight="false" outlineLevel="0" collapsed="false">
      <c r="A585" s="3" t="s">
        <v>1301</v>
      </c>
      <c r="B585" s="5" t="n">
        <v>46181.3895833333</v>
      </c>
      <c r="C585" s="3" t="s">
        <v>68</v>
      </c>
      <c r="D585" s="3" t="s">
        <v>31</v>
      </c>
      <c r="E585" s="3" t="s">
        <v>32</v>
      </c>
      <c r="F585" s="3" t="s">
        <v>33</v>
      </c>
      <c r="G585" s="3" t="s">
        <v>54</v>
      </c>
      <c r="H585" s="3" t="s">
        <v>1302</v>
      </c>
      <c r="I585" s="3" t="n">
        <v>3</v>
      </c>
      <c r="J585" s="3" t="n">
        <v>4</v>
      </c>
      <c r="K585" s="3" t="n">
        <v>3</v>
      </c>
      <c r="L585" s="3" t="n">
        <v>4</v>
      </c>
      <c r="M585" s="3" t="n">
        <v>5</v>
      </c>
      <c r="N585" s="3" t="n">
        <v>4</v>
      </c>
      <c r="O585" s="6" t="b">
        <f aca="false">FALSE()</f>
        <v>0</v>
      </c>
      <c r="P585" s="3"/>
      <c r="Q585" s="5" t="n">
        <v>46186.3895833333</v>
      </c>
      <c r="R585" s="5" t="n">
        <v>46187.8854166667</v>
      </c>
      <c r="S585" s="3" t="s">
        <v>37</v>
      </c>
      <c r="T585" s="7" t="n">
        <f aca="false">ROUND(MIN(IF(OR(O585=TRUE(),O585="TRUE",O585="Yes"),59,100),(I585*Rubric!$C$2+J585*Rubric!$C$3+K585*Rubric!$C$4+L585*Rubric!$C$5+M585*Rubric!$C$6+N585*Rubric!$C$7)/5),1)</f>
        <v>75</v>
      </c>
      <c r="U585" s="8" t="str">
        <f aca="false">LOOKUP(T585,Bands!$A$2:$A$6,Bands!$B$2:$B$6)</f>
        <v>Meets Expectations</v>
      </c>
      <c r="V585" s="8" t="n">
        <f aca="false">IF(Q585="","",ROUND((Q585-B585)*24,1))</f>
        <v>120</v>
      </c>
    </row>
    <row r="586" customFormat="false" ht="15" hidden="false" customHeight="false" outlineLevel="0" collapsed="false">
      <c r="A586" s="3" t="s">
        <v>1303</v>
      </c>
      <c r="B586" s="5" t="n">
        <v>46181.4729166667</v>
      </c>
      <c r="C586" s="3" t="s">
        <v>68</v>
      </c>
      <c r="D586" s="3" t="s">
        <v>307</v>
      </c>
      <c r="E586" s="3" t="s">
        <v>308</v>
      </c>
      <c r="F586" s="3" t="s">
        <v>33</v>
      </c>
      <c r="G586" s="3" t="s">
        <v>54</v>
      </c>
      <c r="H586" s="3" t="s">
        <v>1304</v>
      </c>
      <c r="I586" s="3" t="n">
        <v>5</v>
      </c>
      <c r="J586" s="3" t="n">
        <v>4</v>
      </c>
      <c r="K586" s="3" t="n">
        <v>5</v>
      </c>
      <c r="L586" s="3" t="n">
        <v>5</v>
      </c>
      <c r="M586" s="3" t="n">
        <v>5</v>
      </c>
      <c r="N586" s="3" t="n">
        <v>5</v>
      </c>
      <c r="O586" s="6" t="b">
        <f aca="false">FALSE()</f>
        <v>0</v>
      </c>
      <c r="P586" s="3"/>
      <c r="Q586" s="5" t="n">
        <v>46187.4729166667</v>
      </c>
      <c r="R586" s="5" t="n">
        <v>46187.7611111111</v>
      </c>
      <c r="S586" s="3" t="s">
        <v>37</v>
      </c>
      <c r="T586" s="7" t="n">
        <f aca="false">ROUND(MIN(IF(OR(O586=TRUE(),O586="TRUE",O586="Yes"),59,100),(I586*Rubric!$C$2+J586*Rubric!$C$3+K586*Rubric!$C$4+L586*Rubric!$C$5+M586*Rubric!$C$6+N586*Rubric!$C$7)/5),1)</f>
        <v>95</v>
      </c>
      <c r="U586" s="8" t="str">
        <f aca="false">LOOKUP(T586,Bands!$A$2:$A$6,Bands!$B$2:$B$6)</f>
        <v>Outstanding</v>
      </c>
      <c r="V586" s="8" t="n">
        <f aca="false">IF(Q586="","",ROUND((Q586-B586)*24,1))</f>
        <v>144</v>
      </c>
    </row>
    <row r="587" customFormat="false" ht="15" hidden="false" customHeight="false" outlineLevel="0" collapsed="false">
      <c r="A587" s="3" t="s">
        <v>1305</v>
      </c>
      <c r="B587" s="5" t="n">
        <v>46181.4097222222</v>
      </c>
      <c r="C587" s="3" t="s">
        <v>30</v>
      </c>
      <c r="D587" s="3" t="s">
        <v>119</v>
      </c>
      <c r="E587" s="3" t="s">
        <v>120</v>
      </c>
      <c r="F587" s="3" t="s">
        <v>33</v>
      </c>
      <c r="G587" s="3" t="s">
        <v>42</v>
      </c>
      <c r="H587" s="3" t="s">
        <v>1306</v>
      </c>
      <c r="I587" s="3" t="n">
        <v>5</v>
      </c>
      <c r="J587" s="3" t="n">
        <v>3</v>
      </c>
      <c r="K587" s="3" t="n">
        <v>4</v>
      </c>
      <c r="L587" s="3" t="n">
        <v>4</v>
      </c>
      <c r="M587" s="3" t="n">
        <v>4</v>
      </c>
      <c r="N587" s="3" t="n">
        <v>2</v>
      </c>
      <c r="O587" s="6" t="b">
        <f aca="false">FALSE()</f>
        <v>0</v>
      </c>
      <c r="P587" s="3" t="s">
        <v>36</v>
      </c>
      <c r="Q587" s="5" t="n">
        <v>46187.4097222222</v>
      </c>
      <c r="R587" s="5" t="n">
        <v>46188.7090277778</v>
      </c>
      <c r="S587" s="3" t="s">
        <v>37</v>
      </c>
      <c r="T587" s="7" t="n">
        <f aca="false">ROUND(MIN(IF(OR(O587=TRUE(),O587="TRUE",O587="Yes"),59,100),(I587*Rubric!$C$2+J587*Rubric!$C$3+K587*Rubric!$C$4+L587*Rubric!$C$5+M587*Rubric!$C$6+N587*Rubric!$C$7)/5),1)</f>
        <v>72</v>
      </c>
      <c r="U587" s="8" t="str">
        <f aca="false">LOOKUP(T587,Bands!$A$2:$A$6,Bands!$B$2:$B$6)</f>
        <v>Meets Expectations</v>
      </c>
      <c r="V587" s="8" t="n">
        <f aca="false">IF(Q587="","",ROUND((Q587-B587)*24,1))</f>
        <v>144</v>
      </c>
    </row>
    <row r="588" customFormat="false" ht="15" hidden="false" customHeight="false" outlineLevel="0" collapsed="false">
      <c r="A588" s="3" t="s">
        <v>1307</v>
      </c>
      <c r="B588" s="5" t="n">
        <v>46181.5201388889</v>
      </c>
      <c r="C588" s="3" t="s">
        <v>39</v>
      </c>
      <c r="D588" s="3" t="s">
        <v>90</v>
      </c>
      <c r="E588" s="3" t="s">
        <v>91</v>
      </c>
      <c r="F588" s="3" t="s">
        <v>65</v>
      </c>
      <c r="G588" s="3" t="s">
        <v>42</v>
      </c>
      <c r="H588" s="3" t="s">
        <v>1308</v>
      </c>
      <c r="I588" s="3" t="n">
        <v>4</v>
      </c>
      <c r="J588" s="3" t="n">
        <v>4</v>
      </c>
      <c r="K588" s="3" t="n">
        <v>5</v>
      </c>
      <c r="L588" s="3" t="n">
        <v>3</v>
      </c>
      <c r="M588" s="3" t="n">
        <v>5</v>
      </c>
      <c r="N588" s="3" t="n">
        <v>4</v>
      </c>
      <c r="O588" s="6" t="b">
        <f aca="false">FALSE()</f>
        <v>0</v>
      </c>
      <c r="P588" s="3"/>
      <c r="Q588" s="5" t="n">
        <v>46187.5201388889</v>
      </c>
      <c r="R588" s="5" t="n">
        <v>46190.0291666667</v>
      </c>
      <c r="S588" s="3" t="s">
        <v>37</v>
      </c>
      <c r="T588" s="7" t="n">
        <f aca="false">ROUND(MIN(IF(OR(O588=TRUE(),O588="TRUE",O588="Yes"),59,100),(I588*Rubric!$C$2+J588*Rubric!$C$3+K588*Rubric!$C$4+L588*Rubric!$C$5+M588*Rubric!$C$6+N588*Rubric!$C$7)/5),1)</f>
        <v>83</v>
      </c>
      <c r="U588" s="8" t="str">
        <f aca="false">LOOKUP(T588,Bands!$A$2:$A$6,Bands!$B$2:$B$6)</f>
        <v>Solid Performance</v>
      </c>
      <c r="V588" s="8" t="n">
        <f aca="false">IF(Q588="","",ROUND((Q588-B588)*24,1))</f>
        <v>144</v>
      </c>
    </row>
    <row r="589" customFormat="false" ht="15" hidden="false" customHeight="false" outlineLevel="0" collapsed="false">
      <c r="A589" s="3" t="s">
        <v>1309</v>
      </c>
      <c r="B589" s="5" t="n">
        <v>46181.6527777778</v>
      </c>
      <c r="C589" s="3" t="s">
        <v>39</v>
      </c>
      <c r="D589" s="3" t="s">
        <v>145</v>
      </c>
      <c r="E589" s="3" t="s">
        <v>146</v>
      </c>
      <c r="F589" s="3" t="s">
        <v>33</v>
      </c>
      <c r="G589" s="3" t="s">
        <v>42</v>
      </c>
      <c r="H589" s="3" t="s">
        <v>1310</v>
      </c>
      <c r="I589" s="3" t="n">
        <v>3</v>
      </c>
      <c r="J589" s="3" t="n">
        <v>4</v>
      </c>
      <c r="K589" s="3" t="n">
        <v>4</v>
      </c>
      <c r="L589" s="3" t="n">
        <v>3</v>
      </c>
      <c r="M589" s="3" t="n">
        <v>5</v>
      </c>
      <c r="N589" s="3" t="n">
        <v>4</v>
      </c>
      <c r="O589" s="6" t="b">
        <f aca="false">FALSE()</f>
        <v>0</v>
      </c>
      <c r="P589" s="3"/>
      <c r="Q589" s="5" t="n">
        <v>46186.6527777778</v>
      </c>
      <c r="R589" s="5" t="n">
        <v>46189.4229166667</v>
      </c>
      <c r="S589" s="3" t="s">
        <v>37</v>
      </c>
      <c r="T589" s="7" t="n">
        <f aca="false">ROUND(MIN(IF(OR(O589=TRUE(),O589="TRUE",O589="Yes"),59,100),(I589*Rubric!$C$2+J589*Rubric!$C$3+K589*Rubric!$C$4+L589*Rubric!$C$5+M589*Rubric!$C$6+N589*Rubric!$C$7)/5),1)</f>
        <v>76</v>
      </c>
      <c r="U589" s="8" t="str">
        <f aca="false">LOOKUP(T589,Bands!$A$2:$A$6,Bands!$B$2:$B$6)</f>
        <v>Meets Expectations</v>
      </c>
      <c r="V589" s="8" t="n">
        <f aca="false">IF(Q589="","",ROUND((Q589-B589)*24,1))</f>
        <v>120</v>
      </c>
    </row>
    <row r="590" customFormat="false" ht="15" hidden="false" customHeight="false" outlineLevel="0" collapsed="false">
      <c r="A590" s="3" t="s">
        <v>1311</v>
      </c>
      <c r="B590" s="5" t="n">
        <v>46182.3902777778</v>
      </c>
      <c r="C590" s="3" t="s">
        <v>30</v>
      </c>
      <c r="D590" s="3" t="s">
        <v>69</v>
      </c>
      <c r="E590" s="3" t="s">
        <v>70</v>
      </c>
      <c r="F590" s="3" t="s">
        <v>65</v>
      </c>
      <c r="G590" s="3" t="s">
        <v>42</v>
      </c>
      <c r="H590" s="3" t="s">
        <v>1312</v>
      </c>
      <c r="I590" s="3" t="n">
        <v>4</v>
      </c>
      <c r="J590" s="3" t="n">
        <v>5</v>
      </c>
      <c r="K590" s="3" t="n">
        <v>5</v>
      </c>
      <c r="L590" s="3" t="n">
        <v>4</v>
      </c>
      <c r="M590" s="3" t="n">
        <v>5</v>
      </c>
      <c r="N590" s="3" t="n">
        <v>3</v>
      </c>
      <c r="O590" s="6" t="b">
        <f aca="false">FALSE()</f>
        <v>0</v>
      </c>
      <c r="P590" s="3"/>
      <c r="Q590" s="5" t="n">
        <v>46186.3902777778</v>
      </c>
      <c r="R590" s="5" t="n">
        <v>46187.3423611111</v>
      </c>
      <c r="S590" s="3" t="s">
        <v>37</v>
      </c>
      <c r="T590" s="7" t="n">
        <f aca="false">ROUND(MIN(IF(OR(O590=TRUE(),O590="TRUE",O590="Yes"),59,100),(I590*Rubric!$C$2+J590*Rubric!$C$3+K590*Rubric!$C$4+L590*Rubric!$C$5+M590*Rubric!$C$6+N590*Rubric!$C$7)/5),1)</f>
        <v>88</v>
      </c>
      <c r="U590" s="8" t="str">
        <f aca="false">LOOKUP(T590,Bands!$A$2:$A$6,Bands!$B$2:$B$6)</f>
        <v>Solid Performance</v>
      </c>
      <c r="V590" s="8" t="n">
        <f aca="false">IF(Q590="","",ROUND((Q590-B590)*24,1))</f>
        <v>96</v>
      </c>
    </row>
    <row r="591" customFormat="false" ht="15" hidden="false" customHeight="false" outlineLevel="0" collapsed="false">
      <c r="A591" s="3" t="s">
        <v>1313</v>
      </c>
      <c r="B591" s="5" t="n">
        <v>46182.5326388889</v>
      </c>
      <c r="C591" s="3" t="s">
        <v>68</v>
      </c>
      <c r="D591" s="3" t="s">
        <v>77</v>
      </c>
      <c r="E591" s="3" t="s">
        <v>78</v>
      </c>
      <c r="F591" s="3" t="s">
        <v>33</v>
      </c>
      <c r="G591" s="3" t="s">
        <v>42</v>
      </c>
      <c r="H591" s="3" t="s">
        <v>1314</v>
      </c>
      <c r="I591" s="3" t="n">
        <v>5</v>
      </c>
      <c r="J591" s="3" t="n">
        <v>5</v>
      </c>
      <c r="K591" s="3" t="n">
        <v>3</v>
      </c>
      <c r="L591" s="3" t="n">
        <v>4</v>
      </c>
      <c r="M591" s="3" t="n">
        <v>4</v>
      </c>
      <c r="N591" s="3" t="n">
        <v>5</v>
      </c>
      <c r="O591" s="6" t="b">
        <f aca="false">FALSE()</f>
        <v>0</v>
      </c>
      <c r="P591" s="3"/>
      <c r="Q591" s="5" t="n">
        <v>46185.5326388889</v>
      </c>
      <c r="R591" s="5" t="n">
        <v>46186.0770833333</v>
      </c>
      <c r="S591" s="3" t="s">
        <v>37</v>
      </c>
      <c r="T591" s="7" t="n">
        <f aca="false">ROUND(MIN(IF(OR(O591=TRUE(),O591="TRUE",O591="Yes"),59,100),(I591*Rubric!$C$2+J591*Rubric!$C$3+K591*Rubric!$C$4+L591*Rubric!$C$5+M591*Rubric!$C$6+N591*Rubric!$C$7)/5),1)</f>
        <v>87</v>
      </c>
      <c r="U591" s="8" t="str">
        <f aca="false">LOOKUP(T591,Bands!$A$2:$A$6,Bands!$B$2:$B$6)</f>
        <v>Solid Performance</v>
      </c>
      <c r="V591" s="8" t="n">
        <f aca="false">IF(Q591="","",ROUND((Q591-B591)*24,1))</f>
        <v>72</v>
      </c>
    </row>
    <row r="592" customFormat="false" ht="15" hidden="false" customHeight="false" outlineLevel="0" collapsed="false">
      <c r="A592" s="3" t="s">
        <v>1315</v>
      </c>
      <c r="B592" s="5" t="n">
        <v>46182.4638888889</v>
      </c>
      <c r="C592" s="3" t="s">
        <v>68</v>
      </c>
      <c r="D592" s="3" t="s">
        <v>202</v>
      </c>
      <c r="E592" s="3" t="s">
        <v>203</v>
      </c>
      <c r="F592" s="3" t="s">
        <v>53</v>
      </c>
      <c r="G592" s="3" t="s">
        <v>42</v>
      </c>
      <c r="H592" s="3" t="s">
        <v>1316</v>
      </c>
      <c r="I592" s="3" t="n">
        <v>4</v>
      </c>
      <c r="J592" s="3" t="n">
        <v>4</v>
      </c>
      <c r="K592" s="3" t="n">
        <v>3</v>
      </c>
      <c r="L592" s="3" t="n">
        <v>3</v>
      </c>
      <c r="M592" s="3" t="n">
        <v>3</v>
      </c>
      <c r="N592" s="3" t="n">
        <v>5</v>
      </c>
      <c r="O592" s="6" t="b">
        <f aca="false">FALSE()</f>
        <v>0</v>
      </c>
      <c r="P592" s="3"/>
      <c r="Q592" s="5" t="n">
        <v>46189.4638888889</v>
      </c>
      <c r="R592" s="5" t="n">
        <v>46190.7173611111</v>
      </c>
      <c r="S592" s="3" t="s">
        <v>37</v>
      </c>
      <c r="T592" s="7" t="n">
        <f aca="false">ROUND(MIN(IF(OR(O592=TRUE(),O592="TRUE",O592="Yes"),59,100),(I592*Rubric!$C$2+J592*Rubric!$C$3+K592*Rubric!$C$4+L592*Rubric!$C$5+M592*Rubric!$C$6+N592*Rubric!$C$7)/5),1)</f>
        <v>74</v>
      </c>
      <c r="U592" s="8" t="str">
        <f aca="false">LOOKUP(T592,Bands!$A$2:$A$6,Bands!$B$2:$B$6)</f>
        <v>Meets Expectations</v>
      </c>
      <c r="V592" s="8" t="n">
        <f aca="false">IF(Q592="","",ROUND((Q592-B592)*24,1))</f>
        <v>168</v>
      </c>
    </row>
    <row r="593" customFormat="false" ht="15" hidden="false" customHeight="false" outlineLevel="0" collapsed="false">
      <c r="A593" s="3" t="s">
        <v>1317</v>
      </c>
      <c r="B593" s="5" t="n">
        <v>46182.5111111111</v>
      </c>
      <c r="C593" s="3" t="s">
        <v>68</v>
      </c>
      <c r="D593" s="3" t="s">
        <v>145</v>
      </c>
      <c r="E593" s="3" t="s">
        <v>146</v>
      </c>
      <c r="F593" s="3" t="s">
        <v>33</v>
      </c>
      <c r="G593" s="3" t="s">
        <v>42</v>
      </c>
      <c r="H593" s="3" t="s">
        <v>1318</v>
      </c>
      <c r="I593" s="3" t="n">
        <v>4</v>
      </c>
      <c r="J593" s="3" t="n">
        <v>2</v>
      </c>
      <c r="K593" s="3" t="n">
        <v>5</v>
      </c>
      <c r="L593" s="3" t="n">
        <v>4</v>
      </c>
      <c r="M593" s="3" t="n">
        <v>3</v>
      </c>
      <c r="N593" s="3" t="n">
        <v>3</v>
      </c>
      <c r="O593" s="6" t="b">
        <f aca="false">FALSE()</f>
        <v>0</v>
      </c>
      <c r="P593" s="3" t="s">
        <v>56</v>
      </c>
      <c r="Q593" s="5" t="n">
        <v>46191.5111111111</v>
      </c>
      <c r="R593" s="5" t="n">
        <v>46196.5833333333</v>
      </c>
      <c r="S593" s="3" t="s">
        <v>37</v>
      </c>
      <c r="T593" s="7" t="n">
        <f aca="false">ROUND(MIN(IF(OR(O593=TRUE(),O593="TRUE",O593="Yes"),59,100),(I593*Rubric!$C$2+J593*Rubric!$C$3+K593*Rubric!$C$4+L593*Rubric!$C$5+M593*Rubric!$C$6+N593*Rubric!$C$7)/5),1)</f>
        <v>69</v>
      </c>
      <c r="U593" s="8" t="str">
        <f aca="false">LOOKUP(T593,Bands!$A$2:$A$6,Bands!$B$2:$B$6)</f>
        <v>Needs Improvement</v>
      </c>
      <c r="V593" s="8" t="n">
        <f aca="false">IF(Q593="","",ROUND((Q593-B593)*24,1))</f>
        <v>216</v>
      </c>
    </row>
    <row r="594" customFormat="false" ht="15" hidden="false" customHeight="false" outlineLevel="0" collapsed="false">
      <c r="A594" s="3" t="s">
        <v>1319</v>
      </c>
      <c r="B594" s="5" t="n">
        <v>46182.4104166667</v>
      </c>
      <c r="C594" s="3" t="s">
        <v>39</v>
      </c>
      <c r="D594" s="3" t="s">
        <v>31</v>
      </c>
      <c r="E594" s="3" t="s">
        <v>32</v>
      </c>
      <c r="F594" s="3" t="s">
        <v>33</v>
      </c>
      <c r="G594" s="3" t="s">
        <v>42</v>
      </c>
      <c r="H594" s="3" t="s">
        <v>1320</v>
      </c>
      <c r="I594" s="3" t="n">
        <v>4</v>
      </c>
      <c r="J594" s="3" t="n">
        <v>5</v>
      </c>
      <c r="K594" s="3" t="n">
        <v>4</v>
      </c>
      <c r="L594" s="3" t="n">
        <v>4</v>
      </c>
      <c r="M594" s="3" t="n">
        <v>3</v>
      </c>
      <c r="N594" s="3" t="n">
        <v>2</v>
      </c>
      <c r="O594" s="6" t="b">
        <f aca="false">FALSE()</f>
        <v>0</v>
      </c>
      <c r="P594" s="3" t="s">
        <v>36</v>
      </c>
      <c r="Q594" s="5" t="n">
        <v>46186.4104166667</v>
      </c>
      <c r="R594" s="5" t="n">
        <v>46186.6229166667</v>
      </c>
      <c r="S594" s="3" t="s">
        <v>37</v>
      </c>
      <c r="T594" s="7" t="n">
        <f aca="false">ROUND(MIN(IF(OR(O594=TRUE(),O594="TRUE",O594="Yes"),59,100),(I594*Rubric!$C$2+J594*Rubric!$C$3+K594*Rubric!$C$4+L594*Rubric!$C$5+M594*Rubric!$C$6+N594*Rubric!$C$7)/5),1)</f>
        <v>77</v>
      </c>
      <c r="U594" s="8" t="str">
        <f aca="false">LOOKUP(T594,Bands!$A$2:$A$6,Bands!$B$2:$B$6)</f>
        <v>Meets Expectations</v>
      </c>
      <c r="V594" s="8" t="n">
        <f aca="false">IF(Q594="","",ROUND((Q594-B594)*24,1))</f>
        <v>96</v>
      </c>
    </row>
    <row r="595" customFormat="false" ht="15" hidden="false" customHeight="false" outlineLevel="0" collapsed="false">
      <c r="A595" s="3" t="s">
        <v>1321</v>
      </c>
      <c r="B595" s="5" t="n">
        <v>46182.5486111111</v>
      </c>
      <c r="C595" s="3" t="s">
        <v>30</v>
      </c>
      <c r="D595" s="3" t="s">
        <v>115</v>
      </c>
      <c r="E595" s="3" t="s">
        <v>116</v>
      </c>
      <c r="F595" s="3" t="s">
        <v>33</v>
      </c>
      <c r="G595" s="3" t="s">
        <v>42</v>
      </c>
      <c r="H595" s="3" t="s">
        <v>1322</v>
      </c>
      <c r="I595" s="3" t="n">
        <v>5</v>
      </c>
      <c r="J595" s="3" t="n">
        <v>4</v>
      </c>
      <c r="K595" s="3" t="n">
        <v>5</v>
      </c>
      <c r="L595" s="3" t="n">
        <v>4</v>
      </c>
      <c r="M595" s="3" t="n">
        <v>2</v>
      </c>
      <c r="N595" s="3" t="n">
        <v>4</v>
      </c>
      <c r="O595" s="6" t="b">
        <f aca="false">FALSE()</f>
        <v>0</v>
      </c>
      <c r="P595" s="3" t="s">
        <v>103</v>
      </c>
      <c r="Q595" s="5" t="n">
        <v>46185.5486111111</v>
      </c>
      <c r="R595" s="5" t="n">
        <v>46185.575</v>
      </c>
      <c r="S595" s="3" t="s">
        <v>37</v>
      </c>
      <c r="T595" s="7" t="n">
        <f aca="false">ROUND(MIN(IF(OR(O595=TRUE(),O595="TRUE",O595="Yes"),59,100),(I595*Rubric!$C$2+J595*Rubric!$C$3+K595*Rubric!$C$4+L595*Rubric!$C$5+M595*Rubric!$C$6+N595*Rubric!$C$7)/5),1)</f>
        <v>83</v>
      </c>
      <c r="U595" s="8" t="str">
        <f aca="false">LOOKUP(T595,Bands!$A$2:$A$6,Bands!$B$2:$B$6)</f>
        <v>Solid Performance</v>
      </c>
      <c r="V595" s="8" t="n">
        <f aca="false">IF(Q595="","",ROUND((Q595-B595)*24,1))</f>
        <v>72</v>
      </c>
    </row>
    <row r="596" customFormat="false" ht="15" hidden="false" customHeight="false" outlineLevel="0" collapsed="false">
      <c r="A596" s="3" t="s">
        <v>1323</v>
      </c>
      <c r="B596" s="5" t="n">
        <v>46182.3784722222</v>
      </c>
      <c r="C596" s="3" t="s">
        <v>68</v>
      </c>
      <c r="D596" s="3" t="s">
        <v>111</v>
      </c>
      <c r="E596" s="3" t="s">
        <v>112</v>
      </c>
      <c r="F596" s="3" t="s">
        <v>33</v>
      </c>
      <c r="G596" s="3" t="s">
        <v>34</v>
      </c>
      <c r="H596" s="3" t="s">
        <v>1324</v>
      </c>
      <c r="I596" s="3" t="n">
        <v>3</v>
      </c>
      <c r="J596" s="3" t="n">
        <v>5</v>
      </c>
      <c r="K596" s="3" t="n">
        <v>4</v>
      </c>
      <c r="L596" s="3" t="n">
        <v>4</v>
      </c>
      <c r="M596" s="3" t="n">
        <v>5</v>
      </c>
      <c r="N596" s="3" t="n">
        <v>4</v>
      </c>
      <c r="O596" s="6" t="b">
        <f aca="false">FALSE()</f>
        <v>0</v>
      </c>
      <c r="P596" s="3"/>
      <c r="Q596" s="5" t="n">
        <v>46185.3784722222</v>
      </c>
      <c r="R596" s="5" t="n">
        <v>46185.9722222222</v>
      </c>
      <c r="S596" s="3" t="s">
        <v>37</v>
      </c>
      <c r="T596" s="7" t="n">
        <f aca="false">ROUND(MIN(IF(OR(O596=TRUE(),O596="TRUE",O596="Yes"),59,100),(I596*Rubric!$C$2+J596*Rubric!$C$3+K596*Rubric!$C$4+L596*Rubric!$C$5+M596*Rubric!$C$6+N596*Rubric!$C$7)/5),1)</f>
        <v>84</v>
      </c>
      <c r="U596" s="8" t="str">
        <f aca="false">LOOKUP(T596,Bands!$A$2:$A$6,Bands!$B$2:$B$6)</f>
        <v>Solid Performance</v>
      </c>
      <c r="V596" s="8" t="n">
        <f aca="false">IF(Q596="","",ROUND((Q596-B596)*24,1))</f>
        <v>72</v>
      </c>
    </row>
    <row r="597" customFormat="false" ht="15" hidden="false" customHeight="false" outlineLevel="0" collapsed="false">
      <c r="A597" s="3" t="s">
        <v>1325</v>
      </c>
      <c r="B597" s="5" t="n">
        <v>46182.6326388889</v>
      </c>
      <c r="C597" s="3" t="s">
        <v>68</v>
      </c>
      <c r="D597" s="3" t="s">
        <v>265</v>
      </c>
      <c r="E597" s="3" t="s">
        <v>266</v>
      </c>
      <c r="F597" s="3" t="s">
        <v>33</v>
      </c>
      <c r="G597" s="3" t="s">
        <v>42</v>
      </c>
      <c r="H597" s="3" t="s">
        <v>1326</v>
      </c>
      <c r="I597" s="3" t="n">
        <v>4</v>
      </c>
      <c r="J597" s="3" t="n">
        <v>3</v>
      </c>
      <c r="K597" s="3" t="n">
        <v>4</v>
      </c>
      <c r="L597" s="3" t="n">
        <v>3</v>
      </c>
      <c r="M597" s="3" t="n">
        <v>4</v>
      </c>
      <c r="N597" s="3" t="n">
        <v>4</v>
      </c>
      <c r="O597" s="6" t="b">
        <f aca="false">FALSE()</f>
        <v>0</v>
      </c>
      <c r="P597" s="3"/>
      <c r="Q597" s="5" t="n">
        <v>46186.6326388889</v>
      </c>
      <c r="R597" s="5" t="n">
        <v>46186.75</v>
      </c>
      <c r="S597" s="3" t="s">
        <v>37</v>
      </c>
      <c r="T597" s="7" t="n">
        <f aca="false">ROUND(MIN(IF(OR(O597=TRUE(),O597="TRUE",O597="Yes"),59,100),(I597*Rubric!$C$2+J597*Rubric!$C$3+K597*Rubric!$C$4+L597*Rubric!$C$5+M597*Rubric!$C$6+N597*Rubric!$C$7)/5),1)</f>
        <v>72</v>
      </c>
      <c r="U597" s="8" t="str">
        <f aca="false">LOOKUP(T597,Bands!$A$2:$A$6,Bands!$B$2:$B$6)</f>
        <v>Meets Expectations</v>
      </c>
      <c r="V597" s="8" t="n">
        <f aca="false">IF(Q597="","",ROUND((Q597-B597)*24,1))</f>
        <v>96</v>
      </c>
    </row>
    <row r="598" customFormat="false" ht="15" hidden="false" customHeight="false" outlineLevel="0" collapsed="false">
      <c r="A598" s="3" t="s">
        <v>1327</v>
      </c>
      <c r="B598" s="5" t="n">
        <v>46182.6722222222</v>
      </c>
      <c r="C598" s="3" t="s">
        <v>30</v>
      </c>
      <c r="D598" s="3" t="s">
        <v>238</v>
      </c>
      <c r="E598" s="3" t="s">
        <v>239</v>
      </c>
      <c r="F598" s="3" t="s">
        <v>33</v>
      </c>
      <c r="G598" s="3" t="s">
        <v>54</v>
      </c>
      <c r="H598" s="3" t="s">
        <v>1328</v>
      </c>
      <c r="I598" s="3" t="n">
        <v>5</v>
      </c>
      <c r="J598" s="3" t="n">
        <v>4</v>
      </c>
      <c r="K598" s="3" t="n">
        <v>5</v>
      </c>
      <c r="L598" s="3" t="n">
        <v>4</v>
      </c>
      <c r="M598" s="3" t="n">
        <v>3</v>
      </c>
      <c r="N598" s="3" t="n">
        <v>4</v>
      </c>
      <c r="O598" s="6" t="b">
        <f aca="false">FALSE()</f>
        <v>0</v>
      </c>
      <c r="P598" s="3"/>
      <c r="Q598" s="5" t="n">
        <v>46191.6722222222</v>
      </c>
      <c r="R598" s="5" t="n">
        <v>46194.3208333333</v>
      </c>
      <c r="S598" s="3" t="s">
        <v>37</v>
      </c>
      <c r="T598" s="7" t="n">
        <f aca="false">ROUND(MIN(IF(OR(O598=TRUE(),O598="TRUE",O598="Yes"),59,100),(I598*Rubric!$C$2+J598*Rubric!$C$3+K598*Rubric!$C$4+L598*Rubric!$C$5+M598*Rubric!$C$6+N598*Rubric!$C$7)/5),1)</f>
        <v>85</v>
      </c>
      <c r="U598" s="8" t="str">
        <f aca="false">LOOKUP(T598,Bands!$A$2:$A$6,Bands!$B$2:$B$6)</f>
        <v>Solid Performance</v>
      </c>
      <c r="V598" s="8" t="n">
        <f aca="false">IF(Q598="","",ROUND((Q598-B598)*24,1))</f>
        <v>216</v>
      </c>
    </row>
    <row r="599" customFormat="false" ht="15" hidden="false" customHeight="false" outlineLevel="0" collapsed="false">
      <c r="A599" s="3" t="s">
        <v>1329</v>
      </c>
      <c r="B599" s="5" t="n">
        <v>46182.4291666667</v>
      </c>
      <c r="C599" s="3" t="s">
        <v>39</v>
      </c>
      <c r="D599" s="3" t="s">
        <v>105</v>
      </c>
      <c r="E599" s="3" t="s">
        <v>106</v>
      </c>
      <c r="F599" s="3" t="s">
        <v>65</v>
      </c>
      <c r="G599" s="3" t="s">
        <v>42</v>
      </c>
      <c r="H599" s="3" t="s">
        <v>1330</v>
      </c>
      <c r="I599" s="3" t="n">
        <v>4</v>
      </c>
      <c r="J599" s="3" t="n">
        <v>3</v>
      </c>
      <c r="K599" s="3" t="n">
        <v>4</v>
      </c>
      <c r="L599" s="3" t="n">
        <v>5</v>
      </c>
      <c r="M599" s="3" t="n">
        <v>4</v>
      </c>
      <c r="N599" s="3" t="n">
        <v>5</v>
      </c>
      <c r="O599" s="6" t="b">
        <f aca="false">FALSE()</f>
        <v>0</v>
      </c>
      <c r="P599" s="3"/>
      <c r="Q599" s="5" t="n">
        <v>46191.4291666667</v>
      </c>
      <c r="R599" s="5" t="n">
        <v>46197.2090277778</v>
      </c>
      <c r="S599" s="3" t="s">
        <v>37</v>
      </c>
      <c r="T599" s="7" t="n">
        <f aca="false">ROUND(MIN(IF(OR(O599=TRUE(),O599="TRUE",O599="Yes"),59,100),(I599*Rubric!$C$2+J599*Rubric!$C$3+K599*Rubric!$C$4+L599*Rubric!$C$5+M599*Rubric!$C$6+N599*Rubric!$C$7)/5),1)</f>
        <v>81</v>
      </c>
      <c r="U599" s="8" t="str">
        <f aca="false">LOOKUP(T599,Bands!$A$2:$A$6,Bands!$B$2:$B$6)</f>
        <v>Solid Performance</v>
      </c>
      <c r="V599" s="8" t="n">
        <f aca="false">IF(Q599="","",ROUND((Q599-B599)*24,1))</f>
        <v>216</v>
      </c>
    </row>
    <row r="600" customFormat="false" ht="15" hidden="false" customHeight="false" outlineLevel="0" collapsed="false">
      <c r="A600" s="3" t="s">
        <v>1331</v>
      </c>
      <c r="B600" s="5" t="n">
        <v>46182.6256944445</v>
      </c>
      <c r="C600" s="3" t="s">
        <v>30</v>
      </c>
      <c r="D600" s="3" t="s">
        <v>85</v>
      </c>
      <c r="E600" s="3" t="s">
        <v>86</v>
      </c>
      <c r="F600" s="3" t="s">
        <v>33</v>
      </c>
      <c r="G600" s="3" t="s">
        <v>42</v>
      </c>
      <c r="H600" s="3" t="s">
        <v>1332</v>
      </c>
      <c r="I600" s="3" t="n">
        <v>2</v>
      </c>
      <c r="J600" s="3" t="n">
        <v>4</v>
      </c>
      <c r="K600" s="3" t="n">
        <v>4</v>
      </c>
      <c r="L600" s="3" t="n">
        <v>5</v>
      </c>
      <c r="M600" s="3" t="n">
        <v>4</v>
      </c>
      <c r="N600" s="3" t="n">
        <v>5</v>
      </c>
      <c r="O600" s="6" t="b">
        <f aca="false">FALSE()</f>
        <v>0</v>
      </c>
      <c r="P600" s="3" t="s">
        <v>88</v>
      </c>
      <c r="Q600" s="5" t="n">
        <v>46186.6256944445</v>
      </c>
      <c r="R600" s="5" t="n">
        <v>46187.3333333333</v>
      </c>
      <c r="S600" s="3" t="s">
        <v>37</v>
      </c>
      <c r="T600" s="7" t="n">
        <f aca="false">ROUND(MIN(IF(OR(O600=TRUE(),O600="TRUE",O600="Yes"),59,100),(I600*Rubric!$C$2+J600*Rubric!$C$3+K600*Rubric!$C$4+L600*Rubric!$C$5+M600*Rubric!$C$6+N600*Rubric!$C$7)/5),1)</f>
        <v>80</v>
      </c>
      <c r="U600" s="8" t="str">
        <f aca="false">LOOKUP(T600,Bands!$A$2:$A$6,Bands!$B$2:$B$6)</f>
        <v>Solid Performance</v>
      </c>
      <c r="V600" s="8" t="n">
        <f aca="false">IF(Q600="","",ROUND((Q600-B600)*24,1))</f>
        <v>96</v>
      </c>
    </row>
    <row r="601" customFormat="false" ht="15" hidden="false" customHeight="false" outlineLevel="0" collapsed="false">
      <c r="A601" s="3" t="s">
        <v>1333</v>
      </c>
      <c r="B601" s="5" t="n">
        <v>46182.4104166667</v>
      </c>
      <c r="C601" s="3" t="s">
        <v>39</v>
      </c>
      <c r="D601" s="3" t="s">
        <v>151</v>
      </c>
      <c r="E601" s="3" t="s">
        <v>152</v>
      </c>
      <c r="F601" s="3" t="s">
        <v>33</v>
      </c>
      <c r="G601" s="3" t="s">
        <v>34</v>
      </c>
      <c r="H601" s="3" t="s">
        <v>1334</v>
      </c>
      <c r="I601" s="3" t="n">
        <v>4</v>
      </c>
      <c r="J601" s="3" t="n">
        <v>2</v>
      </c>
      <c r="K601" s="3" t="n">
        <v>4</v>
      </c>
      <c r="L601" s="3" t="n">
        <v>4</v>
      </c>
      <c r="M601" s="3" t="n">
        <v>4</v>
      </c>
      <c r="N601" s="3" t="n">
        <v>4</v>
      </c>
      <c r="O601" s="6" t="b">
        <f aca="false">FALSE()</f>
        <v>0</v>
      </c>
      <c r="P601" s="3" t="s">
        <v>56</v>
      </c>
      <c r="Q601" s="5" t="n">
        <v>46191.4104166667</v>
      </c>
      <c r="R601" s="5" t="n">
        <v>46193.5395833333</v>
      </c>
      <c r="S601" s="3" t="s">
        <v>37</v>
      </c>
      <c r="T601" s="7" t="n">
        <f aca="false">ROUND(MIN(IF(OR(O601=TRUE(),O601="TRUE",O601="Yes"),59,100),(I601*Rubric!$C$2+J601*Rubric!$C$3+K601*Rubric!$C$4+L601*Rubric!$C$5+M601*Rubric!$C$6+N601*Rubric!$C$7)/5),1)</f>
        <v>70</v>
      </c>
      <c r="U601" s="8" t="str">
        <f aca="false">LOOKUP(T601,Bands!$A$2:$A$6,Bands!$B$2:$B$6)</f>
        <v>Meets Expectations</v>
      </c>
      <c r="V601" s="8" t="n">
        <f aca="false">IF(Q601="","",ROUND((Q601-B601)*24,1))</f>
        <v>216</v>
      </c>
    </row>
    <row r="602" customFormat="false" ht="15" hidden="false" customHeight="false" outlineLevel="0" collapsed="false">
      <c r="A602" s="3" t="s">
        <v>1335</v>
      </c>
      <c r="B602" s="5" t="n">
        <v>46183.44375</v>
      </c>
      <c r="C602" s="3" t="s">
        <v>39</v>
      </c>
      <c r="D602" s="3" t="s">
        <v>222</v>
      </c>
      <c r="E602" s="3" t="s">
        <v>223</v>
      </c>
      <c r="F602" s="3" t="s">
        <v>53</v>
      </c>
      <c r="G602" s="3" t="s">
        <v>54</v>
      </c>
      <c r="H602" s="3" t="s">
        <v>1336</v>
      </c>
      <c r="I602" s="3" t="n">
        <v>5</v>
      </c>
      <c r="J602" s="3" t="n">
        <v>4</v>
      </c>
      <c r="K602" s="3" t="n">
        <v>4</v>
      </c>
      <c r="L602" s="3" t="n">
        <v>4</v>
      </c>
      <c r="M602" s="3" t="n">
        <v>5</v>
      </c>
      <c r="N602" s="3" t="n">
        <v>3</v>
      </c>
      <c r="O602" s="6" t="b">
        <f aca="false">FALSE()</f>
        <v>0</v>
      </c>
      <c r="P602" s="3"/>
      <c r="Q602" s="5" t="n">
        <v>46189.44375</v>
      </c>
      <c r="R602" s="5" t="n">
        <v>46190.0236111111</v>
      </c>
      <c r="S602" s="3" t="s">
        <v>37</v>
      </c>
      <c r="T602" s="7" t="n">
        <f aca="false">ROUND(MIN(IF(OR(O602=TRUE(),O602="TRUE",O602="Yes"),59,100),(I602*Rubric!$C$2+J602*Rubric!$C$3+K602*Rubric!$C$4+L602*Rubric!$C$5+M602*Rubric!$C$6+N602*Rubric!$C$7)/5),1)</f>
        <v>82</v>
      </c>
      <c r="U602" s="8" t="str">
        <f aca="false">LOOKUP(T602,Bands!$A$2:$A$6,Bands!$B$2:$B$6)</f>
        <v>Solid Performance</v>
      </c>
      <c r="V602" s="8" t="n">
        <f aca="false">IF(Q602="","",ROUND((Q602-B602)*24,1))</f>
        <v>144</v>
      </c>
    </row>
    <row r="603" customFormat="false" ht="15" hidden="false" customHeight="false" outlineLevel="0" collapsed="false">
      <c r="A603" s="3" t="s">
        <v>1337</v>
      </c>
      <c r="B603" s="5" t="n">
        <v>46183.5506944444</v>
      </c>
      <c r="C603" s="3" t="s">
        <v>30</v>
      </c>
      <c r="D603" s="3" t="s">
        <v>105</v>
      </c>
      <c r="E603" s="3" t="s">
        <v>106</v>
      </c>
      <c r="F603" s="3" t="s">
        <v>65</v>
      </c>
      <c r="G603" s="3" t="s">
        <v>54</v>
      </c>
      <c r="H603" s="3" t="s">
        <v>1338</v>
      </c>
      <c r="I603" s="3" t="n">
        <v>3</v>
      </c>
      <c r="J603" s="3" t="n">
        <v>2</v>
      </c>
      <c r="K603" s="3" t="n">
        <v>4</v>
      </c>
      <c r="L603" s="3" t="n">
        <v>4</v>
      </c>
      <c r="M603" s="3" t="n">
        <v>4</v>
      </c>
      <c r="N603" s="3" t="n">
        <v>5</v>
      </c>
      <c r="O603" s="6" t="b">
        <f aca="false">FALSE()</f>
        <v>0</v>
      </c>
      <c r="P603" s="3" t="s">
        <v>56</v>
      </c>
      <c r="Q603" s="5" t="n">
        <v>46192.5506944444</v>
      </c>
      <c r="R603" s="5" t="n">
        <v>46192.7159722222</v>
      </c>
      <c r="S603" s="3" t="s">
        <v>37</v>
      </c>
      <c r="T603" s="7" t="n">
        <f aca="false">ROUND(MIN(IF(OR(O603=TRUE(),O603="TRUE",O603="Yes"),59,100),(I603*Rubric!$C$2+J603*Rubric!$C$3+K603*Rubric!$C$4+L603*Rubric!$C$5+M603*Rubric!$C$6+N603*Rubric!$C$7)/5),1)</f>
        <v>70</v>
      </c>
      <c r="U603" s="8" t="str">
        <f aca="false">LOOKUP(T603,Bands!$A$2:$A$6,Bands!$B$2:$B$6)</f>
        <v>Meets Expectations</v>
      </c>
      <c r="V603" s="8" t="n">
        <f aca="false">IF(Q603="","",ROUND((Q603-B603)*24,1))</f>
        <v>216</v>
      </c>
    </row>
    <row r="604" customFormat="false" ht="15" hidden="false" customHeight="false" outlineLevel="0" collapsed="false">
      <c r="A604" s="3" t="s">
        <v>1339</v>
      </c>
      <c r="B604" s="5" t="n">
        <v>46183.4958333333</v>
      </c>
      <c r="C604" s="3" t="s">
        <v>30</v>
      </c>
      <c r="D604" s="3" t="s">
        <v>155</v>
      </c>
      <c r="E604" s="3" t="s">
        <v>156</v>
      </c>
      <c r="F604" s="3" t="s">
        <v>65</v>
      </c>
      <c r="G604" s="3" t="s">
        <v>54</v>
      </c>
      <c r="H604" s="3" t="s">
        <v>1340</v>
      </c>
      <c r="I604" s="3" t="n">
        <v>2</v>
      </c>
      <c r="J604" s="3" t="n">
        <v>4</v>
      </c>
      <c r="K604" s="3" t="n">
        <v>4</v>
      </c>
      <c r="L604" s="3" t="n">
        <v>4</v>
      </c>
      <c r="M604" s="3" t="n">
        <v>5</v>
      </c>
      <c r="N604" s="3" t="n">
        <v>4</v>
      </c>
      <c r="O604" s="6" t="b">
        <f aca="false">FALSE()</f>
        <v>0</v>
      </c>
      <c r="P604" s="3" t="s">
        <v>88</v>
      </c>
      <c r="Q604" s="5" t="n">
        <v>46188.4958333333</v>
      </c>
      <c r="R604" s="5" t="n">
        <v>46189.2763888889</v>
      </c>
      <c r="S604" s="3" t="s">
        <v>37</v>
      </c>
      <c r="T604" s="7" t="n">
        <f aca="false">ROUND(MIN(IF(OR(O604=TRUE(),O604="TRUE",O604="Yes"),59,100),(I604*Rubric!$C$2+J604*Rubric!$C$3+K604*Rubric!$C$4+L604*Rubric!$C$5+M604*Rubric!$C$6+N604*Rubric!$C$7)/5),1)</f>
        <v>76</v>
      </c>
      <c r="U604" s="8" t="str">
        <f aca="false">LOOKUP(T604,Bands!$A$2:$A$6,Bands!$B$2:$B$6)</f>
        <v>Meets Expectations</v>
      </c>
      <c r="V604" s="8" t="n">
        <f aca="false">IF(Q604="","",ROUND((Q604-B604)*24,1))</f>
        <v>120</v>
      </c>
    </row>
    <row r="605" customFormat="false" ht="15" hidden="false" customHeight="false" outlineLevel="0" collapsed="false">
      <c r="A605" s="3" t="s">
        <v>1341</v>
      </c>
      <c r="B605" s="5" t="n">
        <v>46183.4236111111</v>
      </c>
      <c r="C605" s="3" t="s">
        <v>68</v>
      </c>
      <c r="D605" s="3" t="s">
        <v>145</v>
      </c>
      <c r="E605" s="3" t="s">
        <v>146</v>
      </c>
      <c r="F605" s="3" t="s">
        <v>33</v>
      </c>
      <c r="G605" s="3" t="s">
        <v>54</v>
      </c>
      <c r="H605" s="3" t="s">
        <v>1342</v>
      </c>
      <c r="I605" s="3" t="n">
        <v>3</v>
      </c>
      <c r="J605" s="3" t="n">
        <v>3</v>
      </c>
      <c r="K605" s="3" t="n">
        <v>4</v>
      </c>
      <c r="L605" s="3" t="n">
        <v>4</v>
      </c>
      <c r="M605" s="3" t="n">
        <v>4</v>
      </c>
      <c r="N605" s="3" t="n">
        <v>4</v>
      </c>
      <c r="O605" s="6" t="b">
        <f aca="false">FALSE()</f>
        <v>0</v>
      </c>
      <c r="P605" s="3"/>
      <c r="Q605" s="5" t="n">
        <v>46188.4236111111</v>
      </c>
      <c r="R605" s="5" t="n">
        <v>46189.0458333333</v>
      </c>
      <c r="S605" s="3" t="s">
        <v>37</v>
      </c>
      <c r="T605" s="7" t="n">
        <f aca="false">ROUND(MIN(IF(OR(O605=TRUE(),O605="TRUE",O605="Yes"),59,100),(I605*Rubric!$C$2+J605*Rubric!$C$3+K605*Rubric!$C$4+L605*Rubric!$C$5+M605*Rubric!$C$6+N605*Rubric!$C$7)/5),1)</f>
        <v>72</v>
      </c>
      <c r="U605" s="8" t="str">
        <f aca="false">LOOKUP(T605,Bands!$A$2:$A$6,Bands!$B$2:$B$6)</f>
        <v>Meets Expectations</v>
      </c>
      <c r="V605" s="8" t="n">
        <f aca="false">IF(Q605="","",ROUND((Q605-B605)*24,1))</f>
        <v>120</v>
      </c>
    </row>
    <row r="606" customFormat="false" ht="15" hidden="false" customHeight="false" outlineLevel="0" collapsed="false">
      <c r="A606" s="3" t="s">
        <v>1343</v>
      </c>
      <c r="B606" s="5" t="n">
        <v>46183.6409722222</v>
      </c>
      <c r="C606" s="3" t="s">
        <v>30</v>
      </c>
      <c r="D606" s="3" t="s">
        <v>307</v>
      </c>
      <c r="E606" s="3" t="s">
        <v>308</v>
      </c>
      <c r="F606" s="3" t="s">
        <v>33</v>
      </c>
      <c r="G606" s="3" t="s">
        <v>42</v>
      </c>
      <c r="H606" s="3" t="s">
        <v>1344</v>
      </c>
      <c r="I606" s="3" t="n">
        <v>5</v>
      </c>
      <c r="J606" s="3" t="n">
        <v>3</v>
      </c>
      <c r="K606" s="3" t="n">
        <v>5</v>
      </c>
      <c r="L606" s="3" t="n">
        <v>5</v>
      </c>
      <c r="M606" s="3" t="n">
        <v>4</v>
      </c>
      <c r="N606" s="3" t="n">
        <v>5</v>
      </c>
      <c r="O606" s="6" t="b">
        <f aca="false">FALSE()</f>
        <v>0</v>
      </c>
      <c r="P606" s="3"/>
      <c r="Q606" s="5" t="n">
        <v>46189.6409722222</v>
      </c>
      <c r="R606" s="5" t="n">
        <v>46194.9895833333</v>
      </c>
      <c r="S606" s="3" t="s">
        <v>37</v>
      </c>
      <c r="T606" s="7" t="n">
        <f aca="false">ROUND(MIN(IF(OR(O606=TRUE(),O606="TRUE",O606="Yes"),59,100),(I606*Rubric!$C$2+J606*Rubric!$C$3+K606*Rubric!$C$4+L606*Rubric!$C$5+M606*Rubric!$C$6+N606*Rubric!$C$7)/5),1)</f>
        <v>88</v>
      </c>
      <c r="U606" s="8" t="str">
        <f aca="false">LOOKUP(T606,Bands!$A$2:$A$6,Bands!$B$2:$B$6)</f>
        <v>Solid Performance</v>
      </c>
      <c r="V606" s="8" t="n">
        <f aca="false">IF(Q606="","",ROUND((Q606-B606)*24,1))</f>
        <v>144</v>
      </c>
    </row>
    <row r="607" customFormat="false" ht="15" hidden="false" customHeight="false" outlineLevel="0" collapsed="false">
      <c r="A607" s="3" t="s">
        <v>1345</v>
      </c>
      <c r="B607" s="5" t="n">
        <v>46183.5611111111</v>
      </c>
      <c r="C607" s="3" t="s">
        <v>30</v>
      </c>
      <c r="D607" s="3" t="s">
        <v>85</v>
      </c>
      <c r="E607" s="3" t="s">
        <v>86</v>
      </c>
      <c r="F607" s="3" t="s">
        <v>33</v>
      </c>
      <c r="G607" s="3" t="s">
        <v>54</v>
      </c>
      <c r="H607" s="3" t="s">
        <v>1346</v>
      </c>
      <c r="I607" s="3" t="n">
        <v>2</v>
      </c>
      <c r="J607" s="3" t="n">
        <v>4</v>
      </c>
      <c r="K607" s="3" t="n">
        <v>4</v>
      </c>
      <c r="L607" s="3" t="n">
        <v>5</v>
      </c>
      <c r="M607" s="3" t="n">
        <v>4</v>
      </c>
      <c r="N607" s="3" t="n">
        <v>4</v>
      </c>
      <c r="O607" s="6" t="b">
        <f aca="false">FALSE()</f>
        <v>0</v>
      </c>
      <c r="P607" s="3" t="s">
        <v>88</v>
      </c>
      <c r="Q607" s="5" t="n">
        <v>46190.5611111111</v>
      </c>
      <c r="R607" s="5" t="n">
        <v>46191.5270833333</v>
      </c>
      <c r="S607" s="3" t="s">
        <v>37</v>
      </c>
      <c r="T607" s="7" t="n">
        <f aca="false">ROUND(MIN(IF(OR(O607=TRUE(),O607="TRUE",O607="Yes"),59,100),(I607*Rubric!$C$2+J607*Rubric!$C$3+K607*Rubric!$C$4+L607*Rubric!$C$5+M607*Rubric!$C$6+N607*Rubric!$C$7)/5),1)</f>
        <v>77</v>
      </c>
      <c r="U607" s="8" t="str">
        <f aca="false">LOOKUP(T607,Bands!$A$2:$A$6,Bands!$B$2:$B$6)</f>
        <v>Meets Expectations</v>
      </c>
      <c r="V607" s="8" t="n">
        <f aca="false">IF(Q607="","",ROUND((Q607-B607)*24,1))</f>
        <v>168</v>
      </c>
    </row>
    <row r="608" customFormat="false" ht="15" hidden="false" customHeight="false" outlineLevel="0" collapsed="false">
      <c r="A608" s="3" t="s">
        <v>1347</v>
      </c>
      <c r="B608" s="5" t="n">
        <v>46183.6993055556</v>
      </c>
      <c r="C608" s="3" t="s">
        <v>30</v>
      </c>
      <c r="D608" s="3" t="s">
        <v>46</v>
      </c>
      <c r="E608" s="3" t="s">
        <v>47</v>
      </c>
      <c r="F608" s="3" t="s">
        <v>33</v>
      </c>
      <c r="G608" s="3" t="s">
        <v>54</v>
      </c>
      <c r="H608" s="3" t="s">
        <v>1348</v>
      </c>
      <c r="I608" s="3" t="n">
        <v>5</v>
      </c>
      <c r="J608" s="3" t="n">
        <v>5</v>
      </c>
      <c r="K608" s="3" t="n">
        <v>3</v>
      </c>
      <c r="L608" s="3" t="n">
        <v>5</v>
      </c>
      <c r="M608" s="3" t="n">
        <v>4</v>
      </c>
      <c r="N608" s="3" t="n">
        <v>5</v>
      </c>
      <c r="O608" s="6" t="b">
        <f aca="false">FALSE()</f>
        <v>0</v>
      </c>
      <c r="P608" s="3"/>
      <c r="Q608" s="5" t="n">
        <v>46186.6993055556</v>
      </c>
      <c r="R608" s="5" t="n">
        <v>46186.7729166667</v>
      </c>
      <c r="S608" s="3" t="s">
        <v>37</v>
      </c>
      <c r="T608" s="7" t="n">
        <f aca="false">ROUND(MIN(IF(OR(O608=TRUE(),O608="TRUE",O608="Yes"),59,100),(I608*Rubric!$C$2+J608*Rubric!$C$3+K608*Rubric!$C$4+L608*Rubric!$C$5+M608*Rubric!$C$6+N608*Rubric!$C$7)/5),1)</f>
        <v>90</v>
      </c>
      <c r="U608" s="8" t="str">
        <f aca="false">LOOKUP(T608,Bands!$A$2:$A$6,Bands!$B$2:$B$6)</f>
        <v>Outstanding</v>
      </c>
      <c r="V608" s="8" t="n">
        <f aca="false">IF(Q608="","",ROUND((Q608-B608)*24,1))</f>
        <v>72</v>
      </c>
    </row>
    <row r="609" customFormat="false" ht="15" hidden="false" customHeight="false" outlineLevel="0" collapsed="false">
      <c r="A609" s="3" t="s">
        <v>1349</v>
      </c>
      <c r="B609" s="5" t="n">
        <v>46183.3972222222</v>
      </c>
      <c r="C609" s="3" t="s">
        <v>68</v>
      </c>
      <c r="D609" s="3" t="s">
        <v>58</v>
      </c>
      <c r="E609" s="3" t="s">
        <v>59</v>
      </c>
      <c r="F609" s="3" t="s">
        <v>53</v>
      </c>
      <c r="G609" s="3" t="s">
        <v>54</v>
      </c>
      <c r="H609" s="3" t="s">
        <v>1350</v>
      </c>
      <c r="I609" s="3" t="n">
        <v>2</v>
      </c>
      <c r="J609" s="3" t="n">
        <v>4</v>
      </c>
      <c r="K609" s="3" t="n">
        <v>3</v>
      </c>
      <c r="L609" s="3" t="n">
        <v>3</v>
      </c>
      <c r="M609" s="3" t="n">
        <v>3</v>
      </c>
      <c r="N609" s="3" t="n">
        <v>3</v>
      </c>
      <c r="O609" s="6" t="b">
        <f aca="false">FALSE()</f>
        <v>0</v>
      </c>
      <c r="P609" s="3" t="s">
        <v>88</v>
      </c>
      <c r="Q609" s="5" t="n">
        <v>46189.3972222222</v>
      </c>
      <c r="R609" s="5" t="n">
        <v>46190.6597222222</v>
      </c>
      <c r="S609" s="3" t="s">
        <v>37</v>
      </c>
      <c r="T609" s="7" t="n">
        <f aca="false">ROUND(MIN(IF(OR(O609=TRUE(),O609="TRUE",O609="Yes"),59,100),(I609*Rubric!$C$2+J609*Rubric!$C$3+K609*Rubric!$C$4+L609*Rubric!$C$5+M609*Rubric!$C$6+N609*Rubric!$C$7)/5),1)</f>
        <v>62</v>
      </c>
      <c r="U609" s="8" t="str">
        <f aca="false">LOOKUP(T609,Bands!$A$2:$A$6,Bands!$B$2:$B$6)</f>
        <v>Needs Improvement</v>
      </c>
      <c r="V609" s="8" t="n">
        <f aca="false">IF(Q609="","",ROUND((Q609-B609)*24,1))</f>
        <v>144</v>
      </c>
    </row>
    <row r="610" customFormat="false" ht="15" hidden="false" customHeight="false" outlineLevel="0" collapsed="false">
      <c r="A610" s="3" t="s">
        <v>1351</v>
      </c>
      <c r="B610" s="5" t="n">
        <v>46183.61875</v>
      </c>
      <c r="C610" s="3" t="s">
        <v>30</v>
      </c>
      <c r="D610" s="3" t="s">
        <v>251</v>
      </c>
      <c r="E610" s="3" t="s">
        <v>252</v>
      </c>
      <c r="F610" s="3" t="s">
        <v>53</v>
      </c>
      <c r="G610" s="3" t="s">
        <v>54</v>
      </c>
      <c r="H610" s="3" t="s">
        <v>1352</v>
      </c>
      <c r="I610" s="3" t="n">
        <v>4</v>
      </c>
      <c r="J610" s="3" t="n">
        <v>3</v>
      </c>
      <c r="K610" s="3" t="n">
        <v>4</v>
      </c>
      <c r="L610" s="3" t="n">
        <v>4</v>
      </c>
      <c r="M610" s="3" t="n">
        <v>3</v>
      </c>
      <c r="N610" s="3" t="n">
        <v>4</v>
      </c>
      <c r="O610" s="6" t="b">
        <f aca="false">FALSE()</f>
        <v>0</v>
      </c>
      <c r="P610" s="3"/>
      <c r="Q610" s="5" t="n">
        <v>46188.61875</v>
      </c>
      <c r="R610" s="5" t="n">
        <v>46190.4076388889</v>
      </c>
      <c r="S610" s="3" t="s">
        <v>37</v>
      </c>
      <c r="T610" s="7" t="n">
        <f aca="false">ROUND(MIN(IF(OR(O610=TRUE(),O610="TRUE",O610="Yes"),59,100),(I610*Rubric!$C$2+J610*Rubric!$C$3+K610*Rubric!$C$4+L610*Rubric!$C$5+M610*Rubric!$C$6+N610*Rubric!$C$7)/5),1)</f>
        <v>73</v>
      </c>
      <c r="U610" s="8" t="str">
        <f aca="false">LOOKUP(T610,Bands!$A$2:$A$6,Bands!$B$2:$B$6)</f>
        <v>Meets Expectations</v>
      </c>
      <c r="V610" s="8" t="n">
        <f aca="false">IF(Q610="","",ROUND((Q610-B610)*24,1))</f>
        <v>120</v>
      </c>
    </row>
    <row r="611" customFormat="false" ht="15" hidden="false" customHeight="false" outlineLevel="0" collapsed="false">
      <c r="A611" s="3" t="s">
        <v>1353</v>
      </c>
      <c r="B611" s="5" t="n">
        <v>46183.5506944444</v>
      </c>
      <c r="C611" s="3" t="s">
        <v>68</v>
      </c>
      <c r="D611" s="3" t="s">
        <v>81</v>
      </c>
      <c r="E611" s="3" t="s">
        <v>82</v>
      </c>
      <c r="F611" s="3" t="s">
        <v>65</v>
      </c>
      <c r="G611" s="3" t="s">
        <v>42</v>
      </c>
      <c r="H611" s="3" t="s">
        <v>1354</v>
      </c>
      <c r="I611" s="3" t="n">
        <v>3</v>
      </c>
      <c r="J611" s="3" t="n">
        <v>2</v>
      </c>
      <c r="K611" s="3" t="n">
        <v>4</v>
      </c>
      <c r="L611" s="3" t="n">
        <v>4</v>
      </c>
      <c r="M611" s="3" t="n">
        <v>5</v>
      </c>
      <c r="N611" s="3" t="n">
        <v>4</v>
      </c>
      <c r="O611" s="6" t="b">
        <f aca="false">FALSE()</f>
        <v>0</v>
      </c>
      <c r="P611" s="3" t="s">
        <v>56</v>
      </c>
      <c r="Q611" s="5" t="n">
        <v>46188.5506944444</v>
      </c>
      <c r="R611" s="5" t="n">
        <v>46188.9215277778</v>
      </c>
      <c r="S611" s="3" t="s">
        <v>37</v>
      </c>
      <c r="T611" s="7" t="n">
        <f aca="false">ROUND(MIN(IF(OR(O611=TRUE(),O611="TRUE",O611="Yes"),59,100),(I611*Rubric!$C$2+J611*Rubric!$C$3+K611*Rubric!$C$4+L611*Rubric!$C$5+M611*Rubric!$C$6+N611*Rubric!$C$7)/5),1)</f>
        <v>69</v>
      </c>
      <c r="U611" s="8" t="str">
        <f aca="false">LOOKUP(T611,Bands!$A$2:$A$6,Bands!$B$2:$B$6)</f>
        <v>Needs Improvement</v>
      </c>
      <c r="V611" s="8" t="n">
        <f aca="false">IF(Q611="","",ROUND((Q611-B611)*24,1))</f>
        <v>120</v>
      </c>
    </row>
    <row r="612" customFormat="false" ht="15" hidden="false" customHeight="false" outlineLevel="0" collapsed="false">
      <c r="A612" s="3" t="s">
        <v>1355</v>
      </c>
      <c r="B612" s="5" t="n">
        <v>46183.4368055556</v>
      </c>
      <c r="C612" s="3" t="s">
        <v>30</v>
      </c>
      <c r="D612" s="3" t="s">
        <v>100</v>
      </c>
      <c r="E612" s="3" t="s">
        <v>101</v>
      </c>
      <c r="F612" s="3" t="s">
        <v>33</v>
      </c>
      <c r="G612" s="3" t="s">
        <v>42</v>
      </c>
      <c r="H612" s="3" t="s">
        <v>1356</v>
      </c>
      <c r="I612" s="3" t="n">
        <v>4</v>
      </c>
      <c r="J612" s="3" t="n">
        <v>5</v>
      </c>
      <c r="K612" s="3" t="n">
        <v>4</v>
      </c>
      <c r="L612" s="3" t="n">
        <v>5</v>
      </c>
      <c r="M612" s="3" t="n">
        <v>3</v>
      </c>
      <c r="N612" s="3" t="n">
        <v>5</v>
      </c>
      <c r="O612" s="6" t="b">
        <f aca="false">FALSE()</f>
        <v>0</v>
      </c>
      <c r="P612" s="3"/>
      <c r="Q612" s="5" t="n">
        <v>46189.4368055556</v>
      </c>
      <c r="R612" s="5" t="n">
        <v>46189.8902777778</v>
      </c>
      <c r="S612" s="3" t="s">
        <v>37</v>
      </c>
      <c r="T612" s="7" t="n">
        <f aca="false">ROUND(MIN(IF(OR(O612=TRUE(),O612="TRUE",O612="Yes"),59,100),(I612*Rubric!$C$2+J612*Rubric!$C$3+K612*Rubric!$C$4+L612*Rubric!$C$5+M612*Rubric!$C$6+N612*Rubric!$C$7)/5),1)</f>
        <v>89</v>
      </c>
      <c r="U612" s="8" t="str">
        <f aca="false">LOOKUP(T612,Bands!$A$2:$A$6,Bands!$B$2:$B$6)</f>
        <v>Solid Performance</v>
      </c>
      <c r="V612" s="8" t="n">
        <f aca="false">IF(Q612="","",ROUND((Q612-B612)*24,1))</f>
        <v>144</v>
      </c>
    </row>
    <row r="613" customFormat="false" ht="15" hidden="false" customHeight="false" outlineLevel="0" collapsed="false">
      <c r="A613" s="3" t="s">
        <v>1357</v>
      </c>
      <c r="B613" s="5" t="n">
        <v>46183.6756944444</v>
      </c>
      <c r="C613" s="3" t="s">
        <v>39</v>
      </c>
      <c r="D613" s="3" t="s">
        <v>90</v>
      </c>
      <c r="E613" s="3" t="s">
        <v>91</v>
      </c>
      <c r="F613" s="3" t="s">
        <v>65</v>
      </c>
      <c r="G613" s="3" t="s">
        <v>34</v>
      </c>
      <c r="H613" s="3" t="s">
        <v>1358</v>
      </c>
      <c r="I613" s="3" t="n">
        <v>4</v>
      </c>
      <c r="J613" s="3" t="n">
        <v>4</v>
      </c>
      <c r="K613" s="3" t="n">
        <v>3</v>
      </c>
      <c r="L613" s="3" t="n">
        <v>4</v>
      </c>
      <c r="M613" s="3" t="n">
        <v>4</v>
      </c>
      <c r="N613" s="3" t="n">
        <v>5</v>
      </c>
      <c r="O613" s="6" t="b">
        <f aca="false">FALSE()</f>
        <v>0</v>
      </c>
      <c r="P613" s="3"/>
      <c r="Q613" s="5" t="n">
        <v>46186.6756944444</v>
      </c>
      <c r="R613" s="5" t="n">
        <v>46186.9958333333</v>
      </c>
      <c r="S613" s="3" t="s">
        <v>37</v>
      </c>
      <c r="T613" s="7" t="n">
        <f aca="false">ROUND(MIN(IF(OR(O613=TRUE(),O613="TRUE",O613="Yes"),59,100),(I613*Rubric!$C$2+J613*Rubric!$C$3+K613*Rubric!$C$4+L613*Rubric!$C$5+M613*Rubric!$C$6+N613*Rubric!$C$7)/5),1)</f>
        <v>79</v>
      </c>
      <c r="U613" s="8" t="str">
        <f aca="false">LOOKUP(T613,Bands!$A$2:$A$6,Bands!$B$2:$B$6)</f>
        <v>Meets Expectations</v>
      </c>
      <c r="V613" s="8" t="n">
        <f aca="false">IF(Q613="","",ROUND((Q613-B613)*24,1))</f>
        <v>72</v>
      </c>
    </row>
    <row r="614" customFormat="false" ht="15" hidden="false" customHeight="false" outlineLevel="0" collapsed="false">
      <c r="A614" s="3" t="s">
        <v>1359</v>
      </c>
      <c r="B614" s="5" t="n">
        <v>46184.7048611111</v>
      </c>
      <c r="C614" s="3" t="s">
        <v>68</v>
      </c>
      <c r="D614" s="3" t="s">
        <v>46</v>
      </c>
      <c r="E614" s="3" t="s">
        <v>47</v>
      </c>
      <c r="F614" s="3" t="s">
        <v>33</v>
      </c>
      <c r="G614" s="3" t="s">
        <v>54</v>
      </c>
      <c r="H614" s="3" t="s">
        <v>1360</v>
      </c>
      <c r="I614" s="3" t="n">
        <v>5</v>
      </c>
      <c r="J614" s="3" t="n">
        <v>3</v>
      </c>
      <c r="K614" s="3" t="n">
        <v>3</v>
      </c>
      <c r="L614" s="3" t="n">
        <v>4</v>
      </c>
      <c r="M614" s="3" t="n">
        <v>5</v>
      </c>
      <c r="N614" s="3" t="n">
        <v>5</v>
      </c>
      <c r="O614" s="6" t="b">
        <f aca="false">FALSE()</f>
        <v>0</v>
      </c>
      <c r="P614" s="3"/>
      <c r="Q614" s="5" t="n">
        <v>46189.7048611111</v>
      </c>
      <c r="R614" s="5" t="n">
        <v>46190.8208333333</v>
      </c>
      <c r="S614" s="3" t="s">
        <v>37</v>
      </c>
      <c r="T614" s="7" t="n">
        <f aca="false">ROUND(MIN(IF(OR(O614=TRUE(),O614="TRUE",O614="Yes"),59,100),(I614*Rubric!$C$2+J614*Rubric!$C$3+K614*Rubric!$C$4+L614*Rubric!$C$5+M614*Rubric!$C$6+N614*Rubric!$C$7)/5),1)</f>
        <v>79</v>
      </c>
      <c r="U614" s="8" t="str">
        <f aca="false">LOOKUP(T614,Bands!$A$2:$A$6,Bands!$B$2:$B$6)</f>
        <v>Meets Expectations</v>
      </c>
      <c r="V614" s="8" t="n">
        <f aca="false">IF(Q614="","",ROUND((Q614-B614)*24,1))</f>
        <v>120</v>
      </c>
    </row>
    <row r="615" customFormat="false" ht="15" hidden="false" customHeight="false" outlineLevel="0" collapsed="false">
      <c r="A615" s="3" t="s">
        <v>1361</v>
      </c>
      <c r="B615" s="5" t="n">
        <v>46184.3909722222</v>
      </c>
      <c r="C615" s="3" t="s">
        <v>30</v>
      </c>
      <c r="D615" s="3" t="s">
        <v>151</v>
      </c>
      <c r="E615" s="3" t="s">
        <v>152</v>
      </c>
      <c r="F615" s="3" t="s">
        <v>33</v>
      </c>
      <c r="G615" s="3" t="s">
        <v>42</v>
      </c>
      <c r="H615" s="3" t="s">
        <v>1362</v>
      </c>
      <c r="I615" s="3" t="n">
        <v>5</v>
      </c>
      <c r="J615" s="3" t="n">
        <v>2</v>
      </c>
      <c r="K615" s="3" t="n">
        <v>4</v>
      </c>
      <c r="L615" s="3" t="n">
        <v>5</v>
      </c>
      <c r="M615" s="3" t="n">
        <v>4</v>
      </c>
      <c r="N615" s="3" t="n">
        <v>4</v>
      </c>
      <c r="O615" s="6" t="b">
        <f aca="false">FALSE()</f>
        <v>0</v>
      </c>
      <c r="P615" s="3" t="s">
        <v>56</v>
      </c>
      <c r="Q615" s="5" t="n">
        <v>46190.3909722222</v>
      </c>
      <c r="R615" s="5" t="n">
        <v>46190.5347222222</v>
      </c>
      <c r="S615" s="3" t="s">
        <v>37</v>
      </c>
      <c r="T615" s="7" t="n">
        <f aca="false">ROUND(MIN(IF(OR(O615=TRUE(),O615="TRUE",O615="Yes"),59,100),(I615*Rubric!$C$2+J615*Rubric!$C$3+K615*Rubric!$C$4+L615*Rubric!$C$5+M615*Rubric!$C$6+N615*Rubric!$C$7)/5),1)</f>
        <v>76</v>
      </c>
      <c r="U615" s="8" t="str">
        <f aca="false">LOOKUP(T615,Bands!$A$2:$A$6,Bands!$B$2:$B$6)</f>
        <v>Meets Expectations</v>
      </c>
      <c r="V615" s="8" t="n">
        <f aca="false">IF(Q615="","",ROUND((Q615-B615)*24,1))</f>
        <v>144</v>
      </c>
    </row>
    <row r="616" customFormat="false" ht="15" hidden="false" customHeight="false" outlineLevel="0" collapsed="false">
      <c r="A616" s="3" t="s">
        <v>1363</v>
      </c>
      <c r="B616" s="5" t="n">
        <v>46184.4277777778</v>
      </c>
      <c r="C616" s="3" t="s">
        <v>39</v>
      </c>
      <c r="D616" s="3" t="s">
        <v>77</v>
      </c>
      <c r="E616" s="3" t="s">
        <v>78</v>
      </c>
      <c r="F616" s="3" t="s">
        <v>33</v>
      </c>
      <c r="G616" s="3" t="s">
        <v>54</v>
      </c>
      <c r="H616" s="3" t="s">
        <v>1364</v>
      </c>
      <c r="I616" s="3" t="n">
        <v>5</v>
      </c>
      <c r="J616" s="3" t="n">
        <v>3</v>
      </c>
      <c r="K616" s="3" t="n">
        <v>4</v>
      </c>
      <c r="L616" s="3" t="n">
        <v>5</v>
      </c>
      <c r="M616" s="3" t="n">
        <v>5</v>
      </c>
      <c r="N616" s="3" t="n">
        <v>5</v>
      </c>
      <c r="O616" s="6" t="b">
        <f aca="false">FALSE()</f>
        <v>0</v>
      </c>
      <c r="P616" s="3"/>
      <c r="Q616" s="5" t="n">
        <v>46190.4277777778</v>
      </c>
      <c r="R616" s="5" t="n">
        <v>46191.1777777778</v>
      </c>
      <c r="S616" s="3" t="s">
        <v>37</v>
      </c>
      <c r="T616" s="7" t="n">
        <f aca="false">ROUND(MIN(IF(OR(O616=TRUE(),O616="TRUE",O616="Yes"),59,100),(I616*Rubric!$C$2+J616*Rubric!$C$3+K616*Rubric!$C$4+L616*Rubric!$C$5+M616*Rubric!$C$6+N616*Rubric!$C$7)/5),1)</f>
        <v>86</v>
      </c>
      <c r="U616" s="8" t="str">
        <f aca="false">LOOKUP(T616,Bands!$A$2:$A$6,Bands!$B$2:$B$6)</f>
        <v>Solid Performance</v>
      </c>
      <c r="V616" s="8" t="n">
        <f aca="false">IF(Q616="","",ROUND((Q616-B616)*24,1))</f>
        <v>144</v>
      </c>
    </row>
    <row r="617" customFormat="false" ht="15" hidden="false" customHeight="false" outlineLevel="0" collapsed="false">
      <c r="A617" s="3" t="s">
        <v>1365</v>
      </c>
      <c r="B617" s="5" t="n">
        <v>46184.5006944445</v>
      </c>
      <c r="C617" s="3" t="s">
        <v>39</v>
      </c>
      <c r="D617" s="3" t="s">
        <v>486</v>
      </c>
      <c r="E617" s="3" t="s">
        <v>487</v>
      </c>
      <c r="F617" s="3" t="s">
        <v>65</v>
      </c>
      <c r="G617" s="3" t="s">
        <v>42</v>
      </c>
      <c r="H617" s="3" t="s">
        <v>1366</v>
      </c>
      <c r="I617" s="3" t="n">
        <v>4</v>
      </c>
      <c r="J617" s="3" t="n">
        <v>3</v>
      </c>
      <c r="K617" s="3" t="n">
        <v>4</v>
      </c>
      <c r="L617" s="3" t="n">
        <v>5</v>
      </c>
      <c r="M617" s="3" t="n">
        <v>5</v>
      </c>
      <c r="N617" s="3" t="n">
        <v>5</v>
      </c>
      <c r="O617" s="6" t="b">
        <f aca="false">FALSE()</f>
        <v>0</v>
      </c>
      <c r="P617" s="3"/>
      <c r="Q617" s="5" t="n">
        <v>46188.5006944445</v>
      </c>
      <c r="R617" s="5" t="n">
        <v>46194.3618055556</v>
      </c>
      <c r="S617" s="3" t="s">
        <v>37</v>
      </c>
      <c r="T617" s="7" t="n">
        <f aca="false">ROUND(MIN(IF(OR(O617=TRUE(),O617="TRUE",O617="Yes"),59,100),(I617*Rubric!$C$2+J617*Rubric!$C$3+K617*Rubric!$C$4+L617*Rubric!$C$5+M617*Rubric!$C$6+N617*Rubric!$C$7)/5),1)</f>
        <v>83</v>
      </c>
      <c r="U617" s="8" t="str">
        <f aca="false">LOOKUP(T617,Bands!$A$2:$A$6,Bands!$B$2:$B$6)</f>
        <v>Solid Performance</v>
      </c>
      <c r="V617" s="8" t="n">
        <f aca="false">IF(Q617="","",ROUND((Q617-B617)*24,1))</f>
        <v>96</v>
      </c>
    </row>
    <row r="618" customFormat="false" ht="15" hidden="false" customHeight="false" outlineLevel="0" collapsed="false">
      <c r="A618" s="3" t="s">
        <v>1367</v>
      </c>
      <c r="B618" s="5" t="n">
        <v>46184.6631944445</v>
      </c>
      <c r="C618" s="3" t="s">
        <v>30</v>
      </c>
      <c r="D618" s="3" t="s">
        <v>85</v>
      </c>
      <c r="E618" s="3" t="s">
        <v>86</v>
      </c>
      <c r="F618" s="3" t="s">
        <v>33</v>
      </c>
      <c r="G618" s="3" t="s">
        <v>54</v>
      </c>
      <c r="H618" s="3" t="s">
        <v>1368</v>
      </c>
      <c r="I618" s="3" t="n">
        <v>2</v>
      </c>
      <c r="J618" s="3" t="n">
        <v>3</v>
      </c>
      <c r="K618" s="3" t="n">
        <v>4</v>
      </c>
      <c r="L618" s="3" t="n">
        <v>5</v>
      </c>
      <c r="M618" s="3" t="n">
        <v>5</v>
      </c>
      <c r="N618" s="3" t="n">
        <v>5</v>
      </c>
      <c r="O618" s="6" t="b">
        <f aca="false">FALSE()</f>
        <v>0</v>
      </c>
      <c r="P618" s="3" t="s">
        <v>88</v>
      </c>
      <c r="Q618" s="5" t="n">
        <v>46191.6631944445</v>
      </c>
      <c r="R618" s="5" t="n">
        <v>46195.3555555556</v>
      </c>
      <c r="S618" s="3" t="s">
        <v>37</v>
      </c>
      <c r="T618" s="7" t="n">
        <f aca="false">ROUND(MIN(IF(OR(O618=TRUE(),O618="TRUE",O618="Yes"),59,100),(I618*Rubric!$C$2+J618*Rubric!$C$3+K618*Rubric!$C$4+L618*Rubric!$C$5+M618*Rubric!$C$6+N618*Rubric!$C$7)/5),1)</f>
        <v>77</v>
      </c>
      <c r="U618" s="8" t="str">
        <f aca="false">LOOKUP(T618,Bands!$A$2:$A$6,Bands!$B$2:$B$6)</f>
        <v>Meets Expectations</v>
      </c>
      <c r="V618" s="8" t="n">
        <f aca="false">IF(Q618="","",ROUND((Q618-B618)*24,1))</f>
        <v>168</v>
      </c>
    </row>
    <row r="619" customFormat="false" ht="15" hidden="false" customHeight="false" outlineLevel="0" collapsed="false">
      <c r="A619" s="3" t="s">
        <v>1369</v>
      </c>
      <c r="B619" s="5" t="n">
        <v>46184.5701388889</v>
      </c>
      <c r="C619" s="3" t="s">
        <v>39</v>
      </c>
      <c r="D619" s="3" t="s">
        <v>238</v>
      </c>
      <c r="E619" s="3" t="s">
        <v>239</v>
      </c>
      <c r="F619" s="3" t="s">
        <v>33</v>
      </c>
      <c r="G619" s="3" t="s">
        <v>54</v>
      </c>
      <c r="H619" s="3" t="s">
        <v>1370</v>
      </c>
      <c r="I619" s="3" t="n">
        <v>4</v>
      </c>
      <c r="J619" s="3" t="n">
        <v>4</v>
      </c>
      <c r="K619" s="3" t="n">
        <v>4</v>
      </c>
      <c r="L619" s="3" t="n">
        <v>4</v>
      </c>
      <c r="M619" s="3" t="n">
        <v>2</v>
      </c>
      <c r="N619" s="3" t="n">
        <v>0</v>
      </c>
      <c r="O619" s="6" t="b">
        <f aca="false">TRUE()</f>
        <v>1</v>
      </c>
      <c r="P619" s="3" t="s">
        <v>312</v>
      </c>
      <c r="Q619" s="5" t="n">
        <v>46188.5701388889</v>
      </c>
      <c r="R619" s="5" t="n">
        <v>46188.7923611111</v>
      </c>
      <c r="S619" s="3" t="s">
        <v>37</v>
      </c>
      <c r="T619" s="7" t="n">
        <f aca="false">ROUND(MIN(IF(OR(O619=TRUE(),O619="TRUE",O619="Yes"),59,100),(I619*Rubric!$C$2+J619*Rubric!$C$3+K619*Rubric!$C$4+L619*Rubric!$C$5+M619*Rubric!$C$6+N619*Rubric!$C$7)/5),1)</f>
        <v>59</v>
      </c>
      <c r="U619" s="8" t="str">
        <f aca="false">LOOKUP(T619,Bands!$A$2:$A$6,Bands!$B$2:$B$6)</f>
        <v>Critical</v>
      </c>
      <c r="V619" s="8" t="n">
        <f aca="false">IF(Q619="","",ROUND((Q619-B619)*24,1))</f>
        <v>96</v>
      </c>
    </row>
    <row r="620" customFormat="false" ht="15" hidden="false" customHeight="false" outlineLevel="0" collapsed="false">
      <c r="A620" s="3" t="s">
        <v>1371</v>
      </c>
      <c r="B620" s="5" t="n">
        <v>46184.5</v>
      </c>
      <c r="C620" s="3" t="s">
        <v>68</v>
      </c>
      <c r="D620" s="3" t="s">
        <v>58</v>
      </c>
      <c r="E620" s="3" t="s">
        <v>59</v>
      </c>
      <c r="F620" s="3" t="s">
        <v>53</v>
      </c>
      <c r="G620" s="3" t="s">
        <v>54</v>
      </c>
      <c r="H620" s="3" t="s">
        <v>1372</v>
      </c>
      <c r="I620" s="3" t="n">
        <v>3</v>
      </c>
      <c r="J620" s="3" t="n">
        <v>3</v>
      </c>
      <c r="K620" s="3" t="n">
        <v>3</v>
      </c>
      <c r="L620" s="3" t="n">
        <v>4</v>
      </c>
      <c r="M620" s="3" t="n">
        <v>3</v>
      </c>
      <c r="N620" s="3" t="n">
        <v>2</v>
      </c>
      <c r="O620" s="6" t="b">
        <f aca="false">FALSE()</f>
        <v>0</v>
      </c>
      <c r="P620" s="3" t="s">
        <v>36</v>
      </c>
      <c r="Q620" s="5" t="n">
        <v>46191.5</v>
      </c>
      <c r="R620" s="5" t="n">
        <v>46191.6229166667</v>
      </c>
      <c r="S620" s="3" t="s">
        <v>37</v>
      </c>
      <c r="T620" s="7" t="n">
        <f aca="false">ROUND(MIN(IF(OR(O620=TRUE(),O620="TRUE",O620="Yes"),59,100),(I620*Rubric!$C$2+J620*Rubric!$C$3+K620*Rubric!$C$4+L620*Rubric!$C$5+M620*Rubric!$C$6+N620*Rubric!$C$7)/5),1)</f>
        <v>60</v>
      </c>
      <c r="U620" s="8" t="str">
        <f aca="false">LOOKUP(T620,Bands!$A$2:$A$6,Bands!$B$2:$B$6)</f>
        <v>Needs Improvement</v>
      </c>
      <c r="V620" s="8" t="n">
        <f aca="false">IF(Q620="","",ROUND((Q620-B620)*24,1))</f>
        <v>168</v>
      </c>
    </row>
    <row r="621" customFormat="false" ht="15" hidden="false" customHeight="false" outlineLevel="0" collapsed="false">
      <c r="A621" s="3" t="s">
        <v>1373</v>
      </c>
      <c r="B621" s="5" t="n">
        <v>46184.6541666667</v>
      </c>
      <c r="C621" s="3" t="s">
        <v>68</v>
      </c>
      <c r="D621" s="3" t="s">
        <v>155</v>
      </c>
      <c r="E621" s="3" t="s">
        <v>156</v>
      </c>
      <c r="F621" s="3" t="s">
        <v>65</v>
      </c>
      <c r="G621" s="3" t="s">
        <v>42</v>
      </c>
      <c r="H621" s="3" t="s">
        <v>1374</v>
      </c>
      <c r="I621" s="3" t="n">
        <v>3</v>
      </c>
      <c r="J621" s="3" t="n">
        <v>4</v>
      </c>
      <c r="K621" s="3" t="n">
        <v>5</v>
      </c>
      <c r="L621" s="3" t="n">
        <v>3</v>
      </c>
      <c r="M621" s="3" t="n">
        <v>4</v>
      </c>
      <c r="N621" s="3" t="n">
        <v>5</v>
      </c>
      <c r="O621" s="6" t="b">
        <f aca="false">FALSE()</f>
        <v>0</v>
      </c>
      <c r="P621" s="3"/>
      <c r="Q621" s="5" t="n">
        <v>46187.6541666667</v>
      </c>
      <c r="R621" s="5" t="n">
        <v>46189.175</v>
      </c>
      <c r="S621" s="3" t="s">
        <v>37</v>
      </c>
      <c r="T621" s="7" t="n">
        <f aca="false">ROUND(MIN(IF(OR(O621=TRUE(),O621="TRUE",O621="Yes"),59,100),(I621*Rubric!$C$2+J621*Rubric!$C$3+K621*Rubric!$C$4+L621*Rubric!$C$5+M621*Rubric!$C$6+N621*Rubric!$C$7)/5),1)</f>
        <v>81</v>
      </c>
      <c r="U621" s="8" t="str">
        <f aca="false">LOOKUP(T621,Bands!$A$2:$A$6,Bands!$B$2:$B$6)</f>
        <v>Solid Performance</v>
      </c>
      <c r="V621" s="8" t="n">
        <f aca="false">IF(Q621="","",ROUND((Q621-B621)*24,1))</f>
        <v>72</v>
      </c>
    </row>
    <row r="622" customFormat="false" ht="15" hidden="false" customHeight="false" outlineLevel="0" collapsed="false">
      <c r="A622" s="3" t="s">
        <v>1375</v>
      </c>
      <c r="B622" s="5" t="n">
        <v>46184.5215277778</v>
      </c>
      <c r="C622" s="3" t="s">
        <v>39</v>
      </c>
      <c r="D622" s="3" t="s">
        <v>265</v>
      </c>
      <c r="E622" s="3" t="s">
        <v>266</v>
      </c>
      <c r="F622" s="3" t="s">
        <v>33</v>
      </c>
      <c r="G622" s="3" t="s">
        <v>42</v>
      </c>
      <c r="H622" s="3" t="s">
        <v>1376</v>
      </c>
      <c r="I622" s="3" t="n">
        <v>4</v>
      </c>
      <c r="J622" s="3" t="n">
        <v>3</v>
      </c>
      <c r="K622" s="3" t="n">
        <v>3</v>
      </c>
      <c r="L622" s="3" t="n">
        <v>4</v>
      </c>
      <c r="M622" s="3" t="n">
        <v>3</v>
      </c>
      <c r="N622" s="3" t="n">
        <v>3</v>
      </c>
      <c r="O622" s="6" t="b">
        <f aca="false">FALSE()</f>
        <v>0</v>
      </c>
      <c r="P622" s="3"/>
      <c r="Q622" s="5" t="n">
        <v>46193.5215277778</v>
      </c>
      <c r="R622" s="5" t="n">
        <v>46197.4347222222</v>
      </c>
      <c r="S622" s="3" t="s">
        <v>37</v>
      </c>
      <c r="T622" s="7" t="n">
        <f aca="false">ROUND(MIN(IF(OR(O622=TRUE(),O622="TRUE",O622="Yes"),59,100),(I622*Rubric!$C$2+J622*Rubric!$C$3+K622*Rubric!$C$4+L622*Rubric!$C$5+M622*Rubric!$C$6+N622*Rubric!$C$7)/5),1)</f>
        <v>66</v>
      </c>
      <c r="U622" s="8" t="str">
        <f aca="false">LOOKUP(T622,Bands!$A$2:$A$6,Bands!$B$2:$B$6)</f>
        <v>Needs Improvement</v>
      </c>
      <c r="V622" s="8" t="n">
        <f aca="false">IF(Q622="","",ROUND((Q622-B622)*24,1))</f>
        <v>216</v>
      </c>
    </row>
    <row r="623" customFormat="false" ht="15" hidden="false" customHeight="false" outlineLevel="0" collapsed="false">
      <c r="A623" s="3" t="s">
        <v>1377</v>
      </c>
      <c r="B623" s="5" t="n">
        <v>46184.5180555556</v>
      </c>
      <c r="C623" s="3" t="s">
        <v>68</v>
      </c>
      <c r="D623" s="3" t="s">
        <v>133</v>
      </c>
      <c r="E623" s="3" t="s">
        <v>134</v>
      </c>
      <c r="F623" s="3" t="s">
        <v>33</v>
      </c>
      <c r="G623" s="3" t="s">
        <v>42</v>
      </c>
      <c r="H623" s="3" t="s">
        <v>1378</v>
      </c>
      <c r="I623" s="3" t="n">
        <v>5</v>
      </c>
      <c r="J623" s="3" t="n">
        <v>2</v>
      </c>
      <c r="K623" s="3" t="n">
        <v>5</v>
      </c>
      <c r="L623" s="3" t="n">
        <v>5</v>
      </c>
      <c r="M623" s="3" t="n">
        <v>4</v>
      </c>
      <c r="N623" s="3" t="n">
        <v>5</v>
      </c>
      <c r="O623" s="6" t="b">
        <f aca="false">FALSE()</f>
        <v>0</v>
      </c>
      <c r="P623" s="3" t="s">
        <v>56</v>
      </c>
      <c r="Q623" s="5" t="n">
        <v>46191.5180555556</v>
      </c>
      <c r="R623" s="5" t="n">
        <v>46194.2361111111</v>
      </c>
      <c r="S623" s="3" t="s">
        <v>37</v>
      </c>
      <c r="T623" s="7" t="n">
        <f aca="false">ROUND(MIN(IF(OR(O623=TRUE(),O623="TRUE",O623="Yes"),59,100),(I623*Rubric!$C$2+J623*Rubric!$C$3+K623*Rubric!$C$4+L623*Rubric!$C$5+M623*Rubric!$C$6+N623*Rubric!$C$7)/5),1)</f>
        <v>83</v>
      </c>
      <c r="U623" s="8" t="str">
        <f aca="false">LOOKUP(T623,Bands!$A$2:$A$6,Bands!$B$2:$B$6)</f>
        <v>Solid Performance</v>
      </c>
      <c r="V623" s="8" t="n">
        <f aca="false">IF(Q623="","",ROUND((Q623-B623)*24,1))</f>
        <v>168</v>
      </c>
    </row>
    <row r="624" customFormat="false" ht="15" hidden="false" customHeight="false" outlineLevel="0" collapsed="false">
      <c r="A624" s="3" t="s">
        <v>1379</v>
      </c>
      <c r="B624" s="5" t="n">
        <v>46184.6090277778</v>
      </c>
      <c r="C624" s="3" t="s">
        <v>68</v>
      </c>
      <c r="D624" s="3" t="s">
        <v>115</v>
      </c>
      <c r="E624" s="3" t="s">
        <v>116</v>
      </c>
      <c r="F624" s="3" t="s">
        <v>33</v>
      </c>
      <c r="G624" s="3" t="s">
        <v>42</v>
      </c>
      <c r="H624" s="3" t="s">
        <v>1380</v>
      </c>
      <c r="I624" s="3" t="n">
        <v>4</v>
      </c>
      <c r="J624" s="3" t="n">
        <v>4</v>
      </c>
      <c r="K624" s="3" t="n">
        <v>4</v>
      </c>
      <c r="L624" s="3" t="n">
        <v>4</v>
      </c>
      <c r="M624" s="3" t="n">
        <v>3</v>
      </c>
      <c r="N624" s="3" t="n">
        <v>4</v>
      </c>
      <c r="O624" s="6" t="b">
        <f aca="false">FALSE()</f>
        <v>0</v>
      </c>
      <c r="P624" s="3"/>
      <c r="Q624" s="5" t="n">
        <v>46191.6090277778</v>
      </c>
      <c r="R624" s="5" t="n">
        <v>46193.5756944444</v>
      </c>
      <c r="S624" s="3" t="s">
        <v>37</v>
      </c>
      <c r="T624" s="7" t="n">
        <f aca="false">ROUND(MIN(IF(OR(O624=TRUE(),O624="TRUE",O624="Yes"),59,100),(I624*Rubric!$C$2+J624*Rubric!$C$3+K624*Rubric!$C$4+L624*Rubric!$C$5+M624*Rubric!$C$6+N624*Rubric!$C$7)/5),1)</f>
        <v>78</v>
      </c>
      <c r="U624" s="8" t="str">
        <f aca="false">LOOKUP(T624,Bands!$A$2:$A$6,Bands!$B$2:$B$6)</f>
        <v>Meets Expectations</v>
      </c>
      <c r="V624" s="8" t="n">
        <f aca="false">IF(Q624="","",ROUND((Q624-B624)*24,1))</f>
        <v>168</v>
      </c>
    </row>
    <row r="625" customFormat="false" ht="15" hidden="false" customHeight="false" outlineLevel="0" collapsed="false">
      <c r="A625" s="3" t="s">
        <v>1381</v>
      </c>
      <c r="B625" s="5" t="n">
        <v>46184.4881944444</v>
      </c>
      <c r="C625" s="3" t="s">
        <v>68</v>
      </c>
      <c r="D625" s="3" t="s">
        <v>194</v>
      </c>
      <c r="E625" s="3" t="s">
        <v>195</v>
      </c>
      <c r="F625" s="3" t="s">
        <v>53</v>
      </c>
      <c r="G625" s="3" t="s">
        <v>54</v>
      </c>
      <c r="H625" s="3" t="s">
        <v>1382</v>
      </c>
      <c r="I625" s="3" t="n">
        <v>5</v>
      </c>
      <c r="J625" s="3" t="n">
        <v>5</v>
      </c>
      <c r="K625" s="3" t="n">
        <v>4</v>
      </c>
      <c r="L625" s="3" t="n">
        <v>3</v>
      </c>
      <c r="M625" s="3" t="n">
        <v>4</v>
      </c>
      <c r="N625" s="3" t="n">
        <v>0</v>
      </c>
      <c r="O625" s="6" t="b">
        <f aca="false">TRUE()</f>
        <v>1</v>
      </c>
      <c r="P625" s="3" t="s">
        <v>36</v>
      </c>
      <c r="Q625" s="5" t="n">
        <v>46189.4881944444</v>
      </c>
      <c r="R625" s="5" t="n">
        <v>46190.35625</v>
      </c>
      <c r="S625" s="3" t="s">
        <v>37</v>
      </c>
      <c r="T625" s="7" t="n">
        <f aca="false">ROUND(MIN(IF(OR(O625=TRUE(),O625="TRUE",O625="Yes"),59,100),(I625*Rubric!$C$2+J625*Rubric!$C$3+K625*Rubric!$C$4+L625*Rubric!$C$5+M625*Rubric!$C$6+N625*Rubric!$C$7)/5),1)</f>
        <v>59</v>
      </c>
      <c r="U625" s="8" t="str">
        <f aca="false">LOOKUP(T625,Bands!$A$2:$A$6,Bands!$B$2:$B$6)</f>
        <v>Critical</v>
      </c>
      <c r="V625" s="8" t="n">
        <f aca="false">IF(Q625="","",ROUND((Q625-B625)*24,1))</f>
        <v>120</v>
      </c>
    </row>
    <row r="626" customFormat="false" ht="15" hidden="false" customHeight="false" outlineLevel="0" collapsed="false">
      <c r="A626" s="3" t="s">
        <v>1383</v>
      </c>
      <c r="B626" s="5" t="n">
        <v>46185.6798611111</v>
      </c>
      <c r="C626" s="3" t="s">
        <v>30</v>
      </c>
      <c r="D626" s="3" t="s">
        <v>51</v>
      </c>
      <c r="E626" s="3" t="s">
        <v>52</v>
      </c>
      <c r="F626" s="3" t="s">
        <v>53</v>
      </c>
      <c r="G626" s="3" t="s">
        <v>54</v>
      </c>
      <c r="H626" s="3" t="s">
        <v>1384</v>
      </c>
      <c r="I626" s="3" t="n">
        <v>5</v>
      </c>
      <c r="J626" s="3" t="n">
        <v>3</v>
      </c>
      <c r="K626" s="3" t="n">
        <v>3</v>
      </c>
      <c r="L626" s="3" t="n">
        <v>5</v>
      </c>
      <c r="M626" s="3" t="n">
        <v>5</v>
      </c>
      <c r="N626" s="3" t="n">
        <v>3</v>
      </c>
      <c r="O626" s="6" t="b">
        <f aca="false">FALSE()</f>
        <v>0</v>
      </c>
      <c r="P626" s="3"/>
      <c r="Q626" s="5" t="n">
        <v>46197.6798611111</v>
      </c>
      <c r="R626" s="5" t="n">
        <v>46198.6777777778</v>
      </c>
      <c r="S626" s="3" t="s">
        <v>37</v>
      </c>
      <c r="T626" s="7" t="n">
        <f aca="false">ROUND(MIN(IF(OR(O626=TRUE(),O626="TRUE",O626="Yes"),59,100),(I626*Rubric!$C$2+J626*Rubric!$C$3+K626*Rubric!$C$4+L626*Rubric!$C$5+M626*Rubric!$C$6+N626*Rubric!$C$7)/5),1)</f>
        <v>76</v>
      </c>
      <c r="U626" s="8" t="str">
        <f aca="false">LOOKUP(T626,Bands!$A$2:$A$6,Bands!$B$2:$B$6)</f>
        <v>Meets Expectations</v>
      </c>
      <c r="V626" s="8" t="n">
        <f aca="false">IF(Q626="","",ROUND((Q626-B626)*24,1))</f>
        <v>288</v>
      </c>
    </row>
    <row r="627" customFormat="false" ht="15" hidden="false" customHeight="false" outlineLevel="0" collapsed="false">
      <c r="A627" s="3" t="s">
        <v>1385</v>
      </c>
      <c r="B627" s="5" t="n">
        <v>46185.4118055556</v>
      </c>
      <c r="C627" s="3" t="s">
        <v>68</v>
      </c>
      <c r="D627" s="3" t="s">
        <v>111</v>
      </c>
      <c r="E627" s="3" t="s">
        <v>112</v>
      </c>
      <c r="F627" s="3" t="s">
        <v>33</v>
      </c>
      <c r="G627" s="3" t="s">
        <v>54</v>
      </c>
      <c r="H627" s="3" t="s">
        <v>1386</v>
      </c>
      <c r="I627" s="3" t="n">
        <v>2</v>
      </c>
      <c r="J627" s="3" t="n">
        <v>5</v>
      </c>
      <c r="K627" s="3" t="n">
        <v>4</v>
      </c>
      <c r="L627" s="3" t="n">
        <v>5</v>
      </c>
      <c r="M627" s="3" t="n">
        <v>4</v>
      </c>
      <c r="N627" s="3" t="n">
        <v>4</v>
      </c>
      <c r="O627" s="6" t="b">
        <f aca="false">FALSE()</f>
        <v>0</v>
      </c>
      <c r="P627" s="3" t="s">
        <v>88</v>
      </c>
      <c r="Q627" s="5" t="n">
        <v>46192.4118055556</v>
      </c>
      <c r="R627" s="5" t="n">
        <v>46192.7638888889</v>
      </c>
      <c r="S627" s="3" t="s">
        <v>37</v>
      </c>
      <c r="T627" s="7" t="n">
        <f aca="false">ROUND(MIN(IF(OR(O627=TRUE(),O627="TRUE",O627="Yes"),59,100),(I627*Rubric!$C$2+J627*Rubric!$C$3+K627*Rubric!$C$4+L627*Rubric!$C$5+M627*Rubric!$C$6+N627*Rubric!$C$7)/5),1)</f>
        <v>82</v>
      </c>
      <c r="U627" s="8" t="str">
        <f aca="false">LOOKUP(T627,Bands!$A$2:$A$6,Bands!$B$2:$B$6)</f>
        <v>Solid Performance</v>
      </c>
      <c r="V627" s="8" t="n">
        <f aca="false">IF(Q627="","",ROUND((Q627-B627)*24,1))</f>
        <v>168</v>
      </c>
    </row>
    <row r="628" customFormat="false" ht="15" hidden="false" customHeight="false" outlineLevel="0" collapsed="false">
      <c r="A628" s="3" t="s">
        <v>1387</v>
      </c>
      <c r="B628" s="5" t="n">
        <v>46185.6958333333</v>
      </c>
      <c r="C628" s="3" t="s">
        <v>30</v>
      </c>
      <c r="D628" s="3" t="s">
        <v>77</v>
      </c>
      <c r="E628" s="3" t="s">
        <v>78</v>
      </c>
      <c r="F628" s="3" t="s">
        <v>33</v>
      </c>
      <c r="G628" s="3" t="s">
        <v>34</v>
      </c>
      <c r="H628" s="3" t="s">
        <v>1388</v>
      </c>
      <c r="I628" s="3" t="n">
        <v>5</v>
      </c>
      <c r="J628" s="3" t="n">
        <v>5</v>
      </c>
      <c r="K628" s="3" t="n">
        <v>3</v>
      </c>
      <c r="L628" s="3" t="n">
        <v>5</v>
      </c>
      <c r="M628" s="3" t="n">
        <v>5</v>
      </c>
      <c r="N628" s="3" t="n">
        <v>1</v>
      </c>
      <c r="O628" s="6" t="b">
        <f aca="false">TRUE()</f>
        <v>1</v>
      </c>
      <c r="P628" s="3" t="s">
        <v>36</v>
      </c>
      <c r="Q628" s="5" t="n">
        <v>46189.6958333333</v>
      </c>
      <c r="R628" s="5" t="n">
        <v>46190.6138888889</v>
      </c>
      <c r="S628" s="3" t="s">
        <v>37</v>
      </c>
      <c r="T628" s="7" t="n">
        <f aca="false">ROUND(MIN(IF(OR(O628=TRUE(),O628="TRUE",O628="Yes"),59,100),(I628*Rubric!$C$2+J628*Rubric!$C$3+K628*Rubric!$C$4+L628*Rubric!$C$5+M628*Rubric!$C$6+N628*Rubric!$C$7)/5),1)</f>
        <v>59</v>
      </c>
      <c r="U628" s="8" t="str">
        <f aca="false">LOOKUP(T628,Bands!$A$2:$A$6,Bands!$B$2:$B$6)</f>
        <v>Critical</v>
      </c>
      <c r="V628" s="8" t="n">
        <f aca="false">IF(Q628="","",ROUND((Q628-B628)*24,1))</f>
        <v>96</v>
      </c>
    </row>
    <row r="629" customFormat="false" ht="15" hidden="false" customHeight="false" outlineLevel="0" collapsed="false">
      <c r="A629" s="3" t="s">
        <v>1389</v>
      </c>
      <c r="B629" s="5" t="n">
        <v>46185.4645833333</v>
      </c>
      <c r="C629" s="3" t="s">
        <v>30</v>
      </c>
      <c r="D629" s="3" t="s">
        <v>40</v>
      </c>
      <c r="E629" s="3" t="s">
        <v>41</v>
      </c>
      <c r="F629" s="3" t="s">
        <v>33</v>
      </c>
      <c r="G629" s="3" t="s">
        <v>42</v>
      </c>
      <c r="H629" s="3" t="s">
        <v>1390</v>
      </c>
      <c r="I629" s="3" t="n">
        <v>4</v>
      </c>
      <c r="J629" s="3" t="n">
        <v>4</v>
      </c>
      <c r="K629" s="3" t="n">
        <v>4</v>
      </c>
      <c r="L629" s="3" t="n">
        <v>3</v>
      </c>
      <c r="M629" s="3" t="n">
        <v>5</v>
      </c>
      <c r="N629" s="3" t="n">
        <v>4</v>
      </c>
      <c r="O629" s="6" t="b">
        <f aca="false">FALSE()</f>
        <v>0</v>
      </c>
      <c r="P629" s="3"/>
      <c r="Q629" s="5" t="n">
        <v>46191.4645833333</v>
      </c>
      <c r="R629" s="5" t="n">
        <v>46191.6152777778</v>
      </c>
      <c r="S629" s="3" t="s">
        <v>37</v>
      </c>
      <c r="T629" s="7" t="n">
        <f aca="false">ROUND(MIN(IF(OR(O629=TRUE(),O629="TRUE",O629="Yes"),59,100),(I629*Rubric!$C$2+J629*Rubric!$C$3+K629*Rubric!$C$4+L629*Rubric!$C$5+M629*Rubric!$C$6+N629*Rubric!$C$7)/5),1)</f>
        <v>79</v>
      </c>
      <c r="U629" s="8" t="str">
        <f aca="false">LOOKUP(T629,Bands!$A$2:$A$6,Bands!$B$2:$B$6)</f>
        <v>Meets Expectations</v>
      </c>
      <c r="V629" s="8" t="n">
        <f aca="false">IF(Q629="","",ROUND((Q629-B629)*24,1))</f>
        <v>144</v>
      </c>
    </row>
    <row r="630" customFormat="false" ht="15" hidden="false" customHeight="false" outlineLevel="0" collapsed="false">
      <c r="A630" s="3" t="s">
        <v>1391</v>
      </c>
      <c r="B630" s="5" t="n">
        <v>46185.5034722222</v>
      </c>
      <c r="C630" s="3" t="s">
        <v>39</v>
      </c>
      <c r="D630" s="3" t="s">
        <v>222</v>
      </c>
      <c r="E630" s="3" t="s">
        <v>223</v>
      </c>
      <c r="F630" s="3" t="s">
        <v>53</v>
      </c>
      <c r="G630" s="3" t="s">
        <v>42</v>
      </c>
      <c r="H630" s="3" t="s">
        <v>1392</v>
      </c>
      <c r="I630" s="3" t="n">
        <v>5</v>
      </c>
      <c r="J630" s="3" t="n">
        <v>4</v>
      </c>
      <c r="K630" s="3" t="n">
        <v>4</v>
      </c>
      <c r="L630" s="3" t="n">
        <v>5</v>
      </c>
      <c r="M630" s="3" t="n">
        <v>4</v>
      </c>
      <c r="N630" s="3" t="n">
        <v>4</v>
      </c>
      <c r="O630" s="6" t="b">
        <f aca="false">FALSE()</f>
        <v>0</v>
      </c>
      <c r="P630" s="3"/>
      <c r="Q630" s="5" t="n">
        <v>46191.5034722222</v>
      </c>
      <c r="R630" s="5" t="n">
        <v>46192.1715277778</v>
      </c>
      <c r="S630" s="3" t="s">
        <v>37</v>
      </c>
      <c r="T630" s="7" t="n">
        <f aca="false">ROUND(MIN(IF(OR(O630=TRUE(),O630="TRUE",O630="Yes"),59,100),(I630*Rubric!$C$2+J630*Rubric!$C$3+K630*Rubric!$C$4+L630*Rubric!$C$5+M630*Rubric!$C$6+N630*Rubric!$C$7)/5),1)</f>
        <v>86</v>
      </c>
      <c r="U630" s="8" t="str">
        <f aca="false">LOOKUP(T630,Bands!$A$2:$A$6,Bands!$B$2:$B$6)</f>
        <v>Solid Performance</v>
      </c>
      <c r="V630" s="8" t="n">
        <f aca="false">IF(Q630="","",ROUND((Q630-B630)*24,1))</f>
        <v>144</v>
      </c>
    </row>
    <row r="631" customFormat="false" ht="15" hidden="false" customHeight="false" outlineLevel="0" collapsed="false">
      <c r="A631" s="3" t="s">
        <v>1393</v>
      </c>
      <c r="B631" s="5" t="n">
        <v>46185.65</v>
      </c>
      <c r="C631" s="3" t="s">
        <v>68</v>
      </c>
      <c r="D631" s="3" t="s">
        <v>194</v>
      </c>
      <c r="E631" s="3" t="s">
        <v>195</v>
      </c>
      <c r="F631" s="3" t="s">
        <v>53</v>
      </c>
      <c r="G631" s="3" t="s">
        <v>54</v>
      </c>
      <c r="H631" s="3" t="s">
        <v>1394</v>
      </c>
      <c r="I631" s="3" t="n">
        <v>5</v>
      </c>
      <c r="J631" s="3" t="n">
        <v>4</v>
      </c>
      <c r="K631" s="3" t="n">
        <v>4</v>
      </c>
      <c r="L631" s="3" t="n">
        <v>4</v>
      </c>
      <c r="M631" s="3" t="n">
        <v>3</v>
      </c>
      <c r="N631" s="3" t="n">
        <v>4</v>
      </c>
      <c r="O631" s="6" t="b">
        <f aca="false">FALSE()</f>
        <v>0</v>
      </c>
      <c r="P631" s="3"/>
      <c r="Q631" s="5" t="n">
        <v>46190.65</v>
      </c>
      <c r="R631" s="5" t="n">
        <v>46190.7916666667</v>
      </c>
      <c r="S631" s="3" t="s">
        <v>37</v>
      </c>
      <c r="T631" s="7" t="n">
        <f aca="false">ROUND(MIN(IF(OR(O631=TRUE(),O631="TRUE",O631="Yes"),59,100),(I631*Rubric!$C$2+J631*Rubric!$C$3+K631*Rubric!$C$4+L631*Rubric!$C$5+M631*Rubric!$C$6+N631*Rubric!$C$7)/5),1)</f>
        <v>81</v>
      </c>
      <c r="U631" s="8" t="str">
        <f aca="false">LOOKUP(T631,Bands!$A$2:$A$6,Bands!$B$2:$B$6)</f>
        <v>Solid Performance</v>
      </c>
      <c r="V631" s="8" t="n">
        <f aca="false">IF(Q631="","",ROUND((Q631-B631)*24,1))</f>
        <v>120</v>
      </c>
    </row>
    <row r="632" customFormat="false" ht="15" hidden="false" customHeight="false" outlineLevel="0" collapsed="false">
      <c r="A632" s="3" t="s">
        <v>1395</v>
      </c>
      <c r="B632" s="5" t="n">
        <v>46185.5847222222</v>
      </c>
      <c r="C632" s="3" t="s">
        <v>39</v>
      </c>
      <c r="D632" s="3" t="s">
        <v>69</v>
      </c>
      <c r="E632" s="3" t="s">
        <v>70</v>
      </c>
      <c r="F632" s="3" t="s">
        <v>65</v>
      </c>
      <c r="G632" s="3" t="s">
        <v>34</v>
      </c>
      <c r="H632" s="3" t="s">
        <v>1396</v>
      </c>
      <c r="I632" s="3" t="n">
        <v>4</v>
      </c>
      <c r="J632" s="3" t="n">
        <v>5</v>
      </c>
      <c r="K632" s="3" t="n">
        <v>5</v>
      </c>
      <c r="L632" s="3" t="n">
        <v>4</v>
      </c>
      <c r="M632" s="3" t="n">
        <v>4</v>
      </c>
      <c r="N632" s="3" t="n">
        <v>2</v>
      </c>
      <c r="O632" s="6" t="b">
        <f aca="false">FALSE()</f>
        <v>0</v>
      </c>
      <c r="P632" s="3" t="s">
        <v>36</v>
      </c>
      <c r="Q632" s="5" t="n">
        <v>46197.5847222222</v>
      </c>
      <c r="R632" s="5" t="n">
        <v>46198.0784722222</v>
      </c>
      <c r="S632" s="3" t="s">
        <v>37</v>
      </c>
      <c r="T632" s="7" t="n">
        <f aca="false">ROUND(MIN(IF(OR(O632=TRUE(),O632="TRUE",O632="Yes"),59,100),(I632*Rubric!$C$2+J632*Rubric!$C$3+K632*Rubric!$C$4+L632*Rubric!$C$5+M632*Rubric!$C$6+N632*Rubric!$C$7)/5),1)</f>
        <v>83</v>
      </c>
      <c r="U632" s="8" t="str">
        <f aca="false">LOOKUP(T632,Bands!$A$2:$A$6,Bands!$B$2:$B$6)</f>
        <v>Solid Performance</v>
      </c>
      <c r="V632" s="8" t="n">
        <f aca="false">IF(Q632="","",ROUND((Q632-B632)*24,1))</f>
        <v>288</v>
      </c>
    </row>
    <row r="633" customFormat="false" ht="15" hidden="false" customHeight="false" outlineLevel="0" collapsed="false">
      <c r="A633" s="3" t="s">
        <v>1397</v>
      </c>
      <c r="B633" s="5" t="n">
        <v>46185.4465277778</v>
      </c>
      <c r="C633" s="3" t="s">
        <v>39</v>
      </c>
      <c r="D633" s="3" t="s">
        <v>293</v>
      </c>
      <c r="E633" s="3" t="s">
        <v>294</v>
      </c>
      <c r="F633" s="3" t="s">
        <v>65</v>
      </c>
      <c r="G633" s="3" t="s">
        <v>42</v>
      </c>
      <c r="H633" s="3" t="s">
        <v>1398</v>
      </c>
      <c r="I633" s="3" t="n">
        <v>5</v>
      </c>
      <c r="J633" s="3" t="n">
        <v>5</v>
      </c>
      <c r="K633" s="3" t="n">
        <v>4</v>
      </c>
      <c r="L633" s="3" t="n">
        <v>2</v>
      </c>
      <c r="M633" s="3" t="n">
        <v>5</v>
      </c>
      <c r="N633" s="3" t="n">
        <v>5</v>
      </c>
      <c r="O633" s="6" t="b">
        <f aca="false">FALSE()</f>
        <v>0</v>
      </c>
      <c r="P633" s="3" t="s">
        <v>44</v>
      </c>
      <c r="Q633" s="5" t="n">
        <v>46197.4465277778</v>
      </c>
      <c r="R633" s="5" t="n">
        <v>46197.4597222222</v>
      </c>
      <c r="S633" s="3" t="s">
        <v>37</v>
      </c>
      <c r="T633" s="7" t="n">
        <f aca="false">ROUND(MIN(IF(OR(O633=TRUE(),O633="TRUE",O633="Yes"),59,100),(I633*Rubric!$C$2+J633*Rubric!$C$3+K633*Rubric!$C$4+L633*Rubric!$C$5+M633*Rubric!$C$6+N633*Rubric!$C$7)/5),1)</f>
        <v>87</v>
      </c>
      <c r="U633" s="8" t="str">
        <f aca="false">LOOKUP(T633,Bands!$A$2:$A$6,Bands!$B$2:$B$6)</f>
        <v>Solid Performance</v>
      </c>
      <c r="V633" s="8" t="n">
        <f aca="false">IF(Q633="","",ROUND((Q633-B633)*24,1))</f>
        <v>288</v>
      </c>
    </row>
    <row r="634" customFormat="false" ht="15" hidden="false" customHeight="false" outlineLevel="0" collapsed="false">
      <c r="A634" s="3" t="s">
        <v>1399</v>
      </c>
      <c r="B634" s="5" t="n">
        <v>46185.7034722222</v>
      </c>
      <c r="C634" s="3" t="s">
        <v>30</v>
      </c>
      <c r="D634" s="3" t="s">
        <v>137</v>
      </c>
      <c r="E634" s="3" t="s">
        <v>138</v>
      </c>
      <c r="F634" s="3" t="s">
        <v>65</v>
      </c>
      <c r="G634" s="3" t="s">
        <v>54</v>
      </c>
      <c r="H634" s="3" t="s">
        <v>1400</v>
      </c>
      <c r="I634" s="3" t="n">
        <v>2</v>
      </c>
      <c r="J634" s="3" t="n">
        <v>5</v>
      </c>
      <c r="K634" s="3" t="n">
        <v>5</v>
      </c>
      <c r="L634" s="3" t="n">
        <v>4</v>
      </c>
      <c r="M634" s="3" t="n">
        <v>5</v>
      </c>
      <c r="N634" s="3" t="n">
        <v>5</v>
      </c>
      <c r="O634" s="6" t="b">
        <f aca="false">FALSE()</f>
        <v>0</v>
      </c>
      <c r="P634" s="3" t="s">
        <v>88</v>
      </c>
      <c r="Q634" s="5" t="n">
        <v>46190.7034722222</v>
      </c>
      <c r="R634" s="5" t="n">
        <v>46191.8923611111</v>
      </c>
      <c r="S634" s="3" t="s">
        <v>37</v>
      </c>
      <c r="T634" s="7" t="n">
        <f aca="false">ROUND(MIN(IF(OR(O634=TRUE(),O634="TRUE",O634="Yes"),59,100),(I634*Rubric!$C$2+J634*Rubric!$C$3+K634*Rubric!$C$4+L634*Rubric!$C$5+M634*Rubric!$C$6+N634*Rubric!$C$7)/5),1)</f>
        <v>88</v>
      </c>
      <c r="U634" s="8" t="str">
        <f aca="false">LOOKUP(T634,Bands!$A$2:$A$6,Bands!$B$2:$B$6)</f>
        <v>Solid Performance</v>
      </c>
      <c r="V634" s="8" t="n">
        <f aca="false">IF(Q634="","",ROUND((Q634-B634)*24,1))</f>
        <v>120</v>
      </c>
    </row>
    <row r="635" customFormat="false" ht="15" hidden="false" customHeight="false" outlineLevel="0" collapsed="false">
      <c r="A635" s="3" t="s">
        <v>1401</v>
      </c>
      <c r="B635" s="5" t="n">
        <v>46185.3833333333</v>
      </c>
      <c r="C635" s="3" t="s">
        <v>30</v>
      </c>
      <c r="D635" s="3" t="s">
        <v>46</v>
      </c>
      <c r="E635" s="3" t="s">
        <v>47</v>
      </c>
      <c r="F635" s="3" t="s">
        <v>33</v>
      </c>
      <c r="G635" s="3" t="s">
        <v>54</v>
      </c>
      <c r="H635" s="3" t="s">
        <v>1402</v>
      </c>
      <c r="I635" s="3" t="n">
        <v>4</v>
      </c>
      <c r="J635" s="3" t="n">
        <v>4</v>
      </c>
      <c r="K635" s="3" t="n">
        <v>3</v>
      </c>
      <c r="L635" s="3" t="n">
        <v>4</v>
      </c>
      <c r="M635" s="3" t="n">
        <v>5</v>
      </c>
      <c r="N635" s="3" t="n">
        <v>4</v>
      </c>
      <c r="O635" s="6" t="b">
        <f aca="false">FALSE()</f>
        <v>0</v>
      </c>
      <c r="P635" s="3"/>
      <c r="Q635" s="5" t="n">
        <v>46190.3833333333</v>
      </c>
      <c r="R635" s="5" t="n">
        <v>46190.5645833333</v>
      </c>
      <c r="S635" s="3" t="s">
        <v>37</v>
      </c>
      <c r="T635" s="7" t="n">
        <f aca="false">ROUND(MIN(IF(OR(O635=TRUE(),O635="TRUE",O635="Yes"),59,100),(I635*Rubric!$C$2+J635*Rubric!$C$3+K635*Rubric!$C$4+L635*Rubric!$C$5+M635*Rubric!$C$6+N635*Rubric!$C$7)/5),1)</f>
        <v>78</v>
      </c>
      <c r="U635" s="8" t="str">
        <f aca="false">LOOKUP(T635,Bands!$A$2:$A$6,Bands!$B$2:$B$6)</f>
        <v>Meets Expectations</v>
      </c>
      <c r="V635" s="8" t="n">
        <f aca="false">IF(Q635="","",ROUND((Q635-B635)*24,1))</f>
        <v>120</v>
      </c>
    </row>
    <row r="636" customFormat="false" ht="15" hidden="false" customHeight="false" outlineLevel="0" collapsed="false">
      <c r="A636" s="3" t="s">
        <v>1403</v>
      </c>
      <c r="B636" s="5" t="n">
        <v>46185.70625</v>
      </c>
      <c r="C636" s="3" t="s">
        <v>68</v>
      </c>
      <c r="D636" s="3" t="s">
        <v>155</v>
      </c>
      <c r="E636" s="3" t="s">
        <v>156</v>
      </c>
      <c r="F636" s="3" t="s">
        <v>65</v>
      </c>
      <c r="G636" s="3" t="s">
        <v>54</v>
      </c>
      <c r="H636" s="3" t="s">
        <v>1404</v>
      </c>
      <c r="I636" s="3" t="n">
        <v>3</v>
      </c>
      <c r="J636" s="3" t="n">
        <v>5</v>
      </c>
      <c r="K636" s="3" t="n">
        <v>5</v>
      </c>
      <c r="L636" s="3" t="n">
        <v>4</v>
      </c>
      <c r="M636" s="3" t="n">
        <v>4</v>
      </c>
      <c r="N636" s="3" t="n">
        <v>5</v>
      </c>
      <c r="O636" s="6" t="b">
        <f aca="false">FALSE()</f>
        <v>0</v>
      </c>
      <c r="P636" s="3"/>
      <c r="Q636" s="5" t="n">
        <v>46189.70625</v>
      </c>
      <c r="R636" s="5" t="n">
        <v>46190.4416666667</v>
      </c>
      <c r="S636" s="3" t="s">
        <v>37</v>
      </c>
      <c r="T636" s="7" t="n">
        <f aca="false">ROUND(MIN(IF(OR(O636=TRUE(),O636="TRUE",O636="Yes"),59,100),(I636*Rubric!$C$2+J636*Rubric!$C$3+K636*Rubric!$C$4+L636*Rubric!$C$5+M636*Rubric!$C$6+N636*Rubric!$C$7)/5),1)</f>
        <v>89</v>
      </c>
      <c r="U636" s="8" t="str">
        <f aca="false">LOOKUP(T636,Bands!$A$2:$A$6,Bands!$B$2:$B$6)</f>
        <v>Solid Performance</v>
      </c>
      <c r="V636" s="8" t="n">
        <f aca="false">IF(Q636="","",ROUND((Q636-B636)*24,1))</f>
        <v>96</v>
      </c>
    </row>
    <row r="637" customFormat="false" ht="15" hidden="false" customHeight="false" outlineLevel="0" collapsed="false">
      <c r="A637" s="3" t="s">
        <v>1405</v>
      </c>
      <c r="B637" s="5" t="n">
        <v>46185.6277777778</v>
      </c>
      <c r="C637" s="3" t="s">
        <v>39</v>
      </c>
      <c r="D637" s="3" t="s">
        <v>238</v>
      </c>
      <c r="E637" s="3" t="s">
        <v>239</v>
      </c>
      <c r="F637" s="3" t="s">
        <v>33</v>
      </c>
      <c r="G637" s="3" t="s">
        <v>54</v>
      </c>
      <c r="H637" s="3" t="s">
        <v>1406</v>
      </c>
      <c r="I637" s="3" t="n">
        <v>5</v>
      </c>
      <c r="J637" s="3" t="n">
        <v>4</v>
      </c>
      <c r="K637" s="3" t="n">
        <v>5</v>
      </c>
      <c r="L637" s="3" t="n">
        <v>4</v>
      </c>
      <c r="M637" s="3" t="n">
        <v>2</v>
      </c>
      <c r="N637" s="3" t="n">
        <v>4</v>
      </c>
      <c r="O637" s="6" t="b">
        <f aca="false">FALSE()</f>
        <v>0</v>
      </c>
      <c r="P637" s="3" t="s">
        <v>103</v>
      </c>
      <c r="Q637" s="5" t="n">
        <v>46189.6277777778</v>
      </c>
      <c r="R637" s="5" t="n">
        <v>46190.4347222222</v>
      </c>
      <c r="S637" s="3" t="s">
        <v>37</v>
      </c>
      <c r="T637" s="7" t="n">
        <f aca="false">ROUND(MIN(IF(OR(O637=TRUE(),O637="TRUE",O637="Yes"),59,100),(I637*Rubric!$C$2+J637*Rubric!$C$3+K637*Rubric!$C$4+L637*Rubric!$C$5+M637*Rubric!$C$6+N637*Rubric!$C$7)/5),1)</f>
        <v>83</v>
      </c>
      <c r="U637" s="8" t="str">
        <f aca="false">LOOKUP(T637,Bands!$A$2:$A$6,Bands!$B$2:$B$6)</f>
        <v>Solid Performance</v>
      </c>
      <c r="V637" s="8" t="n">
        <f aca="false">IF(Q637="","",ROUND((Q637-B637)*24,1))</f>
        <v>96</v>
      </c>
    </row>
    <row r="638" customFormat="false" ht="15" hidden="false" customHeight="false" outlineLevel="0" collapsed="false">
      <c r="A638" s="3" t="s">
        <v>1407</v>
      </c>
      <c r="B638" s="5" t="n">
        <v>46188.5923611111</v>
      </c>
      <c r="C638" s="3" t="s">
        <v>68</v>
      </c>
      <c r="D638" s="3" t="s">
        <v>77</v>
      </c>
      <c r="E638" s="3" t="s">
        <v>78</v>
      </c>
      <c r="F638" s="3" t="s">
        <v>33</v>
      </c>
      <c r="G638" s="3" t="s">
        <v>42</v>
      </c>
      <c r="H638" s="3" t="s">
        <v>1408</v>
      </c>
      <c r="I638" s="3" t="n">
        <v>5</v>
      </c>
      <c r="J638" s="3" t="n">
        <v>5</v>
      </c>
      <c r="K638" s="3" t="n">
        <v>2</v>
      </c>
      <c r="L638" s="3" t="n">
        <v>5</v>
      </c>
      <c r="M638" s="3" t="n">
        <v>5</v>
      </c>
      <c r="N638" s="3" t="n">
        <v>5</v>
      </c>
      <c r="O638" s="6" t="b">
        <f aca="false">FALSE()</f>
        <v>0</v>
      </c>
      <c r="P638" s="3" t="s">
        <v>49</v>
      </c>
      <c r="Q638" s="5" t="n">
        <v>46192.5923611111</v>
      </c>
      <c r="R638" s="5" t="n">
        <v>46194.4826388889</v>
      </c>
      <c r="S638" s="3" t="s">
        <v>37</v>
      </c>
      <c r="T638" s="7" t="n">
        <f aca="false">ROUND(MIN(IF(OR(O638=TRUE(),O638="TRUE",O638="Yes"),59,100),(I638*Rubric!$C$2+J638*Rubric!$C$3+K638*Rubric!$C$4+L638*Rubric!$C$5+M638*Rubric!$C$6+N638*Rubric!$C$7)/5),1)</f>
        <v>88</v>
      </c>
      <c r="U638" s="8" t="str">
        <f aca="false">LOOKUP(T638,Bands!$A$2:$A$6,Bands!$B$2:$B$6)</f>
        <v>Solid Performance</v>
      </c>
      <c r="V638" s="8" t="n">
        <f aca="false">IF(Q638="","",ROUND((Q638-B638)*24,1))</f>
        <v>96</v>
      </c>
    </row>
    <row r="639" customFormat="false" ht="15" hidden="false" customHeight="false" outlineLevel="0" collapsed="false">
      <c r="A639" s="3" t="s">
        <v>1409</v>
      </c>
      <c r="B639" s="5" t="n">
        <v>46188.5590277778</v>
      </c>
      <c r="C639" s="3" t="s">
        <v>68</v>
      </c>
      <c r="D639" s="3" t="s">
        <v>133</v>
      </c>
      <c r="E639" s="3" t="s">
        <v>134</v>
      </c>
      <c r="F639" s="3" t="s">
        <v>33</v>
      </c>
      <c r="G639" s="3" t="s">
        <v>54</v>
      </c>
      <c r="H639" s="3" t="s">
        <v>1410</v>
      </c>
      <c r="I639" s="3" t="n">
        <v>5</v>
      </c>
      <c r="J639" s="3" t="n">
        <v>3</v>
      </c>
      <c r="K639" s="3" t="n">
        <v>5</v>
      </c>
      <c r="L639" s="3" t="n">
        <v>5</v>
      </c>
      <c r="M639" s="3" t="n">
        <v>5</v>
      </c>
      <c r="N639" s="3" t="n">
        <v>4</v>
      </c>
      <c r="O639" s="6" t="b">
        <f aca="false">FALSE()</f>
        <v>0</v>
      </c>
      <c r="P639" s="3"/>
      <c r="Q639" s="5" t="n">
        <v>46197.5590277778</v>
      </c>
      <c r="R639" s="5" t="n">
        <v>46198.0090277778</v>
      </c>
      <c r="S639" s="3" t="s">
        <v>37</v>
      </c>
      <c r="T639" s="7" t="n">
        <f aca="false">ROUND(MIN(IF(OR(O639=TRUE(),O639="TRUE",O639="Yes"),59,100),(I639*Rubric!$C$2+J639*Rubric!$C$3+K639*Rubric!$C$4+L639*Rubric!$C$5+M639*Rubric!$C$6+N639*Rubric!$C$7)/5),1)</f>
        <v>87</v>
      </c>
      <c r="U639" s="8" t="str">
        <f aca="false">LOOKUP(T639,Bands!$A$2:$A$6,Bands!$B$2:$B$6)</f>
        <v>Solid Performance</v>
      </c>
      <c r="V639" s="8" t="n">
        <f aca="false">IF(Q639="","",ROUND((Q639-B639)*24,1))</f>
        <v>216</v>
      </c>
    </row>
    <row r="640" customFormat="false" ht="15" hidden="false" customHeight="false" outlineLevel="0" collapsed="false">
      <c r="A640" s="3" t="s">
        <v>1411</v>
      </c>
      <c r="B640" s="5" t="n">
        <v>46188.5923611111</v>
      </c>
      <c r="C640" s="3" t="s">
        <v>68</v>
      </c>
      <c r="D640" s="3" t="s">
        <v>486</v>
      </c>
      <c r="E640" s="3" t="s">
        <v>487</v>
      </c>
      <c r="F640" s="3" t="s">
        <v>65</v>
      </c>
      <c r="G640" s="3" t="s">
        <v>42</v>
      </c>
      <c r="H640" s="3" t="s">
        <v>1412</v>
      </c>
      <c r="I640" s="3" t="n">
        <v>5</v>
      </c>
      <c r="J640" s="3" t="n">
        <v>2</v>
      </c>
      <c r="K640" s="3" t="n">
        <v>5</v>
      </c>
      <c r="L640" s="3" t="n">
        <v>4</v>
      </c>
      <c r="M640" s="3" t="n">
        <v>4</v>
      </c>
      <c r="N640" s="3" t="n">
        <v>4</v>
      </c>
      <c r="O640" s="6" t="b">
        <f aca="false">FALSE()</f>
        <v>0</v>
      </c>
      <c r="P640" s="3" t="s">
        <v>56</v>
      </c>
      <c r="Q640" s="5" t="n">
        <v>46197.5923611111</v>
      </c>
      <c r="R640" s="5" t="n">
        <v>46199.4701388889</v>
      </c>
      <c r="S640" s="3" t="s">
        <v>37</v>
      </c>
      <c r="T640" s="7" t="n">
        <f aca="false">ROUND(MIN(IF(OR(O640=TRUE(),O640="TRUE",O640="Yes"),59,100),(I640*Rubric!$C$2+J640*Rubric!$C$3+K640*Rubric!$C$4+L640*Rubric!$C$5+M640*Rubric!$C$6+N640*Rubric!$C$7)/5),1)</f>
        <v>77</v>
      </c>
      <c r="U640" s="8" t="str">
        <f aca="false">LOOKUP(T640,Bands!$A$2:$A$6,Bands!$B$2:$B$6)</f>
        <v>Meets Expectations</v>
      </c>
      <c r="V640" s="8" t="n">
        <f aca="false">IF(Q640="","",ROUND((Q640-B640)*24,1))</f>
        <v>216</v>
      </c>
    </row>
    <row r="641" customFormat="false" ht="15" hidden="false" customHeight="false" outlineLevel="0" collapsed="false">
      <c r="A641" s="3" t="s">
        <v>1413</v>
      </c>
      <c r="B641" s="5" t="n">
        <v>46188.4736111111</v>
      </c>
      <c r="C641" s="3" t="s">
        <v>30</v>
      </c>
      <c r="D641" s="3" t="s">
        <v>63</v>
      </c>
      <c r="E641" s="3" t="s">
        <v>64</v>
      </c>
      <c r="F641" s="3" t="s">
        <v>65</v>
      </c>
      <c r="G641" s="3" t="s">
        <v>42</v>
      </c>
      <c r="H641" s="3" t="s">
        <v>1414</v>
      </c>
      <c r="I641" s="3" t="n">
        <v>4</v>
      </c>
      <c r="J641" s="3" t="n">
        <v>4</v>
      </c>
      <c r="K641" s="3" t="n">
        <v>4</v>
      </c>
      <c r="L641" s="3" t="n">
        <v>4</v>
      </c>
      <c r="M641" s="3" t="n">
        <v>4</v>
      </c>
      <c r="N641" s="3" t="n">
        <v>4</v>
      </c>
      <c r="O641" s="6" t="b">
        <f aca="false">FALSE()</f>
        <v>0</v>
      </c>
      <c r="P641" s="3"/>
      <c r="Q641" s="5" t="n">
        <v>46197.4736111111</v>
      </c>
      <c r="R641" s="5" t="n">
        <v>46199.0166666667</v>
      </c>
      <c r="S641" s="3" t="s">
        <v>37</v>
      </c>
      <c r="T641" s="7" t="n">
        <f aca="false">ROUND(MIN(IF(OR(O641=TRUE(),O641="TRUE",O641="Yes"),59,100),(I641*Rubric!$C$2+J641*Rubric!$C$3+K641*Rubric!$C$4+L641*Rubric!$C$5+M641*Rubric!$C$6+N641*Rubric!$C$7)/5),1)</f>
        <v>80</v>
      </c>
      <c r="U641" s="8" t="str">
        <f aca="false">LOOKUP(T641,Bands!$A$2:$A$6,Bands!$B$2:$B$6)</f>
        <v>Solid Performance</v>
      </c>
      <c r="V641" s="8" t="n">
        <f aca="false">IF(Q641="","",ROUND((Q641-B641)*24,1))</f>
        <v>216</v>
      </c>
    </row>
    <row r="642" customFormat="false" ht="15" hidden="false" customHeight="false" outlineLevel="0" collapsed="false">
      <c r="A642" s="3" t="s">
        <v>1415</v>
      </c>
      <c r="B642" s="5" t="n">
        <v>46188.60625</v>
      </c>
      <c r="C642" s="3" t="s">
        <v>30</v>
      </c>
      <c r="D642" s="3" t="s">
        <v>85</v>
      </c>
      <c r="E642" s="3" t="s">
        <v>86</v>
      </c>
      <c r="F642" s="3" t="s">
        <v>33</v>
      </c>
      <c r="G642" s="3" t="s">
        <v>54</v>
      </c>
      <c r="H642" s="3" t="s">
        <v>1416</v>
      </c>
      <c r="I642" s="3" t="n">
        <v>3</v>
      </c>
      <c r="J642" s="3" t="n">
        <v>4</v>
      </c>
      <c r="K642" s="3" t="n">
        <v>5</v>
      </c>
      <c r="L642" s="3" t="n">
        <v>5</v>
      </c>
      <c r="M642" s="3" t="n">
        <v>5</v>
      </c>
      <c r="N642" s="3" t="n">
        <v>4</v>
      </c>
      <c r="O642" s="6" t="b">
        <f aca="false">FALSE()</f>
        <v>0</v>
      </c>
      <c r="P642" s="3"/>
      <c r="Q642" s="5" t="n">
        <v>46191.60625</v>
      </c>
      <c r="R642" s="5" t="n">
        <v>46191.81875</v>
      </c>
      <c r="S642" s="3" t="s">
        <v>37</v>
      </c>
      <c r="T642" s="7" t="n">
        <f aca="false">ROUND(MIN(IF(OR(O642=TRUE(),O642="TRUE",O642="Yes"),59,100),(I642*Rubric!$C$2+J642*Rubric!$C$3+K642*Rubric!$C$4+L642*Rubric!$C$5+M642*Rubric!$C$6+N642*Rubric!$C$7)/5),1)</f>
        <v>86</v>
      </c>
      <c r="U642" s="8" t="str">
        <f aca="false">LOOKUP(T642,Bands!$A$2:$A$6,Bands!$B$2:$B$6)</f>
        <v>Solid Performance</v>
      </c>
      <c r="V642" s="8" t="n">
        <f aca="false">IF(Q642="","",ROUND((Q642-B642)*24,1))</f>
        <v>72</v>
      </c>
    </row>
    <row r="643" customFormat="false" ht="15" hidden="false" customHeight="false" outlineLevel="0" collapsed="false">
      <c r="A643" s="3" t="s">
        <v>1417</v>
      </c>
      <c r="B643" s="5" t="n">
        <v>46188.5138888889</v>
      </c>
      <c r="C643" s="3" t="s">
        <v>68</v>
      </c>
      <c r="D643" s="3" t="s">
        <v>293</v>
      </c>
      <c r="E643" s="3" t="s">
        <v>294</v>
      </c>
      <c r="F643" s="3" t="s">
        <v>65</v>
      </c>
      <c r="G643" s="3" t="s">
        <v>54</v>
      </c>
      <c r="H643" s="3" t="s">
        <v>1418</v>
      </c>
      <c r="I643" s="3" t="n">
        <v>4</v>
      </c>
      <c r="J643" s="3" t="n">
        <v>4</v>
      </c>
      <c r="K643" s="3" t="n">
        <v>4</v>
      </c>
      <c r="L643" s="3" t="n">
        <v>2</v>
      </c>
      <c r="M643" s="3" t="n">
        <v>4</v>
      </c>
      <c r="N643" s="3" t="n">
        <v>4</v>
      </c>
      <c r="O643" s="6" t="b">
        <f aca="false">FALSE()</f>
        <v>0</v>
      </c>
      <c r="P643" s="3" t="s">
        <v>44</v>
      </c>
      <c r="Q643" s="5" t="n">
        <v>46191.5138888889</v>
      </c>
      <c r="R643" s="5" t="n">
        <v>46192.85</v>
      </c>
      <c r="S643" s="3" t="s">
        <v>37</v>
      </c>
      <c r="T643" s="7" t="n">
        <f aca="false">ROUND(MIN(IF(OR(O643=TRUE(),O643="TRUE",O643="Yes"),59,100),(I643*Rubric!$C$2+J643*Rubric!$C$3+K643*Rubric!$C$4+L643*Rubric!$C$5+M643*Rubric!$C$6+N643*Rubric!$C$7)/5),1)</f>
        <v>74</v>
      </c>
      <c r="U643" s="8" t="str">
        <f aca="false">LOOKUP(T643,Bands!$A$2:$A$6,Bands!$B$2:$B$6)</f>
        <v>Meets Expectations</v>
      </c>
      <c r="V643" s="8" t="n">
        <f aca="false">IF(Q643="","",ROUND((Q643-B643)*24,1))</f>
        <v>72</v>
      </c>
    </row>
    <row r="644" customFormat="false" ht="15" hidden="false" customHeight="false" outlineLevel="0" collapsed="false">
      <c r="A644" s="3" t="s">
        <v>1419</v>
      </c>
      <c r="B644" s="5" t="n">
        <v>46188.5916666667</v>
      </c>
      <c r="C644" s="3" t="s">
        <v>30</v>
      </c>
      <c r="D644" s="3" t="s">
        <v>69</v>
      </c>
      <c r="E644" s="3" t="s">
        <v>70</v>
      </c>
      <c r="F644" s="3" t="s">
        <v>65</v>
      </c>
      <c r="G644" s="3" t="s">
        <v>42</v>
      </c>
      <c r="H644" s="3" t="s">
        <v>1420</v>
      </c>
      <c r="I644" s="3" t="n">
        <v>4</v>
      </c>
      <c r="J644" s="3" t="n">
        <v>3</v>
      </c>
      <c r="K644" s="3" t="n">
        <v>5</v>
      </c>
      <c r="L644" s="3" t="n">
        <v>3</v>
      </c>
      <c r="M644" s="3" t="n">
        <v>4</v>
      </c>
      <c r="N644" s="3" t="n">
        <v>2</v>
      </c>
      <c r="O644" s="6" t="b">
        <f aca="false">FALSE()</f>
        <v>0</v>
      </c>
      <c r="P644" s="3" t="s">
        <v>36</v>
      </c>
      <c r="Q644" s="5" t="n">
        <v>46192.5916666667</v>
      </c>
      <c r="R644" s="5" t="n">
        <v>46192.8326388889</v>
      </c>
      <c r="S644" s="3" t="s">
        <v>37</v>
      </c>
      <c r="T644" s="7" t="n">
        <f aca="false">ROUND(MIN(IF(OR(O644=TRUE(),O644="TRUE",O644="Yes"),59,100),(I644*Rubric!$C$2+J644*Rubric!$C$3+K644*Rubric!$C$4+L644*Rubric!$C$5+M644*Rubric!$C$6+N644*Rubric!$C$7)/5),1)</f>
        <v>70</v>
      </c>
      <c r="U644" s="8" t="str">
        <f aca="false">LOOKUP(T644,Bands!$A$2:$A$6,Bands!$B$2:$B$6)</f>
        <v>Meets Expectations</v>
      </c>
      <c r="V644" s="8" t="n">
        <f aca="false">IF(Q644="","",ROUND((Q644-B644)*24,1))</f>
        <v>96</v>
      </c>
    </row>
    <row r="645" customFormat="false" ht="15" hidden="false" customHeight="false" outlineLevel="0" collapsed="false">
      <c r="A645" s="3" t="s">
        <v>1421</v>
      </c>
      <c r="B645" s="5" t="n">
        <v>46188.6604166667</v>
      </c>
      <c r="C645" s="3" t="s">
        <v>39</v>
      </c>
      <c r="D645" s="3" t="s">
        <v>119</v>
      </c>
      <c r="E645" s="3" t="s">
        <v>120</v>
      </c>
      <c r="F645" s="3" t="s">
        <v>33</v>
      </c>
      <c r="G645" s="3" t="s">
        <v>54</v>
      </c>
      <c r="H645" s="3" t="s">
        <v>1422</v>
      </c>
      <c r="I645" s="3" t="n">
        <v>4</v>
      </c>
      <c r="J645" s="3" t="n">
        <v>4</v>
      </c>
      <c r="K645" s="3" t="n">
        <v>4</v>
      </c>
      <c r="L645" s="3" t="n">
        <v>5</v>
      </c>
      <c r="M645" s="3" t="n">
        <v>4</v>
      </c>
      <c r="N645" s="3" t="n">
        <v>4</v>
      </c>
      <c r="O645" s="6" t="b">
        <f aca="false">FALSE()</f>
        <v>0</v>
      </c>
      <c r="P645" s="3"/>
      <c r="Q645" s="5" t="n">
        <v>46193.6604166667</v>
      </c>
      <c r="R645" s="5" t="n">
        <v>46194.7006944444</v>
      </c>
      <c r="S645" s="3" t="s">
        <v>37</v>
      </c>
      <c r="T645" s="7" t="n">
        <f aca="false">ROUND(MIN(IF(OR(O645=TRUE(),O645="TRUE",O645="Yes"),59,100),(I645*Rubric!$C$2+J645*Rubric!$C$3+K645*Rubric!$C$4+L645*Rubric!$C$5+M645*Rubric!$C$6+N645*Rubric!$C$7)/5),1)</f>
        <v>83</v>
      </c>
      <c r="U645" s="8" t="str">
        <f aca="false">LOOKUP(T645,Bands!$A$2:$A$6,Bands!$B$2:$B$6)</f>
        <v>Solid Performance</v>
      </c>
      <c r="V645" s="8" t="n">
        <f aca="false">IF(Q645="","",ROUND((Q645-B645)*24,1))</f>
        <v>120</v>
      </c>
    </row>
    <row r="646" customFormat="false" ht="15" hidden="false" customHeight="false" outlineLevel="0" collapsed="false">
      <c r="A646" s="3" t="s">
        <v>1423</v>
      </c>
      <c r="B646" s="5" t="n">
        <v>46188.4020833333</v>
      </c>
      <c r="C646" s="3" t="s">
        <v>68</v>
      </c>
      <c r="D646" s="3" t="s">
        <v>151</v>
      </c>
      <c r="E646" s="3" t="s">
        <v>152</v>
      </c>
      <c r="F646" s="3" t="s">
        <v>33</v>
      </c>
      <c r="G646" s="3" t="s">
        <v>34</v>
      </c>
      <c r="H646" s="3" t="s">
        <v>1424</v>
      </c>
      <c r="I646" s="3" t="n">
        <v>5</v>
      </c>
      <c r="J646" s="3" t="n">
        <v>3</v>
      </c>
      <c r="K646" s="3" t="n">
        <v>4</v>
      </c>
      <c r="L646" s="3" t="n">
        <v>5</v>
      </c>
      <c r="M646" s="3" t="n">
        <v>5</v>
      </c>
      <c r="N646" s="3" t="n">
        <v>5</v>
      </c>
      <c r="O646" s="6" t="b">
        <f aca="false">FALSE()</f>
        <v>0</v>
      </c>
      <c r="P646" s="3"/>
      <c r="Q646" s="5" t="n">
        <v>46193.4020833333</v>
      </c>
      <c r="R646" s="5" t="n">
        <v>46193.7631944444</v>
      </c>
      <c r="S646" s="3" t="s">
        <v>37</v>
      </c>
      <c r="T646" s="7" t="n">
        <f aca="false">ROUND(MIN(IF(OR(O646=TRUE(),O646="TRUE",O646="Yes"),59,100),(I646*Rubric!$C$2+J646*Rubric!$C$3+K646*Rubric!$C$4+L646*Rubric!$C$5+M646*Rubric!$C$6+N646*Rubric!$C$7)/5),1)</f>
        <v>86</v>
      </c>
      <c r="U646" s="8" t="str">
        <f aca="false">LOOKUP(T646,Bands!$A$2:$A$6,Bands!$B$2:$B$6)</f>
        <v>Solid Performance</v>
      </c>
      <c r="V646" s="8" t="n">
        <f aca="false">IF(Q646="","",ROUND((Q646-B646)*24,1))</f>
        <v>120</v>
      </c>
    </row>
    <row r="647" customFormat="false" ht="15" hidden="false" customHeight="false" outlineLevel="0" collapsed="false">
      <c r="A647" s="3" t="s">
        <v>1425</v>
      </c>
      <c r="B647" s="5" t="n">
        <v>46188.4145833333</v>
      </c>
      <c r="C647" s="3" t="s">
        <v>39</v>
      </c>
      <c r="D647" s="3" t="s">
        <v>31</v>
      </c>
      <c r="E647" s="3" t="s">
        <v>32</v>
      </c>
      <c r="F647" s="3" t="s">
        <v>33</v>
      </c>
      <c r="G647" s="3" t="s">
        <v>42</v>
      </c>
      <c r="H647" s="3" t="s">
        <v>1426</v>
      </c>
      <c r="I647" s="3" t="n">
        <v>5</v>
      </c>
      <c r="J647" s="3" t="n">
        <v>3</v>
      </c>
      <c r="K647" s="3" t="n">
        <v>5</v>
      </c>
      <c r="L647" s="3" t="n">
        <v>4</v>
      </c>
      <c r="M647" s="3" t="n">
        <v>4</v>
      </c>
      <c r="N647" s="3" t="n">
        <v>3</v>
      </c>
      <c r="O647" s="6" t="b">
        <f aca="false">FALSE()</f>
        <v>0</v>
      </c>
      <c r="P647" s="3"/>
      <c r="Q647" s="5" t="n">
        <v>46193.4145833333</v>
      </c>
      <c r="R647" s="5" t="n">
        <v>46193.8423611111</v>
      </c>
      <c r="S647" s="3" t="s">
        <v>37</v>
      </c>
      <c r="T647" s="7" t="n">
        <f aca="false">ROUND(MIN(IF(OR(O647=TRUE(),O647="TRUE",O647="Yes"),59,100),(I647*Rubric!$C$2+J647*Rubric!$C$3+K647*Rubric!$C$4+L647*Rubric!$C$5+M647*Rubric!$C$6+N647*Rubric!$C$7)/5),1)</f>
        <v>79</v>
      </c>
      <c r="U647" s="8" t="str">
        <f aca="false">LOOKUP(T647,Bands!$A$2:$A$6,Bands!$B$2:$B$6)</f>
        <v>Meets Expectations</v>
      </c>
      <c r="V647" s="8" t="n">
        <f aca="false">IF(Q647="","",ROUND((Q647-B647)*24,1))</f>
        <v>120</v>
      </c>
    </row>
    <row r="648" customFormat="false" ht="15" hidden="false" customHeight="false" outlineLevel="0" collapsed="false">
      <c r="A648" s="3" t="s">
        <v>1427</v>
      </c>
      <c r="B648" s="5" t="n">
        <v>46188.5777777778</v>
      </c>
      <c r="C648" s="3" t="s">
        <v>30</v>
      </c>
      <c r="D648" s="3" t="s">
        <v>167</v>
      </c>
      <c r="E648" s="3" t="s">
        <v>168</v>
      </c>
      <c r="F648" s="3" t="s">
        <v>33</v>
      </c>
      <c r="G648" s="3" t="s">
        <v>54</v>
      </c>
      <c r="H648" s="3" t="s">
        <v>1428</v>
      </c>
      <c r="I648" s="3" t="n">
        <v>4</v>
      </c>
      <c r="J648" s="3" t="n">
        <v>3</v>
      </c>
      <c r="K648" s="3" t="n">
        <v>4</v>
      </c>
      <c r="L648" s="3" t="n">
        <v>4</v>
      </c>
      <c r="M648" s="3" t="n">
        <v>4</v>
      </c>
      <c r="N648" s="3" t="n">
        <v>3</v>
      </c>
      <c r="O648" s="6" t="b">
        <f aca="false">FALSE()</f>
        <v>0</v>
      </c>
      <c r="P648" s="3"/>
      <c r="Q648" s="5" t="n">
        <v>46193.5777777778</v>
      </c>
      <c r="R648" s="5" t="n">
        <v>46196.4326388889</v>
      </c>
      <c r="S648" s="3" t="s">
        <v>37</v>
      </c>
      <c r="T648" s="7" t="n">
        <f aca="false">ROUND(MIN(IF(OR(O648=TRUE(),O648="TRUE",O648="Yes"),59,100),(I648*Rubric!$C$2+J648*Rubric!$C$3+K648*Rubric!$C$4+L648*Rubric!$C$5+M648*Rubric!$C$6+N648*Rubric!$C$7)/5),1)</f>
        <v>72</v>
      </c>
      <c r="U648" s="8" t="str">
        <f aca="false">LOOKUP(T648,Bands!$A$2:$A$6,Bands!$B$2:$B$6)</f>
        <v>Meets Expectations</v>
      </c>
      <c r="V648" s="8" t="n">
        <f aca="false">IF(Q648="","",ROUND((Q648-B648)*24,1))</f>
        <v>120</v>
      </c>
    </row>
    <row r="649" customFormat="false" ht="15" hidden="false" customHeight="false" outlineLevel="0" collapsed="false">
      <c r="A649" s="3" t="s">
        <v>1429</v>
      </c>
      <c r="B649" s="5" t="n">
        <v>46188.3833333333</v>
      </c>
      <c r="C649" s="3" t="s">
        <v>39</v>
      </c>
      <c r="D649" s="3" t="s">
        <v>228</v>
      </c>
      <c r="E649" s="3" t="s">
        <v>229</v>
      </c>
      <c r="F649" s="3" t="s">
        <v>65</v>
      </c>
      <c r="G649" s="3" t="s">
        <v>42</v>
      </c>
      <c r="H649" s="3" t="s">
        <v>1430</v>
      </c>
      <c r="I649" s="3" t="n">
        <v>3</v>
      </c>
      <c r="J649" s="3" t="n">
        <v>4</v>
      </c>
      <c r="K649" s="3" t="n">
        <v>3</v>
      </c>
      <c r="L649" s="3" t="n">
        <v>3</v>
      </c>
      <c r="M649" s="3" t="n">
        <v>3</v>
      </c>
      <c r="N649" s="3" t="n">
        <v>3</v>
      </c>
      <c r="O649" s="6" t="b">
        <f aca="false">FALSE()</f>
        <v>0</v>
      </c>
      <c r="P649" s="3"/>
      <c r="Q649" s="5" t="n">
        <v>46195.3833333333</v>
      </c>
      <c r="R649" s="5" t="n">
        <v>46196.8013888889</v>
      </c>
      <c r="S649" s="3" t="s">
        <v>37</v>
      </c>
      <c r="T649" s="7" t="n">
        <f aca="false">ROUND(MIN(IF(OR(O649=TRUE(),O649="TRUE",O649="Yes"),59,100),(I649*Rubric!$C$2+J649*Rubric!$C$3+K649*Rubric!$C$4+L649*Rubric!$C$5+M649*Rubric!$C$6+N649*Rubric!$C$7)/5),1)</f>
        <v>65</v>
      </c>
      <c r="U649" s="8" t="str">
        <f aca="false">LOOKUP(T649,Bands!$A$2:$A$6,Bands!$B$2:$B$6)</f>
        <v>Needs Improvement</v>
      </c>
      <c r="V649" s="8" t="n">
        <f aca="false">IF(Q649="","",ROUND((Q649-B649)*24,1))</f>
        <v>168</v>
      </c>
    </row>
    <row r="650" customFormat="false" ht="15" hidden="false" customHeight="false" outlineLevel="0" collapsed="false">
      <c r="A650" s="3" t="s">
        <v>1431</v>
      </c>
      <c r="B650" s="5" t="n">
        <v>46189.4486111111</v>
      </c>
      <c r="C650" s="3" t="s">
        <v>68</v>
      </c>
      <c r="D650" s="3" t="s">
        <v>155</v>
      </c>
      <c r="E650" s="3" t="s">
        <v>156</v>
      </c>
      <c r="F650" s="3" t="s">
        <v>65</v>
      </c>
      <c r="G650" s="3" t="s">
        <v>54</v>
      </c>
      <c r="H650" s="3" t="s">
        <v>1432</v>
      </c>
      <c r="I650" s="3" t="n">
        <v>4</v>
      </c>
      <c r="J650" s="3" t="n">
        <v>5</v>
      </c>
      <c r="K650" s="3" t="n">
        <v>4</v>
      </c>
      <c r="L650" s="3" t="n">
        <v>4</v>
      </c>
      <c r="M650" s="3" t="n">
        <v>5</v>
      </c>
      <c r="N650" s="3" t="n">
        <v>4</v>
      </c>
      <c r="O650" s="6" t="b">
        <f aca="false">FALSE()</f>
        <v>0</v>
      </c>
      <c r="P650" s="3"/>
      <c r="Q650" s="5" t="n">
        <v>46196.4486111111</v>
      </c>
      <c r="R650" s="5" t="n">
        <v>46197.1527777778</v>
      </c>
      <c r="S650" s="3" t="s">
        <v>37</v>
      </c>
      <c r="T650" s="7" t="n">
        <f aca="false">ROUND(MIN(IF(OR(O650=TRUE(),O650="TRUE",O650="Yes"),59,100),(I650*Rubric!$C$2+J650*Rubric!$C$3+K650*Rubric!$C$4+L650*Rubric!$C$5+M650*Rubric!$C$6+N650*Rubric!$C$7)/5),1)</f>
        <v>87</v>
      </c>
      <c r="U650" s="8" t="str">
        <f aca="false">LOOKUP(T650,Bands!$A$2:$A$6,Bands!$B$2:$B$6)</f>
        <v>Solid Performance</v>
      </c>
      <c r="V650" s="8" t="n">
        <f aca="false">IF(Q650="","",ROUND((Q650-B650)*24,1))</f>
        <v>168</v>
      </c>
    </row>
    <row r="651" customFormat="false" ht="15" hidden="false" customHeight="false" outlineLevel="0" collapsed="false">
      <c r="A651" s="3" t="s">
        <v>1433</v>
      </c>
      <c r="B651" s="5" t="n">
        <v>46189.4833333333</v>
      </c>
      <c r="C651" s="3" t="s">
        <v>30</v>
      </c>
      <c r="D651" s="3" t="s">
        <v>51</v>
      </c>
      <c r="E651" s="3" t="s">
        <v>52</v>
      </c>
      <c r="F651" s="3" t="s">
        <v>53</v>
      </c>
      <c r="G651" s="3" t="s">
        <v>54</v>
      </c>
      <c r="H651" s="3" t="s">
        <v>1434</v>
      </c>
      <c r="I651" s="3" t="n">
        <v>4</v>
      </c>
      <c r="J651" s="3" t="n">
        <v>2</v>
      </c>
      <c r="K651" s="3" t="n">
        <v>4</v>
      </c>
      <c r="L651" s="3" t="n">
        <v>5</v>
      </c>
      <c r="M651" s="3" t="n">
        <v>5</v>
      </c>
      <c r="N651" s="3" t="n">
        <v>5</v>
      </c>
      <c r="O651" s="6" t="b">
        <f aca="false">FALSE()</f>
        <v>0</v>
      </c>
      <c r="P651" s="3" t="s">
        <v>56</v>
      </c>
      <c r="Q651" s="5" t="n">
        <v>46194.4833333333</v>
      </c>
      <c r="R651" s="5" t="n">
        <v>46194.8513888889</v>
      </c>
      <c r="S651" s="3" t="s">
        <v>37</v>
      </c>
      <c r="T651" s="7" t="n">
        <f aca="false">ROUND(MIN(IF(OR(O651=TRUE(),O651="TRUE",O651="Yes"),59,100),(I651*Rubric!$C$2+J651*Rubric!$C$3+K651*Rubric!$C$4+L651*Rubric!$C$5+M651*Rubric!$C$6+N651*Rubric!$C$7)/5),1)</f>
        <v>78</v>
      </c>
      <c r="U651" s="8" t="str">
        <f aca="false">LOOKUP(T651,Bands!$A$2:$A$6,Bands!$B$2:$B$6)</f>
        <v>Meets Expectations</v>
      </c>
      <c r="V651" s="8" t="n">
        <f aca="false">IF(Q651="","",ROUND((Q651-B651)*24,1))</f>
        <v>120</v>
      </c>
    </row>
    <row r="652" customFormat="false" ht="15" hidden="false" customHeight="false" outlineLevel="0" collapsed="false">
      <c r="A652" s="3" t="s">
        <v>1435</v>
      </c>
      <c r="B652" s="5" t="n">
        <v>46189.4472222222</v>
      </c>
      <c r="C652" s="3" t="s">
        <v>39</v>
      </c>
      <c r="D652" s="3" t="s">
        <v>137</v>
      </c>
      <c r="E652" s="3" t="s">
        <v>138</v>
      </c>
      <c r="F652" s="3" t="s">
        <v>65</v>
      </c>
      <c r="G652" s="3" t="s">
        <v>42</v>
      </c>
      <c r="H652" s="3" t="s">
        <v>1436</v>
      </c>
      <c r="I652" s="3" t="n">
        <v>4</v>
      </c>
      <c r="J652" s="3" t="n">
        <v>4</v>
      </c>
      <c r="K652" s="3" t="n">
        <v>4</v>
      </c>
      <c r="L652" s="3" t="n">
        <v>5</v>
      </c>
      <c r="M652" s="3" t="n">
        <v>5</v>
      </c>
      <c r="N652" s="3" t="n">
        <v>5</v>
      </c>
      <c r="O652" s="6" t="b">
        <f aca="false">FALSE()</f>
        <v>0</v>
      </c>
      <c r="P652" s="3"/>
      <c r="Q652" s="5" t="n">
        <v>46193.4472222222</v>
      </c>
      <c r="R652" s="5" t="n">
        <v>46193.5409722222</v>
      </c>
      <c r="S652" s="3" t="s">
        <v>37</v>
      </c>
      <c r="T652" s="7" t="n">
        <f aca="false">ROUND(MIN(IF(OR(O652=TRUE(),O652="TRUE",O652="Yes"),59,100),(I652*Rubric!$C$2+J652*Rubric!$C$3+K652*Rubric!$C$4+L652*Rubric!$C$5+M652*Rubric!$C$6+N652*Rubric!$C$7)/5),1)</f>
        <v>88</v>
      </c>
      <c r="U652" s="8" t="str">
        <f aca="false">LOOKUP(T652,Bands!$A$2:$A$6,Bands!$B$2:$B$6)</f>
        <v>Solid Performance</v>
      </c>
      <c r="V652" s="8" t="n">
        <f aca="false">IF(Q652="","",ROUND((Q652-B652)*24,1))</f>
        <v>96</v>
      </c>
    </row>
    <row r="653" customFormat="false" ht="15" hidden="false" customHeight="false" outlineLevel="0" collapsed="false">
      <c r="A653" s="3" t="s">
        <v>1437</v>
      </c>
      <c r="B653" s="5" t="n">
        <v>46189.6166666667</v>
      </c>
      <c r="C653" s="3" t="s">
        <v>30</v>
      </c>
      <c r="D653" s="3" t="s">
        <v>90</v>
      </c>
      <c r="E653" s="3" t="s">
        <v>91</v>
      </c>
      <c r="F653" s="3" t="s">
        <v>65</v>
      </c>
      <c r="G653" s="3" t="s">
        <v>42</v>
      </c>
      <c r="H653" s="3" t="s">
        <v>1438</v>
      </c>
      <c r="I653" s="3" t="n">
        <v>4</v>
      </c>
      <c r="J653" s="3" t="n">
        <v>5</v>
      </c>
      <c r="K653" s="3" t="n">
        <v>4</v>
      </c>
      <c r="L653" s="3" t="n">
        <v>2</v>
      </c>
      <c r="M653" s="3" t="n">
        <v>4</v>
      </c>
      <c r="N653" s="3" t="n">
        <v>4</v>
      </c>
      <c r="O653" s="6" t="b">
        <f aca="false">FALSE()</f>
        <v>0</v>
      </c>
      <c r="P653" s="3" t="s">
        <v>44</v>
      </c>
      <c r="Q653" s="5" t="n">
        <v>46198.6166666667</v>
      </c>
      <c r="R653" s="5" t="n">
        <v>46199.21875</v>
      </c>
      <c r="S653" s="3" t="s">
        <v>37</v>
      </c>
      <c r="T653" s="7" t="n">
        <f aca="false">ROUND(MIN(IF(OR(O653=TRUE(),O653="TRUE",O653="Yes"),59,100),(I653*Rubric!$C$2+J653*Rubric!$C$3+K653*Rubric!$C$4+L653*Rubric!$C$5+M653*Rubric!$C$6+N653*Rubric!$C$7)/5),1)</f>
        <v>79</v>
      </c>
      <c r="U653" s="8" t="str">
        <f aca="false">LOOKUP(T653,Bands!$A$2:$A$6,Bands!$B$2:$B$6)</f>
        <v>Meets Expectations</v>
      </c>
      <c r="V653" s="8" t="n">
        <f aca="false">IF(Q653="","",ROUND((Q653-B653)*24,1))</f>
        <v>216</v>
      </c>
    </row>
    <row r="654" customFormat="false" ht="15" hidden="false" customHeight="false" outlineLevel="0" collapsed="false">
      <c r="A654" s="3" t="s">
        <v>1439</v>
      </c>
      <c r="B654" s="5" t="n">
        <v>46189.61875</v>
      </c>
      <c r="C654" s="3" t="s">
        <v>30</v>
      </c>
      <c r="D654" s="3" t="s">
        <v>69</v>
      </c>
      <c r="E654" s="3" t="s">
        <v>70</v>
      </c>
      <c r="F654" s="3" t="s">
        <v>65</v>
      </c>
      <c r="G654" s="3" t="s">
        <v>42</v>
      </c>
      <c r="H654" s="3" t="s">
        <v>1440</v>
      </c>
      <c r="I654" s="3" t="n">
        <v>5</v>
      </c>
      <c r="J654" s="3" t="n">
        <v>4</v>
      </c>
      <c r="K654" s="3" t="n">
        <v>5</v>
      </c>
      <c r="L654" s="3" t="n">
        <v>4</v>
      </c>
      <c r="M654" s="3" t="n">
        <v>5</v>
      </c>
      <c r="N654" s="3" t="n">
        <v>2</v>
      </c>
      <c r="O654" s="6" t="b">
        <f aca="false">FALSE()</f>
        <v>0</v>
      </c>
      <c r="P654" s="3" t="s">
        <v>36</v>
      </c>
      <c r="Q654" s="5" t="n">
        <v>46194.61875</v>
      </c>
      <c r="R654" s="5" t="n">
        <v>46194.9118055556</v>
      </c>
      <c r="S654" s="3" t="s">
        <v>37</v>
      </c>
      <c r="T654" s="7" t="n">
        <f aca="false">ROUND(MIN(IF(OR(O654=TRUE(),O654="TRUE",O654="Yes"),59,100),(I654*Rubric!$C$2+J654*Rubric!$C$3+K654*Rubric!$C$4+L654*Rubric!$C$5+M654*Rubric!$C$6+N654*Rubric!$C$7)/5),1)</f>
        <v>83</v>
      </c>
      <c r="U654" s="8" t="str">
        <f aca="false">LOOKUP(T654,Bands!$A$2:$A$6,Bands!$B$2:$B$6)</f>
        <v>Solid Performance</v>
      </c>
      <c r="V654" s="8" t="n">
        <f aca="false">IF(Q654="","",ROUND((Q654-B654)*24,1))</f>
        <v>120</v>
      </c>
    </row>
    <row r="655" customFormat="false" ht="15" hidden="false" customHeight="false" outlineLevel="0" collapsed="false">
      <c r="A655" s="3" t="s">
        <v>1441</v>
      </c>
      <c r="B655" s="5" t="n">
        <v>46189.6972222222</v>
      </c>
      <c r="C655" s="3" t="s">
        <v>39</v>
      </c>
      <c r="D655" s="3" t="s">
        <v>77</v>
      </c>
      <c r="E655" s="3" t="s">
        <v>78</v>
      </c>
      <c r="F655" s="3" t="s">
        <v>33</v>
      </c>
      <c r="G655" s="3" t="s">
        <v>54</v>
      </c>
      <c r="H655" s="3" t="s">
        <v>1442</v>
      </c>
      <c r="I655" s="3" t="n">
        <v>5</v>
      </c>
      <c r="J655" s="3" t="n">
        <v>5</v>
      </c>
      <c r="K655" s="3" t="n">
        <v>2</v>
      </c>
      <c r="L655" s="3" t="n">
        <v>5</v>
      </c>
      <c r="M655" s="3" t="n">
        <v>5</v>
      </c>
      <c r="N655" s="3" t="n">
        <v>5</v>
      </c>
      <c r="O655" s="6" t="b">
        <f aca="false">FALSE()</f>
        <v>0</v>
      </c>
      <c r="P655" s="3" t="s">
        <v>49</v>
      </c>
      <c r="Q655" s="5" t="n">
        <v>46198.6972222222</v>
      </c>
      <c r="R655" s="5" t="n">
        <v>46199.0229166667</v>
      </c>
      <c r="S655" s="3" t="s">
        <v>37</v>
      </c>
      <c r="T655" s="7" t="n">
        <f aca="false">ROUND(MIN(IF(OR(O655=TRUE(),O655="TRUE",O655="Yes"),59,100),(I655*Rubric!$C$2+J655*Rubric!$C$3+K655*Rubric!$C$4+L655*Rubric!$C$5+M655*Rubric!$C$6+N655*Rubric!$C$7)/5),1)</f>
        <v>88</v>
      </c>
      <c r="U655" s="8" t="str">
        <f aca="false">LOOKUP(T655,Bands!$A$2:$A$6,Bands!$B$2:$B$6)</f>
        <v>Solid Performance</v>
      </c>
      <c r="V655" s="8" t="n">
        <f aca="false">IF(Q655="","",ROUND((Q655-B655)*24,1))</f>
        <v>216</v>
      </c>
    </row>
    <row r="656" customFormat="false" ht="15" hidden="false" customHeight="false" outlineLevel="0" collapsed="false">
      <c r="A656" s="3" t="s">
        <v>1443</v>
      </c>
      <c r="B656" s="5" t="n">
        <v>46189.5923611111</v>
      </c>
      <c r="C656" s="3" t="s">
        <v>39</v>
      </c>
      <c r="D656" s="3" t="s">
        <v>85</v>
      </c>
      <c r="E656" s="3" t="s">
        <v>86</v>
      </c>
      <c r="F656" s="3" t="s">
        <v>33</v>
      </c>
      <c r="G656" s="3" t="s">
        <v>42</v>
      </c>
      <c r="H656" s="3" t="s">
        <v>1444</v>
      </c>
      <c r="I656" s="3" t="n">
        <v>3</v>
      </c>
      <c r="J656" s="3" t="n">
        <v>4</v>
      </c>
      <c r="K656" s="3" t="n">
        <v>4</v>
      </c>
      <c r="L656" s="3" t="n">
        <v>4</v>
      </c>
      <c r="M656" s="3" t="n">
        <v>4</v>
      </c>
      <c r="N656" s="3" t="n">
        <v>5</v>
      </c>
      <c r="O656" s="6" t="b">
        <f aca="false">FALSE()</f>
        <v>0</v>
      </c>
      <c r="P656" s="3"/>
      <c r="Q656" s="5" t="n">
        <v>46192.5923611111</v>
      </c>
      <c r="R656" s="5" t="n">
        <v>46195.1527777778</v>
      </c>
      <c r="S656" s="3" t="s">
        <v>37</v>
      </c>
      <c r="T656" s="7" t="n">
        <f aca="false">ROUND(MIN(IF(OR(O656=TRUE(),O656="TRUE",O656="Yes"),59,100),(I656*Rubric!$C$2+J656*Rubric!$C$3+K656*Rubric!$C$4+L656*Rubric!$C$5+M656*Rubric!$C$6+N656*Rubric!$C$7)/5),1)</f>
        <v>80</v>
      </c>
      <c r="U656" s="8" t="str">
        <f aca="false">LOOKUP(T656,Bands!$A$2:$A$6,Bands!$B$2:$B$6)</f>
        <v>Solid Performance</v>
      </c>
      <c r="V656" s="8" t="n">
        <f aca="false">IF(Q656="","",ROUND((Q656-B656)*24,1))</f>
        <v>72</v>
      </c>
    </row>
    <row r="657" customFormat="false" ht="15" hidden="false" customHeight="false" outlineLevel="0" collapsed="false">
      <c r="A657" s="3" t="s">
        <v>1445</v>
      </c>
      <c r="B657" s="5" t="n">
        <v>46189.6090277778</v>
      </c>
      <c r="C657" s="3" t="s">
        <v>39</v>
      </c>
      <c r="D657" s="3" t="s">
        <v>105</v>
      </c>
      <c r="E657" s="3" t="s">
        <v>106</v>
      </c>
      <c r="F657" s="3" t="s">
        <v>65</v>
      </c>
      <c r="G657" s="3" t="s">
        <v>54</v>
      </c>
      <c r="H657" s="3" t="s">
        <v>1446</v>
      </c>
      <c r="I657" s="3" t="n">
        <v>4</v>
      </c>
      <c r="J657" s="3" t="n">
        <v>2</v>
      </c>
      <c r="K657" s="3" t="n">
        <v>5</v>
      </c>
      <c r="L657" s="3" t="n">
        <v>4</v>
      </c>
      <c r="M657" s="3" t="n">
        <v>4</v>
      </c>
      <c r="N657" s="3" t="n">
        <v>4</v>
      </c>
      <c r="O657" s="6" t="b">
        <f aca="false">FALSE()</f>
        <v>0</v>
      </c>
      <c r="P657" s="3" t="s">
        <v>56</v>
      </c>
      <c r="Q657" s="5" t="n">
        <v>46194.6090277778</v>
      </c>
      <c r="R657" s="5" t="n">
        <v>46194.6430555556</v>
      </c>
      <c r="S657" s="3" t="s">
        <v>37</v>
      </c>
      <c r="T657" s="7" t="n">
        <f aca="false">ROUND(MIN(IF(OR(O657=TRUE(),O657="TRUE",O657="Yes"),59,100),(I657*Rubric!$C$2+J657*Rubric!$C$3+K657*Rubric!$C$4+L657*Rubric!$C$5+M657*Rubric!$C$6+N657*Rubric!$C$7)/5),1)</f>
        <v>74</v>
      </c>
      <c r="U657" s="8" t="str">
        <f aca="false">LOOKUP(T657,Bands!$A$2:$A$6,Bands!$B$2:$B$6)</f>
        <v>Meets Expectations</v>
      </c>
      <c r="V657" s="8" t="n">
        <f aca="false">IF(Q657="","",ROUND((Q657-B657)*24,1))</f>
        <v>120</v>
      </c>
    </row>
    <row r="658" customFormat="false" ht="15" hidden="false" customHeight="false" outlineLevel="0" collapsed="false">
      <c r="A658" s="3" t="s">
        <v>1447</v>
      </c>
      <c r="B658" s="5" t="n">
        <v>46189.6020833333</v>
      </c>
      <c r="C658" s="3" t="s">
        <v>68</v>
      </c>
      <c r="D658" s="3" t="s">
        <v>63</v>
      </c>
      <c r="E658" s="3" t="s">
        <v>64</v>
      </c>
      <c r="F658" s="3" t="s">
        <v>65</v>
      </c>
      <c r="G658" s="3" t="s">
        <v>42</v>
      </c>
      <c r="H658" s="3" t="s">
        <v>1448</v>
      </c>
      <c r="I658" s="3" t="n">
        <v>5</v>
      </c>
      <c r="J658" s="3" t="n">
        <v>3</v>
      </c>
      <c r="K658" s="3" t="n">
        <v>4</v>
      </c>
      <c r="L658" s="3" t="n">
        <v>4</v>
      </c>
      <c r="M658" s="3" t="n">
        <v>4</v>
      </c>
      <c r="N658" s="3" t="n">
        <v>4</v>
      </c>
      <c r="O658" s="6" t="b">
        <f aca="false">FALSE()</f>
        <v>0</v>
      </c>
      <c r="P658" s="3"/>
      <c r="Q658" s="5" t="n">
        <v>46193.6020833333</v>
      </c>
      <c r="R658" s="5" t="n">
        <v>46196.0555555556</v>
      </c>
      <c r="S658" s="3" t="s">
        <v>37</v>
      </c>
      <c r="T658" s="7" t="n">
        <f aca="false">ROUND(MIN(IF(OR(O658=TRUE(),O658="TRUE",O658="Yes"),59,100),(I658*Rubric!$C$2+J658*Rubric!$C$3+K658*Rubric!$C$4+L658*Rubric!$C$5+M658*Rubric!$C$6+N658*Rubric!$C$7)/5),1)</f>
        <v>78</v>
      </c>
      <c r="U658" s="8" t="str">
        <f aca="false">LOOKUP(T658,Bands!$A$2:$A$6,Bands!$B$2:$B$6)</f>
        <v>Meets Expectations</v>
      </c>
      <c r="V658" s="8" t="n">
        <f aca="false">IF(Q658="","",ROUND((Q658-B658)*24,1))</f>
        <v>96</v>
      </c>
    </row>
    <row r="659" customFormat="false" ht="15" hidden="false" customHeight="false" outlineLevel="0" collapsed="false">
      <c r="A659" s="3" t="s">
        <v>1449</v>
      </c>
      <c r="B659" s="5" t="n">
        <v>46189.5048611111</v>
      </c>
      <c r="C659" s="3" t="s">
        <v>30</v>
      </c>
      <c r="D659" s="3" t="s">
        <v>31</v>
      </c>
      <c r="E659" s="3" t="s">
        <v>32</v>
      </c>
      <c r="F659" s="3" t="s">
        <v>33</v>
      </c>
      <c r="G659" s="3" t="s">
        <v>54</v>
      </c>
      <c r="H659" s="3" t="s">
        <v>1450</v>
      </c>
      <c r="I659" s="3" t="n">
        <v>4</v>
      </c>
      <c r="J659" s="3" t="n">
        <v>4</v>
      </c>
      <c r="K659" s="3" t="n">
        <v>5</v>
      </c>
      <c r="L659" s="3" t="n">
        <v>4</v>
      </c>
      <c r="M659" s="3" t="n">
        <v>4</v>
      </c>
      <c r="N659" s="3" t="n">
        <v>2</v>
      </c>
      <c r="O659" s="6" t="b">
        <f aca="false">FALSE()</f>
        <v>0</v>
      </c>
      <c r="P659" s="3" t="s">
        <v>36</v>
      </c>
      <c r="Q659" s="5" t="n">
        <v>46198.5048611111</v>
      </c>
      <c r="R659" s="5" t="n">
        <v>46199.8861111111</v>
      </c>
      <c r="S659" s="3" t="s">
        <v>37</v>
      </c>
      <c r="T659" s="7" t="n">
        <f aca="false">ROUND(MIN(IF(OR(O659=TRUE(),O659="TRUE",O659="Yes"),59,100),(I659*Rubric!$C$2+J659*Rubric!$C$3+K659*Rubric!$C$4+L659*Rubric!$C$5+M659*Rubric!$C$6+N659*Rubric!$C$7)/5),1)</f>
        <v>78</v>
      </c>
      <c r="U659" s="8" t="str">
        <f aca="false">LOOKUP(T659,Bands!$A$2:$A$6,Bands!$B$2:$B$6)</f>
        <v>Meets Expectations</v>
      </c>
      <c r="V659" s="8" t="n">
        <f aca="false">IF(Q659="","",ROUND((Q659-B659)*24,1))</f>
        <v>216</v>
      </c>
    </row>
    <row r="660" customFormat="false" ht="15" hidden="false" customHeight="false" outlineLevel="0" collapsed="false">
      <c r="A660" s="3" t="s">
        <v>1451</v>
      </c>
      <c r="B660" s="5" t="n">
        <v>46189.65625</v>
      </c>
      <c r="C660" s="3" t="s">
        <v>30</v>
      </c>
      <c r="D660" s="3" t="s">
        <v>119</v>
      </c>
      <c r="E660" s="3" t="s">
        <v>120</v>
      </c>
      <c r="F660" s="3" t="s">
        <v>33</v>
      </c>
      <c r="G660" s="3" t="s">
        <v>54</v>
      </c>
      <c r="H660" s="3" t="s">
        <v>1452</v>
      </c>
      <c r="I660" s="3" t="n">
        <v>5</v>
      </c>
      <c r="J660" s="3" t="n">
        <v>4</v>
      </c>
      <c r="K660" s="3" t="n">
        <v>4</v>
      </c>
      <c r="L660" s="3" t="n">
        <v>4</v>
      </c>
      <c r="M660" s="3" t="n">
        <v>4</v>
      </c>
      <c r="N660" s="3" t="n">
        <v>3</v>
      </c>
      <c r="O660" s="6" t="b">
        <f aca="false">FALSE()</f>
        <v>0</v>
      </c>
      <c r="P660" s="3"/>
      <c r="Q660" s="5" t="n">
        <v>46198.65625</v>
      </c>
      <c r="R660" s="5" t="n">
        <v>46199.2965277778</v>
      </c>
      <c r="S660" s="3" t="s">
        <v>37</v>
      </c>
      <c r="T660" s="7" t="n">
        <f aca="false">ROUND(MIN(IF(OR(O660=TRUE(),O660="TRUE",O660="Yes"),59,100),(I660*Rubric!$C$2+J660*Rubric!$C$3+K660*Rubric!$C$4+L660*Rubric!$C$5+M660*Rubric!$C$6+N660*Rubric!$C$7)/5),1)</f>
        <v>80</v>
      </c>
      <c r="U660" s="8" t="str">
        <f aca="false">LOOKUP(T660,Bands!$A$2:$A$6,Bands!$B$2:$B$6)</f>
        <v>Solid Performance</v>
      </c>
      <c r="V660" s="8" t="n">
        <f aca="false">IF(Q660="","",ROUND((Q660-B660)*24,1))</f>
        <v>216</v>
      </c>
    </row>
    <row r="661" customFormat="false" ht="15" hidden="false" customHeight="false" outlineLevel="0" collapsed="false">
      <c r="A661" s="3" t="s">
        <v>1453</v>
      </c>
      <c r="B661" s="5" t="n">
        <v>46189.5784722222</v>
      </c>
      <c r="C661" s="3" t="s">
        <v>68</v>
      </c>
      <c r="D661" s="3" t="s">
        <v>222</v>
      </c>
      <c r="E661" s="3" t="s">
        <v>223</v>
      </c>
      <c r="F661" s="3" t="s">
        <v>53</v>
      </c>
      <c r="G661" s="3" t="s">
        <v>54</v>
      </c>
      <c r="H661" s="3" t="s">
        <v>1454</v>
      </c>
      <c r="I661" s="3" t="n">
        <v>3</v>
      </c>
      <c r="J661" s="3" t="n">
        <v>4</v>
      </c>
      <c r="K661" s="3" t="n">
        <v>4</v>
      </c>
      <c r="L661" s="3" t="n">
        <v>4</v>
      </c>
      <c r="M661" s="3" t="n">
        <v>4</v>
      </c>
      <c r="N661" s="3" t="n">
        <v>3</v>
      </c>
      <c r="O661" s="6" t="b">
        <f aca="false">FALSE()</f>
        <v>0</v>
      </c>
      <c r="P661" s="3"/>
      <c r="Q661" s="5" t="n">
        <v>46198.5784722222</v>
      </c>
      <c r="R661" s="5" t="n">
        <v>46199.1895833333</v>
      </c>
      <c r="S661" s="3" t="s">
        <v>37</v>
      </c>
      <c r="T661" s="7" t="n">
        <f aca="false">ROUND(MIN(IF(OR(O661=TRUE(),O661="TRUE",O661="Yes"),59,100),(I661*Rubric!$C$2+J661*Rubric!$C$3+K661*Rubric!$C$4+L661*Rubric!$C$5+M661*Rubric!$C$6+N661*Rubric!$C$7)/5),1)</f>
        <v>74</v>
      </c>
      <c r="U661" s="8" t="str">
        <f aca="false">LOOKUP(T661,Bands!$A$2:$A$6,Bands!$B$2:$B$6)</f>
        <v>Meets Expectations</v>
      </c>
      <c r="V661" s="8" t="n">
        <f aca="false">IF(Q661="","",ROUND((Q661-B661)*24,1))</f>
        <v>216</v>
      </c>
    </row>
    <row r="662" customFormat="false" ht="15" hidden="false" customHeight="false" outlineLevel="0" collapsed="false">
      <c r="A662" s="3" t="s">
        <v>1455</v>
      </c>
      <c r="B662" s="5" t="n">
        <v>46190.5</v>
      </c>
      <c r="C662" s="3" t="s">
        <v>68</v>
      </c>
      <c r="D662" s="3" t="s">
        <v>238</v>
      </c>
      <c r="E662" s="3" t="s">
        <v>239</v>
      </c>
      <c r="F662" s="3" t="s">
        <v>33</v>
      </c>
      <c r="G662" s="3" t="s">
        <v>54</v>
      </c>
      <c r="H662" s="3" t="s">
        <v>1456</v>
      </c>
      <c r="I662" s="3" t="n">
        <v>4</v>
      </c>
      <c r="J662" s="3" t="n">
        <v>4</v>
      </c>
      <c r="K662" s="3" t="n">
        <v>3</v>
      </c>
      <c r="L662" s="3" t="n">
        <v>4</v>
      </c>
      <c r="M662" s="3" t="n">
        <v>3</v>
      </c>
      <c r="N662" s="3" t="n">
        <v>4</v>
      </c>
      <c r="O662" s="6" t="b">
        <f aca="false">FALSE()</f>
        <v>0</v>
      </c>
      <c r="P662" s="3"/>
      <c r="Q662" s="5" t="n">
        <v>46195.5</v>
      </c>
      <c r="R662" s="5" t="n">
        <v>46195.5090277778</v>
      </c>
      <c r="S662" s="3" t="s">
        <v>37</v>
      </c>
      <c r="T662" s="7" t="n">
        <f aca="false">ROUND(MIN(IF(OR(O662=TRUE(),O662="TRUE",O662="Yes"),59,100),(I662*Rubric!$C$2+J662*Rubric!$C$3+K662*Rubric!$C$4+L662*Rubric!$C$5+M662*Rubric!$C$6+N662*Rubric!$C$7)/5),1)</f>
        <v>74</v>
      </c>
      <c r="U662" s="8" t="str">
        <f aca="false">LOOKUP(T662,Bands!$A$2:$A$6,Bands!$B$2:$B$6)</f>
        <v>Meets Expectations</v>
      </c>
      <c r="V662" s="8" t="n">
        <f aca="false">IF(Q662="","",ROUND((Q662-B662)*24,1))</f>
        <v>120</v>
      </c>
    </row>
    <row r="663" customFormat="false" ht="15" hidden="false" customHeight="false" outlineLevel="0" collapsed="false">
      <c r="A663" s="3" t="s">
        <v>1457</v>
      </c>
      <c r="B663" s="5" t="n">
        <v>46190.6340277778</v>
      </c>
      <c r="C663" s="3" t="s">
        <v>39</v>
      </c>
      <c r="D663" s="3" t="s">
        <v>73</v>
      </c>
      <c r="E663" s="3" t="s">
        <v>74</v>
      </c>
      <c r="F663" s="3" t="s">
        <v>33</v>
      </c>
      <c r="G663" s="3" t="s">
        <v>42</v>
      </c>
      <c r="H663" s="3" t="s">
        <v>1458</v>
      </c>
      <c r="I663" s="3" t="n">
        <v>4</v>
      </c>
      <c r="J663" s="3" t="n">
        <v>5</v>
      </c>
      <c r="K663" s="3" t="n">
        <v>5</v>
      </c>
      <c r="L663" s="3" t="n">
        <v>4</v>
      </c>
      <c r="M663" s="3" t="n">
        <v>5</v>
      </c>
      <c r="N663" s="3" t="n">
        <v>2</v>
      </c>
      <c r="O663" s="6" t="b">
        <f aca="false">FALSE()</f>
        <v>0</v>
      </c>
      <c r="P663" s="3" t="s">
        <v>36</v>
      </c>
      <c r="Q663" s="5" t="n">
        <v>46196.6340277778</v>
      </c>
      <c r="R663" s="5" t="n">
        <v>46199.5493055556</v>
      </c>
      <c r="S663" s="3" t="s">
        <v>37</v>
      </c>
      <c r="T663" s="7" t="n">
        <f aca="false">ROUND(MIN(IF(OR(O663=TRUE(),O663="TRUE",O663="Yes"),59,100),(I663*Rubric!$C$2+J663*Rubric!$C$3+K663*Rubric!$C$4+L663*Rubric!$C$5+M663*Rubric!$C$6+N663*Rubric!$C$7)/5),1)</f>
        <v>85</v>
      </c>
      <c r="U663" s="8" t="str">
        <f aca="false">LOOKUP(T663,Bands!$A$2:$A$6,Bands!$B$2:$B$6)</f>
        <v>Solid Performance</v>
      </c>
      <c r="V663" s="8" t="n">
        <f aca="false">IF(Q663="","",ROUND((Q663-B663)*24,1))</f>
        <v>144</v>
      </c>
    </row>
    <row r="664" customFormat="false" ht="15" hidden="false" customHeight="false" outlineLevel="0" collapsed="false">
      <c r="A664" s="3" t="s">
        <v>1459</v>
      </c>
      <c r="B664" s="5" t="n">
        <v>46190.5305555556</v>
      </c>
      <c r="C664" s="3" t="s">
        <v>39</v>
      </c>
      <c r="D664" s="3" t="s">
        <v>137</v>
      </c>
      <c r="E664" s="3" t="s">
        <v>138</v>
      </c>
      <c r="F664" s="3" t="s">
        <v>65</v>
      </c>
      <c r="G664" s="3" t="s">
        <v>42</v>
      </c>
      <c r="H664" s="3" t="s">
        <v>1460</v>
      </c>
      <c r="I664" s="3" t="n">
        <v>2</v>
      </c>
      <c r="J664" s="3" t="n">
        <v>4</v>
      </c>
      <c r="K664" s="3" t="n">
        <v>4</v>
      </c>
      <c r="L664" s="3" t="n">
        <v>5</v>
      </c>
      <c r="M664" s="3" t="n">
        <v>5</v>
      </c>
      <c r="N664" s="3" t="n">
        <v>4</v>
      </c>
      <c r="O664" s="6" t="b">
        <f aca="false">FALSE()</f>
        <v>0</v>
      </c>
      <c r="P664" s="3" t="s">
        <v>88</v>
      </c>
      <c r="Q664" s="5" t="n">
        <v>46199.5305555556</v>
      </c>
      <c r="R664" s="5" t="n">
        <v>46201.5743055556</v>
      </c>
      <c r="S664" s="3" t="s">
        <v>37</v>
      </c>
      <c r="T664" s="7" t="n">
        <f aca="false">ROUND(MIN(IF(OR(O664=TRUE(),O664="TRUE",O664="Yes"),59,100),(I664*Rubric!$C$2+J664*Rubric!$C$3+K664*Rubric!$C$4+L664*Rubric!$C$5+M664*Rubric!$C$6+N664*Rubric!$C$7)/5),1)</f>
        <v>79</v>
      </c>
      <c r="U664" s="8" t="str">
        <f aca="false">LOOKUP(T664,Bands!$A$2:$A$6,Bands!$B$2:$B$6)</f>
        <v>Meets Expectations</v>
      </c>
      <c r="V664" s="8" t="n">
        <f aca="false">IF(Q664="","",ROUND((Q664-B664)*24,1))</f>
        <v>216</v>
      </c>
    </row>
    <row r="665" customFormat="false" ht="15" hidden="false" customHeight="false" outlineLevel="0" collapsed="false">
      <c r="A665" s="3" t="s">
        <v>1461</v>
      </c>
      <c r="B665" s="5" t="n">
        <v>46190.61875</v>
      </c>
      <c r="C665" s="3" t="s">
        <v>39</v>
      </c>
      <c r="D665" s="3" t="s">
        <v>58</v>
      </c>
      <c r="E665" s="3" t="s">
        <v>59</v>
      </c>
      <c r="F665" s="3" t="s">
        <v>53</v>
      </c>
      <c r="G665" s="3" t="s">
        <v>54</v>
      </c>
      <c r="H665" s="3" t="s">
        <v>1462</v>
      </c>
      <c r="I665" s="3" t="n">
        <v>4</v>
      </c>
      <c r="J665" s="3" t="n">
        <v>2</v>
      </c>
      <c r="K665" s="3" t="n">
        <v>3</v>
      </c>
      <c r="L665" s="3" t="n">
        <v>3</v>
      </c>
      <c r="M665" s="3" t="n">
        <v>4</v>
      </c>
      <c r="N665" s="3" t="n">
        <v>4</v>
      </c>
      <c r="O665" s="6" t="b">
        <f aca="false">FALSE()</f>
        <v>0</v>
      </c>
      <c r="P665" s="3" t="s">
        <v>56</v>
      </c>
      <c r="Q665" s="5" t="n">
        <v>46194.61875</v>
      </c>
      <c r="R665" s="5" t="n">
        <v>46194.6243055556</v>
      </c>
      <c r="S665" s="3" t="s">
        <v>37</v>
      </c>
      <c r="T665" s="7" t="n">
        <f aca="false">ROUND(MIN(IF(OR(O665=TRUE(),O665="TRUE",O665="Yes"),59,100),(I665*Rubric!$C$2+J665*Rubric!$C$3+K665*Rubric!$C$4+L665*Rubric!$C$5+M665*Rubric!$C$6+N665*Rubric!$C$7)/5),1)</f>
        <v>63</v>
      </c>
      <c r="U665" s="8" t="str">
        <f aca="false">LOOKUP(T665,Bands!$A$2:$A$6,Bands!$B$2:$B$6)</f>
        <v>Needs Improvement</v>
      </c>
      <c r="V665" s="8" t="n">
        <f aca="false">IF(Q665="","",ROUND((Q665-B665)*24,1))</f>
        <v>96</v>
      </c>
    </row>
    <row r="666" customFormat="false" ht="15" hidden="false" customHeight="false" outlineLevel="0" collapsed="false">
      <c r="A666" s="3" t="s">
        <v>1463</v>
      </c>
      <c r="B666" s="5" t="n">
        <v>46190.5645833333</v>
      </c>
      <c r="C666" s="3" t="s">
        <v>30</v>
      </c>
      <c r="D666" s="3" t="s">
        <v>46</v>
      </c>
      <c r="E666" s="3" t="s">
        <v>47</v>
      </c>
      <c r="F666" s="3" t="s">
        <v>33</v>
      </c>
      <c r="G666" s="3" t="s">
        <v>54</v>
      </c>
      <c r="H666" s="3" t="s">
        <v>1464</v>
      </c>
      <c r="I666" s="3" t="n">
        <v>3</v>
      </c>
      <c r="J666" s="3" t="n">
        <v>4</v>
      </c>
      <c r="K666" s="3" t="n">
        <v>3</v>
      </c>
      <c r="L666" s="3" t="n">
        <v>4</v>
      </c>
      <c r="M666" s="3" t="n">
        <v>4</v>
      </c>
      <c r="N666" s="3" t="n">
        <v>4</v>
      </c>
      <c r="O666" s="6" t="b">
        <f aca="false">FALSE()</f>
        <v>0</v>
      </c>
      <c r="P666" s="3"/>
      <c r="Q666" s="5" t="n">
        <v>46197.5645833333</v>
      </c>
      <c r="R666" s="5" t="n">
        <v>46198.2041666667</v>
      </c>
      <c r="S666" s="3" t="s">
        <v>37</v>
      </c>
      <c r="T666" s="7" t="n">
        <f aca="false">ROUND(MIN(IF(OR(O666=TRUE(),O666="TRUE",O666="Yes"),59,100),(I666*Rubric!$C$2+J666*Rubric!$C$3+K666*Rubric!$C$4+L666*Rubric!$C$5+M666*Rubric!$C$6+N666*Rubric!$C$7)/5),1)</f>
        <v>73</v>
      </c>
      <c r="U666" s="8" t="str">
        <f aca="false">LOOKUP(T666,Bands!$A$2:$A$6,Bands!$B$2:$B$6)</f>
        <v>Meets Expectations</v>
      </c>
      <c r="V666" s="8" t="n">
        <f aca="false">IF(Q666="","",ROUND((Q666-B666)*24,1))</f>
        <v>168</v>
      </c>
    </row>
    <row r="667" customFormat="false" ht="15" hidden="false" customHeight="false" outlineLevel="0" collapsed="false">
      <c r="A667" s="3" t="s">
        <v>1465</v>
      </c>
      <c r="B667" s="5" t="n">
        <v>46190.5097222222</v>
      </c>
      <c r="C667" s="3" t="s">
        <v>68</v>
      </c>
      <c r="D667" s="3" t="s">
        <v>69</v>
      </c>
      <c r="E667" s="3" t="s">
        <v>70</v>
      </c>
      <c r="F667" s="3" t="s">
        <v>65</v>
      </c>
      <c r="G667" s="3" t="s">
        <v>34</v>
      </c>
      <c r="H667" s="3" t="s">
        <v>1466</v>
      </c>
      <c r="I667" s="3" t="n">
        <v>5</v>
      </c>
      <c r="J667" s="3" t="n">
        <v>4</v>
      </c>
      <c r="K667" s="3" t="n">
        <v>4</v>
      </c>
      <c r="L667" s="3" t="n">
        <v>5</v>
      </c>
      <c r="M667" s="3" t="n">
        <v>3</v>
      </c>
      <c r="N667" s="3" t="n">
        <v>3</v>
      </c>
      <c r="O667" s="6" t="b">
        <f aca="false">FALSE()</f>
        <v>0</v>
      </c>
      <c r="P667" s="3"/>
      <c r="Q667" s="5" t="n">
        <v>46202.5097222222</v>
      </c>
      <c r="R667" s="5" t="n">
        <v>46205.875</v>
      </c>
      <c r="S667" s="3" t="s">
        <v>37</v>
      </c>
      <c r="T667" s="7" t="n">
        <f aca="false">ROUND(MIN(IF(OR(O667=TRUE(),O667="TRUE",O667="Yes"),59,100),(I667*Rubric!$C$2+J667*Rubric!$C$3+K667*Rubric!$C$4+L667*Rubric!$C$5+M667*Rubric!$C$6+N667*Rubric!$C$7)/5),1)</f>
        <v>81</v>
      </c>
      <c r="U667" s="8" t="str">
        <f aca="false">LOOKUP(T667,Bands!$A$2:$A$6,Bands!$B$2:$B$6)</f>
        <v>Solid Performance</v>
      </c>
      <c r="V667" s="8" t="n">
        <f aca="false">IF(Q667="","",ROUND((Q667-B667)*24,1))</f>
        <v>288</v>
      </c>
    </row>
    <row r="668" customFormat="false" ht="15" hidden="false" customHeight="false" outlineLevel="0" collapsed="false">
      <c r="A668" s="3" t="s">
        <v>1467</v>
      </c>
      <c r="B668" s="5" t="n">
        <v>46190.5729166667</v>
      </c>
      <c r="C668" s="3" t="s">
        <v>30</v>
      </c>
      <c r="D668" s="3" t="s">
        <v>486</v>
      </c>
      <c r="E668" s="3" t="s">
        <v>487</v>
      </c>
      <c r="F668" s="3" t="s">
        <v>65</v>
      </c>
      <c r="G668" s="3" t="s">
        <v>34</v>
      </c>
      <c r="H668" s="3" t="s">
        <v>1468</v>
      </c>
      <c r="I668" s="3" t="n">
        <v>5</v>
      </c>
      <c r="J668" s="3" t="n">
        <v>3</v>
      </c>
      <c r="K668" s="3" t="n">
        <v>5</v>
      </c>
      <c r="L668" s="3" t="n">
        <v>3</v>
      </c>
      <c r="M668" s="3" t="n">
        <v>5</v>
      </c>
      <c r="N668" s="3" t="n">
        <v>5</v>
      </c>
      <c r="O668" s="6" t="b">
        <f aca="false">FALSE()</f>
        <v>0</v>
      </c>
      <c r="P668" s="3"/>
      <c r="Q668" s="5" t="n">
        <v>46195.5729166667</v>
      </c>
      <c r="R668" s="5" t="n">
        <v>46196.5868055556</v>
      </c>
      <c r="S668" s="3" t="s">
        <v>37</v>
      </c>
      <c r="T668" s="7" t="n">
        <f aca="false">ROUND(MIN(IF(OR(O668=TRUE(),O668="TRUE",O668="Yes"),59,100),(I668*Rubric!$C$2+J668*Rubric!$C$3+K668*Rubric!$C$4+L668*Rubric!$C$5+M668*Rubric!$C$6+N668*Rubric!$C$7)/5),1)</f>
        <v>84</v>
      </c>
      <c r="U668" s="8" t="str">
        <f aca="false">LOOKUP(T668,Bands!$A$2:$A$6,Bands!$B$2:$B$6)</f>
        <v>Solid Performance</v>
      </c>
      <c r="V668" s="8" t="n">
        <f aca="false">IF(Q668="","",ROUND((Q668-B668)*24,1))</f>
        <v>120</v>
      </c>
    </row>
    <row r="669" customFormat="false" ht="15" hidden="false" customHeight="false" outlineLevel="0" collapsed="false">
      <c r="A669" s="3" t="s">
        <v>1469</v>
      </c>
      <c r="B669" s="5" t="n">
        <v>46190.6291666667</v>
      </c>
      <c r="C669" s="3" t="s">
        <v>39</v>
      </c>
      <c r="D669" s="3" t="s">
        <v>85</v>
      </c>
      <c r="E669" s="3" t="s">
        <v>86</v>
      </c>
      <c r="F669" s="3" t="s">
        <v>33</v>
      </c>
      <c r="G669" s="3" t="s">
        <v>42</v>
      </c>
      <c r="H669" s="3" t="s">
        <v>1470</v>
      </c>
      <c r="I669" s="3" t="n">
        <v>3</v>
      </c>
      <c r="J669" s="3" t="n">
        <v>5</v>
      </c>
      <c r="K669" s="3" t="n">
        <v>4</v>
      </c>
      <c r="L669" s="3" t="n">
        <v>5</v>
      </c>
      <c r="M669" s="3" t="n">
        <v>4</v>
      </c>
      <c r="N669" s="3" t="n">
        <v>5</v>
      </c>
      <c r="O669" s="6" t="b">
        <f aca="false">FALSE()</f>
        <v>0</v>
      </c>
      <c r="P669" s="3"/>
      <c r="Q669" s="5" t="n">
        <v>46199.6291666667</v>
      </c>
      <c r="R669" s="5" t="n">
        <v>46200.2333333333</v>
      </c>
      <c r="S669" s="3" t="s">
        <v>37</v>
      </c>
      <c r="T669" s="7" t="n">
        <f aca="false">ROUND(MIN(IF(OR(O669=TRUE(),O669="TRUE",O669="Yes"),59,100),(I669*Rubric!$C$2+J669*Rubric!$C$3+K669*Rubric!$C$4+L669*Rubric!$C$5+M669*Rubric!$C$6+N669*Rubric!$C$7)/5),1)</f>
        <v>88</v>
      </c>
      <c r="U669" s="8" t="str">
        <f aca="false">LOOKUP(T669,Bands!$A$2:$A$6,Bands!$B$2:$B$6)</f>
        <v>Solid Performance</v>
      </c>
      <c r="V669" s="8" t="n">
        <f aca="false">IF(Q669="","",ROUND((Q669-B669)*24,1))</f>
        <v>216</v>
      </c>
    </row>
    <row r="670" customFormat="false" ht="15" hidden="false" customHeight="false" outlineLevel="0" collapsed="false">
      <c r="A670" s="3" t="s">
        <v>1471</v>
      </c>
      <c r="B670" s="5" t="n">
        <v>46190.6270833333</v>
      </c>
      <c r="C670" s="3" t="s">
        <v>30</v>
      </c>
      <c r="D670" s="3" t="s">
        <v>161</v>
      </c>
      <c r="E670" s="3" t="s">
        <v>162</v>
      </c>
      <c r="F670" s="3" t="s">
        <v>33</v>
      </c>
      <c r="G670" s="3" t="s">
        <v>54</v>
      </c>
      <c r="H670" s="3" t="s">
        <v>1472</v>
      </c>
      <c r="I670" s="3" t="n">
        <v>4</v>
      </c>
      <c r="J670" s="3" t="n">
        <v>4</v>
      </c>
      <c r="K670" s="3" t="n">
        <v>4</v>
      </c>
      <c r="L670" s="3" t="n">
        <v>4</v>
      </c>
      <c r="M670" s="3" t="n">
        <v>3</v>
      </c>
      <c r="N670" s="3" t="n">
        <v>4</v>
      </c>
      <c r="O670" s="6" t="b">
        <f aca="false">FALSE()</f>
        <v>0</v>
      </c>
      <c r="P670" s="3"/>
      <c r="Q670" s="5" t="n">
        <v>46193.6270833333</v>
      </c>
      <c r="R670" s="5" t="n">
        <v>46195.4229166667</v>
      </c>
      <c r="S670" s="3" t="s">
        <v>37</v>
      </c>
      <c r="T670" s="7" t="n">
        <f aca="false">ROUND(MIN(IF(OR(O670=TRUE(),O670="TRUE",O670="Yes"),59,100),(I670*Rubric!$C$2+J670*Rubric!$C$3+K670*Rubric!$C$4+L670*Rubric!$C$5+M670*Rubric!$C$6+N670*Rubric!$C$7)/5),1)</f>
        <v>78</v>
      </c>
      <c r="U670" s="8" t="str">
        <f aca="false">LOOKUP(T670,Bands!$A$2:$A$6,Bands!$B$2:$B$6)</f>
        <v>Meets Expectations</v>
      </c>
      <c r="V670" s="8" t="n">
        <f aca="false">IF(Q670="","",ROUND((Q670-B670)*24,1))</f>
        <v>72</v>
      </c>
    </row>
    <row r="671" customFormat="false" ht="15" hidden="false" customHeight="false" outlineLevel="0" collapsed="false">
      <c r="A671" s="3" t="s">
        <v>1473</v>
      </c>
      <c r="B671" s="5" t="n">
        <v>46190.5541666667</v>
      </c>
      <c r="C671" s="3" t="s">
        <v>30</v>
      </c>
      <c r="D671" s="3" t="s">
        <v>115</v>
      </c>
      <c r="E671" s="3" t="s">
        <v>116</v>
      </c>
      <c r="F671" s="3" t="s">
        <v>33</v>
      </c>
      <c r="G671" s="3" t="s">
        <v>54</v>
      </c>
      <c r="H671" s="3" t="s">
        <v>1474</v>
      </c>
      <c r="I671" s="3" t="n">
        <v>4</v>
      </c>
      <c r="J671" s="3" t="n">
        <v>4</v>
      </c>
      <c r="K671" s="3" t="n">
        <v>5</v>
      </c>
      <c r="L671" s="3" t="n">
        <v>5</v>
      </c>
      <c r="M671" s="3" t="n">
        <v>4</v>
      </c>
      <c r="N671" s="3" t="n">
        <v>5</v>
      </c>
      <c r="O671" s="6" t="b">
        <f aca="false">FALSE()</f>
        <v>0</v>
      </c>
      <c r="P671" s="3"/>
      <c r="Q671" s="5" t="n">
        <v>46197.5541666667</v>
      </c>
      <c r="R671" s="5" t="n">
        <v>46199.3034722222</v>
      </c>
      <c r="S671" s="3" t="s">
        <v>37</v>
      </c>
      <c r="T671" s="7" t="n">
        <f aca="false">ROUND(MIN(IF(OR(O671=TRUE(),O671="TRUE",O671="Yes"),59,100),(I671*Rubric!$C$2+J671*Rubric!$C$3+K671*Rubric!$C$4+L671*Rubric!$C$5+M671*Rubric!$C$6+N671*Rubric!$C$7)/5),1)</f>
        <v>90</v>
      </c>
      <c r="U671" s="8" t="str">
        <f aca="false">LOOKUP(T671,Bands!$A$2:$A$6,Bands!$B$2:$B$6)</f>
        <v>Outstanding</v>
      </c>
      <c r="V671" s="8" t="n">
        <f aca="false">IF(Q671="","",ROUND((Q671-B671)*24,1))</f>
        <v>168</v>
      </c>
    </row>
    <row r="672" customFormat="false" ht="15" hidden="false" customHeight="false" outlineLevel="0" collapsed="false">
      <c r="A672" s="3" t="s">
        <v>1475</v>
      </c>
      <c r="B672" s="5" t="n">
        <v>46190.4888888889</v>
      </c>
      <c r="C672" s="3" t="s">
        <v>30</v>
      </c>
      <c r="D672" s="3" t="s">
        <v>366</v>
      </c>
      <c r="E672" s="3" t="s">
        <v>367</v>
      </c>
      <c r="F672" s="3" t="s">
        <v>53</v>
      </c>
      <c r="G672" s="3" t="s">
        <v>54</v>
      </c>
      <c r="H672" s="3" t="s">
        <v>1476</v>
      </c>
      <c r="I672" s="3" t="n">
        <v>4</v>
      </c>
      <c r="J672" s="3" t="n">
        <v>4</v>
      </c>
      <c r="K672" s="3" t="n">
        <v>2</v>
      </c>
      <c r="L672" s="3" t="n">
        <v>5</v>
      </c>
      <c r="M672" s="3" t="n">
        <v>4</v>
      </c>
      <c r="N672" s="3" t="n">
        <v>4</v>
      </c>
      <c r="O672" s="6" t="b">
        <f aca="false">FALSE()</f>
        <v>0</v>
      </c>
      <c r="P672" s="3" t="s">
        <v>49</v>
      </c>
      <c r="Q672" s="5" t="n">
        <v>46196.4888888889</v>
      </c>
      <c r="R672" s="5" t="n">
        <v>46197.8861111111</v>
      </c>
      <c r="S672" s="3" t="s">
        <v>37</v>
      </c>
      <c r="T672" s="7" t="n">
        <f aca="false">ROUND(MIN(IF(OR(O672=TRUE(),O672="TRUE",O672="Yes"),59,100),(I672*Rubric!$C$2+J672*Rubric!$C$3+K672*Rubric!$C$4+L672*Rubric!$C$5+M672*Rubric!$C$6+N672*Rubric!$C$7)/5),1)</f>
        <v>75</v>
      </c>
      <c r="U672" s="8" t="str">
        <f aca="false">LOOKUP(T672,Bands!$A$2:$A$6,Bands!$B$2:$B$6)</f>
        <v>Meets Expectations</v>
      </c>
      <c r="V672" s="8" t="n">
        <f aca="false">IF(Q672="","",ROUND((Q672-B672)*24,1))</f>
        <v>144</v>
      </c>
    </row>
    <row r="673" customFormat="false" ht="15" hidden="false" customHeight="false" outlineLevel="0" collapsed="false">
      <c r="A673" s="3" t="s">
        <v>1477</v>
      </c>
      <c r="B673" s="5" t="n">
        <v>46190.6506944444</v>
      </c>
      <c r="C673" s="3" t="s">
        <v>30</v>
      </c>
      <c r="D673" s="3" t="s">
        <v>81</v>
      </c>
      <c r="E673" s="3" t="s">
        <v>82</v>
      </c>
      <c r="F673" s="3" t="s">
        <v>65</v>
      </c>
      <c r="G673" s="3" t="s">
        <v>42</v>
      </c>
      <c r="H673" s="3" t="s">
        <v>1478</v>
      </c>
      <c r="I673" s="3" t="n">
        <v>3</v>
      </c>
      <c r="J673" s="3" t="n">
        <v>2</v>
      </c>
      <c r="K673" s="3" t="n">
        <v>4</v>
      </c>
      <c r="L673" s="3" t="n">
        <v>5</v>
      </c>
      <c r="M673" s="3" t="n">
        <v>4</v>
      </c>
      <c r="N673" s="3" t="n">
        <v>4</v>
      </c>
      <c r="O673" s="6" t="b">
        <f aca="false">FALSE()</f>
        <v>0</v>
      </c>
      <c r="P673" s="3" t="s">
        <v>56</v>
      </c>
      <c r="Q673" s="5" t="n">
        <v>46193.6506944444</v>
      </c>
      <c r="R673" s="5" t="n">
        <v>46194.0618055556</v>
      </c>
      <c r="S673" s="3" t="s">
        <v>37</v>
      </c>
      <c r="T673" s="7" t="n">
        <f aca="false">ROUND(MIN(IF(OR(O673=TRUE(),O673="TRUE",O673="Yes"),59,100),(I673*Rubric!$C$2+J673*Rubric!$C$3+K673*Rubric!$C$4+L673*Rubric!$C$5+M673*Rubric!$C$6+N673*Rubric!$C$7)/5),1)</f>
        <v>70</v>
      </c>
      <c r="U673" s="8" t="str">
        <f aca="false">LOOKUP(T673,Bands!$A$2:$A$6,Bands!$B$2:$B$6)</f>
        <v>Meets Expectations</v>
      </c>
      <c r="V673" s="8" t="n">
        <f aca="false">IF(Q673="","",ROUND((Q673-B673)*24,1))</f>
        <v>72</v>
      </c>
    </row>
    <row r="674" customFormat="false" ht="15" hidden="false" customHeight="false" outlineLevel="0" collapsed="false">
      <c r="A674" s="3" t="s">
        <v>1479</v>
      </c>
      <c r="B674" s="5" t="n">
        <v>46191.6701388889</v>
      </c>
      <c r="C674" s="3" t="s">
        <v>30</v>
      </c>
      <c r="D674" s="3" t="s">
        <v>115</v>
      </c>
      <c r="E674" s="3" t="s">
        <v>116</v>
      </c>
      <c r="F674" s="3" t="s">
        <v>33</v>
      </c>
      <c r="G674" s="3" t="s">
        <v>54</v>
      </c>
      <c r="H674" s="3" t="s">
        <v>1480</v>
      </c>
      <c r="I674" s="3" t="n">
        <v>3</v>
      </c>
      <c r="J674" s="3" t="n">
        <v>5</v>
      </c>
      <c r="K674" s="3" t="n">
        <v>4</v>
      </c>
      <c r="L674" s="3" t="n">
        <v>4</v>
      </c>
      <c r="M674" s="3" t="n">
        <v>3</v>
      </c>
      <c r="N674" s="3" t="n">
        <v>4</v>
      </c>
      <c r="O674" s="6" t="b">
        <f aca="false">FALSE()</f>
        <v>0</v>
      </c>
      <c r="P674" s="3"/>
      <c r="Q674" s="5" t="n">
        <v>46197.6701388889</v>
      </c>
      <c r="R674" s="5" t="n">
        <v>46197.9291666667</v>
      </c>
      <c r="S674" s="3" t="s">
        <v>37</v>
      </c>
      <c r="T674" s="7" t="n">
        <f aca="false">ROUND(MIN(IF(OR(O674=TRUE(),O674="TRUE",O674="Yes"),59,100),(I674*Rubric!$C$2+J674*Rubric!$C$3+K674*Rubric!$C$4+L674*Rubric!$C$5+M674*Rubric!$C$6+N674*Rubric!$C$7)/5),1)</f>
        <v>80</v>
      </c>
      <c r="U674" s="8" t="str">
        <f aca="false">LOOKUP(T674,Bands!$A$2:$A$6,Bands!$B$2:$B$6)</f>
        <v>Solid Performance</v>
      </c>
      <c r="V674" s="8" t="n">
        <f aca="false">IF(Q674="","",ROUND((Q674-B674)*24,1))</f>
        <v>144</v>
      </c>
    </row>
    <row r="675" customFormat="false" ht="15" hidden="false" customHeight="false" outlineLevel="0" collapsed="false">
      <c r="A675" s="3" t="s">
        <v>1481</v>
      </c>
      <c r="B675" s="5" t="n">
        <v>46191.39375</v>
      </c>
      <c r="C675" s="3" t="s">
        <v>68</v>
      </c>
      <c r="D675" s="3" t="s">
        <v>105</v>
      </c>
      <c r="E675" s="3" t="s">
        <v>106</v>
      </c>
      <c r="F675" s="3" t="s">
        <v>65</v>
      </c>
      <c r="G675" s="3" t="s">
        <v>54</v>
      </c>
      <c r="H675" s="3" t="s">
        <v>1482</v>
      </c>
      <c r="I675" s="3" t="n">
        <v>4</v>
      </c>
      <c r="J675" s="3" t="n">
        <v>2</v>
      </c>
      <c r="K675" s="3" t="n">
        <v>5</v>
      </c>
      <c r="L675" s="3" t="n">
        <v>4</v>
      </c>
      <c r="M675" s="3" t="n">
        <v>4</v>
      </c>
      <c r="N675" s="3" t="n">
        <v>4</v>
      </c>
      <c r="O675" s="6" t="b">
        <f aca="false">FALSE()</f>
        <v>0</v>
      </c>
      <c r="P675" s="3" t="s">
        <v>56</v>
      </c>
      <c r="Q675" s="5" t="n">
        <v>46195.39375</v>
      </c>
      <c r="R675" s="5" t="n">
        <v>46195.5222222222</v>
      </c>
      <c r="S675" s="3" t="s">
        <v>37</v>
      </c>
      <c r="T675" s="7" t="n">
        <f aca="false">ROUND(MIN(IF(OR(O675=TRUE(),O675="TRUE",O675="Yes"),59,100),(I675*Rubric!$C$2+J675*Rubric!$C$3+K675*Rubric!$C$4+L675*Rubric!$C$5+M675*Rubric!$C$6+N675*Rubric!$C$7)/5),1)</f>
        <v>74</v>
      </c>
      <c r="U675" s="8" t="str">
        <f aca="false">LOOKUP(T675,Bands!$A$2:$A$6,Bands!$B$2:$B$6)</f>
        <v>Meets Expectations</v>
      </c>
      <c r="V675" s="8" t="n">
        <f aca="false">IF(Q675="","",ROUND((Q675-B675)*24,1))</f>
        <v>96</v>
      </c>
    </row>
    <row r="676" customFormat="false" ht="15" hidden="false" customHeight="false" outlineLevel="0" collapsed="false">
      <c r="A676" s="3" t="s">
        <v>1483</v>
      </c>
      <c r="B676" s="5" t="n">
        <v>46191.65625</v>
      </c>
      <c r="C676" s="3" t="s">
        <v>39</v>
      </c>
      <c r="D676" s="3" t="s">
        <v>90</v>
      </c>
      <c r="E676" s="3" t="s">
        <v>91</v>
      </c>
      <c r="F676" s="3" t="s">
        <v>65</v>
      </c>
      <c r="G676" s="3" t="s">
        <v>54</v>
      </c>
      <c r="H676" s="3" t="s">
        <v>1484</v>
      </c>
      <c r="I676" s="3" t="n">
        <v>4</v>
      </c>
      <c r="J676" s="3" t="n">
        <v>5</v>
      </c>
      <c r="K676" s="3" t="n">
        <v>4</v>
      </c>
      <c r="L676" s="3" t="n">
        <v>2</v>
      </c>
      <c r="M676" s="3" t="n">
        <v>4</v>
      </c>
      <c r="N676" s="3" t="n">
        <v>5</v>
      </c>
      <c r="O676" s="6" t="b">
        <f aca="false">FALSE()</f>
        <v>0</v>
      </c>
      <c r="P676" s="3" t="s">
        <v>44</v>
      </c>
      <c r="Q676" s="5" t="n">
        <v>46198.65625</v>
      </c>
      <c r="R676" s="5" t="n">
        <v>46201.1402777778</v>
      </c>
      <c r="S676" s="3" t="s">
        <v>37</v>
      </c>
      <c r="T676" s="7" t="n">
        <f aca="false">ROUND(MIN(IF(OR(O676=TRUE(),O676="TRUE",O676="Yes"),59,100),(I676*Rubric!$C$2+J676*Rubric!$C$3+K676*Rubric!$C$4+L676*Rubric!$C$5+M676*Rubric!$C$6+N676*Rubric!$C$7)/5),1)</f>
        <v>82</v>
      </c>
      <c r="U676" s="8" t="str">
        <f aca="false">LOOKUP(T676,Bands!$A$2:$A$6,Bands!$B$2:$B$6)</f>
        <v>Solid Performance</v>
      </c>
      <c r="V676" s="8" t="n">
        <f aca="false">IF(Q676="","",ROUND((Q676-B676)*24,1))</f>
        <v>168</v>
      </c>
    </row>
    <row r="677" customFormat="false" ht="15" hidden="false" customHeight="false" outlineLevel="0" collapsed="false">
      <c r="A677" s="3" t="s">
        <v>1485</v>
      </c>
      <c r="B677" s="5" t="n">
        <v>46191.5618055556</v>
      </c>
      <c r="C677" s="3" t="s">
        <v>30</v>
      </c>
      <c r="D677" s="3" t="s">
        <v>265</v>
      </c>
      <c r="E677" s="3" t="s">
        <v>266</v>
      </c>
      <c r="F677" s="3" t="s">
        <v>33</v>
      </c>
      <c r="G677" s="3" t="s">
        <v>42</v>
      </c>
      <c r="H677" s="3" t="s">
        <v>1486</v>
      </c>
      <c r="I677" s="3" t="n">
        <v>4</v>
      </c>
      <c r="J677" s="3" t="n">
        <v>4</v>
      </c>
      <c r="K677" s="3" t="n">
        <v>4</v>
      </c>
      <c r="L677" s="3" t="n">
        <v>4</v>
      </c>
      <c r="M677" s="3" t="n">
        <v>2</v>
      </c>
      <c r="N677" s="3" t="n">
        <v>4</v>
      </c>
      <c r="O677" s="6" t="b">
        <f aca="false">FALSE()</f>
        <v>0</v>
      </c>
      <c r="P677" s="3" t="s">
        <v>103</v>
      </c>
      <c r="Q677" s="5" t="n">
        <v>46197.5618055556</v>
      </c>
      <c r="R677" s="5" t="n">
        <v>46198.0131944444</v>
      </c>
      <c r="S677" s="3" t="s">
        <v>37</v>
      </c>
      <c r="T677" s="7" t="n">
        <f aca="false">ROUND(MIN(IF(OR(O677=TRUE(),O677="TRUE",O677="Yes"),59,100),(I677*Rubric!$C$2+J677*Rubric!$C$3+K677*Rubric!$C$4+L677*Rubric!$C$5+M677*Rubric!$C$6+N677*Rubric!$C$7)/5),1)</f>
        <v>76</v>
      </c>
      <c r="U677" s="8" t="str">
        <f aca="false">LOOKUP(T677,Bands!$A$2:$A$6,Bands!$B$2:$B$6)</f>
        <v>Meets Expectations</v>
      </c>
      <c r="V677" s="8" t="n">
        <f aca="false">IF(Q677="","",ROUND((Q677-B677)*24,1))</f>
        <v>144</v>
      </c>
    </row>
    <row r="678" customFormat="false" ht="15" hidden="false" customHeight="false" outlineLevel="0" collapsed="false">
      <c r="A678" s="3" t="s">
        <v>1487</v>
      </c>
      <c r="B678" s="5" t="n">
        <v>46191.3944444444</v>
      </c>
      <c r="C678" s="3" t="s">
        <v>68</v>
      </c>
      <c r="D678" s="3" t="s">
        <v>58</v>
      </c>
      <c r="E678" s="3" t="s">
        <v>59</v>
      </c>
      <c r="F678" s="3" t="s">
        <v>53</v>
      </c>
      <c r="G678" s="3" t="s">
        <v>54</v>
      </c>
      <c r="H678" s="3" t="s">
        <v>1488</v>
      </c>
      <c r="I678" s="3" t="n">
        <v>4</v>
      </c>
      <c r="J678" s="3" t="n">
        <v>3</v>
      </c>
      <c r="K678" s="3" t="n">
        <v>3</v>
      </c>
      <c r="L678" s="3" t="n">
        <v>4</v>
      </c>
      <c r="M678" s="3" t="n">
        <v>3</v>
      </c>
      <c r="N678" s="3" t="n">
        <v>1</v>
      </c>
      <c r="O678" s="6" t="b">
        <f aca="false">TRUE()</f>
        <v>1</v>
      </c>
      <c r="P678" s="3" t="s">
        <v>36</v>
      </c>
      <c r="Q678" s="5" t="n">
        <v>46194.3944444444</v>
      </c>
      <c r="R678" s="5" t="n">
        <v>46194.3965277778</v>
      </c>
      <c r="S678" s="3" t="s">
        <v>37</v>
      </c>
      <c r="T678" s="7" t="n">
        <f aca="false">ROUND(MIN(IF(OR(O678=TRUE(),O678="TRUE",O678="Yes"),59,100),(I678*Rubric!$C$2+J678*Rubric!$C$3+K678*Rubric!$C$4+L678*Rubric!$C$5+M678*Rubric!$C$6+N678*Rubric!$C$7)/5),1)</f>
        <v>59</v>
      </c>
      <c r="U678" s="8" t="str">
        <f aca="false">LOOKUP(T678,Bands!$A$2:$A$6,Bands!$B$2:$B$6)</f>
        <v>Critical</v>
      </c>
      <c r="V678" s="8" t="n">
        <f aca="false">IF(Q678="","",ROUND((Q678-B678)*24,1))</f>
        <v>72</v>
      </c>
    </row>
    <row r="679" customFormat="false" ht="15" hidden="false" customHeight="false" outlineLevel="0" collapsed="false">
      <c r="A679" s="3" t="s">
        <v>1489</v>
      </c>
      <c r="B679" s="5" t="n">
        <v>46191.3958333333</v>
      </c>
      <c r="C679" s="3" t="s">
        <v>30</v>
      </c>
      <c r="D679" s="3" t="s">
        <v>100</v>
      </c>
      <c r="E679" s="3" t="s">
        <v>101</v>
      </c>
      <c r="F679" s="3" t="s">
        <v>33</v>
      </c>
      <c r="G679" s="3" t="s">
        <v>42</v>
      </c>
      <c r="H679" s="3" t="s">
        <v>1490</v>
      </c>
      <c r="I679" s="3" t="n">
        <v>4</v>
      </c>
      <c r="J679" s="3" t="n">
        <v>4</v>
      </c>
      <c r="K679" s="3" t="n">
        <v>5</v>
      </c>
      <c r="L679" s="3" t="n">
        <v>4</v>
      </c>
      <c r="M679" s="3" t="n">
        <v>2</v>
      </c>
      <c r="N679" s="3" t="n">
        <v>4</v>
      </c>
      <c r="O679" s="6" t="b">
        <f aca="false">FALSE()</f>
        <v>0</v>
      </c>
      <c r="P679" s="3" t="s">
        <v>103</v>
      </c>
      <c r="Q679" s="5" t="n">
        <v>46195.3958333333</v>
      </c>
      <c r="R679" s="5" t="n">
        <v>46196.2111111111</v>
      </c>
      <c r="S679" s="3" t="s">
        <v>37</v>
      </c>
      <c r="T679" s="7" t="n">
        <f aca="false">ROUND(MIN(IF(OR(O679=TRUE(),O679="TRUE",O679="Yes"),59,100),(I679*Rubric!$C$2+J679*Rubric!$C$3+K679*Rubric!$C$4+L679*Rubric!$C$5+M679*Rubric!$C$6+N679*Rubric!$C$7)/5),1)</f>
        <v>80</v>
      </c>
      <c r="U679" s="8" t="str">
        <f aca="false">LOOKUP(T679,Bands!$A$2:$A$6,Bands!$B$2:$B$6)</f>
        <v>Solid Performance</v>
      </c>
      <c r="V679" s="8" t="n">
        <f aca="false">IF(Q679="","",ROUND((Q679-B679)*24,1))</f>
        <v>96</v>
      </c>
    </row>
    <row r="680" customFormat="false" ht="15" hidden="false" customHeight="false" outlineLevel="0" collapsed="false">
      <c r="A680" s="3" t="s">
        <v>1491</v>
      </c>
      <c r="B680" s="5" t="n">
        <v>46191.7</v>
      </c>
      <c r="C680" s="3" t="s">
        <v>30</v>
      </c>
      <c r="D680" s="3" t="s">
        <v>238</v>
      </c>
      <c r="E680" s="3" t="s">
        <v>239</v>
      </c>
      <c r="F680" s="3" t="s">
        <v>33</v>
      </c>
      <c r="G680" s="3" t="s">
        <v>42</v>
      </c>
      <c r="H680" s="3" t="s">
        <v>1492</v>
      </c>
      <c r="I680" s="3" t="n">
        <v>4</v>
      </c>
      <c r="J680" s="3" t="n">
        <v>3</v>
      </c>
      <c r="K680" s="3" t="n">
        <v>4</v>
      </c>
      <c r="L680" s="3" t="n">
        <v>4</v>
      </c>
      <c r="M680" s="3" t="n">
        <v>4</v>
      </c>
      <c r="N680" s="3" t="n">
        <v>3</v>
      </c>
      <c r="O680" s="6" t="b">
        <f aca="false">FALSE()</f>
        <v>0</v>
      </c>
      <c r="P680" s="3"/>
      <c r="Q680" s="5" t="n">
        <v>46200.7</v>
      </c>
      <c r="R680" s="5" t="n">
        <v>46200.7222222222</v>
      </c>
      <c r="S680" s="3" t="s">
        <v>37</v>
      </c>
      <c r="T680" s="7" t="n">
        <f aca="false">ROUND(MIN(IF(OR(O680=TRUE(),O680="TRUE",O680="Yes"),59,100),(I680*Rubric!$C$2+J680*Rubric!$C$3+K680*Rubric!$C$4+L680*Rubric!$C$5+M680*Rubric!$C$6+N680*Rubric!$C$7)/5),1)</f>
        <v>72</v>
      </c>
      <c r="U680" s="8" t="str">
        <f aca="false">LOOKUP(T680,Bands!$A$2:$A$6,Bands!$B$2:$B$6)</f>
        <v>Meets Expectations</v>
      </c>
      <c r="V680" s="8" t="n">
        <f aca="false">IF(Q680="","",ROUND((Q680-B680)*24,1))</f>
        <v>216</v>
      </c>
    </row>
    <row r="681" customFormat="false" ht="15" hidden="false" customHeight="false" outlineLevel="0" collapsed="false">
      <c r="A681" s="3" t="s">
        <v>1493</v>
      </c>
      <c r="B681" s="5" t="n">
        <v>46191.6694444444</v>
      </c>
      <c r="C681" s="3" t="s">
        <v>68</v>
      </c>
      <c r="D681" s="3" t="s">
        <v>51</v>
      </c>
      <c r="E681" s="3" t="s">
        <v>52</v>
      </c>
      <c r="F681" s="3" t="s">
        <v>53</v>
      </c>
      <c r="G681" s="3" t="s">
        <v>54</v>
      </c>
      <c r="H681" s="3" t="s">
        <v>1494</v>
      </c>
      <c r="I681" s="3" t="n">
        <v>3</v>
      </c>
      <c r="J681" s="3" t="n">
        <v>2</v>
      </c>
      <c r="K681" s="3" t="n">
        <v>3</v>
      </c>
      <c r="L681" s="3" t="n">
        <v>5</v>
      </c>
      <c r="M681" s="3" t="n">
        <v>4</v>
      </c>
      <c r="N681" s="3" t="n">
        <v>5</v>
      </c>
      <c r="O681" s="6" t="b">
        <f aca="false">FALSE()</f>
        <v>0</v>
      </c>
      <c r="P681" s="3" t="s">
        <v>56</v>
      </c>
      <c r="Q681" s="5" t="n">
        <v>46195.6694444444</v>
      </c>
      <c r="R681" s="5" t="n">
        <v>46198.26875</v>
      </c>
      <c r="S681" s="3" t="s">
        <v>37</v>
      </c>
      <c r="T681" s="7" t="n">
        <f aca="false">ROUND(MIN(IF(OR(O681=TRUE(),O681="TRUE",O681="Yes"),59,100),(I681*Rubric!$C$2+J681*Rubric!$C$3+K681*Rubric!$C$4+L681*Rubric!$C$5+M681*Rubric!$C$6+N681*Rubric!$C$7)/5),1)</f>
        <v>69</v>
      </c>
      <c r="U681" s="8" t="str">
        <f aca="false">LOOKUP(T681,Bands!$A$2:$A$6,Bands!$B$2:$B$6)</f>
        <v>Needs Improvement</v>
      </c>
      <c r="V681" s="8" t="n">
        <f aca="false">IF(Q681="","",ROUND((Q681-B681)*24,1))</f>
        <v>96</v>
      </c>
    </row>
    <row r="682" customFormat="false" ht="15" hidden="false" customHeight="false" outlineLevel="0" collapsed="false">
      <c r="A682" s="3" t="s">
        <v>1495</v>
      </c>
      <c r="B682" s="5" t="n">
        <v>46191.5472222222</v>
      </c>
      <c r="C682" s="3" t="s">
        <v>30</v>
      </c>
      <c r="D682" s="3" t="s">
        <v>77</v>
      </c>
      <c r="E682" s="3" t="s">
        <v>78</v>
      </c>
      <c r="F682" s="3" t="s">
        <v>33</v>
      </c>
      <c r="G682" s="3" t="s">
        <v>42</v>
      </c>
      <c r="H682" s="3" t="s">
        <v>1496</v>
      </c>
      <c r="I682" s="3" t="n">
        <v>4</v>
      </c>
      <c r="J682" s="3" t="n">
        <v>5</v>
      </c>
      <c r="K682" s="3" t="n">
        <v>2</v>
      </c>
      <c r="L682" s="3" t="n">
        <v>5</v>
      </c>
      <c r="M682" s="3" t="n">
        <v>5</v>
      </c>
      <c r="N682" s="3" t="n">
        <v>5</v>
      </c>
      <c r="O682" s="6" t="b">
        <f aca="false">FALSE()</f>
        <v>0</v>
      </c>
      <c r="P682" s="3" t="s">
        <v>49</v>
      </c>
      <c r="Q682" s="5" t="n">
        <v>46200.5472222222</v>
      </c>
      <c r="R682" s="5" t="n">
        <v>46201.0180555556</v>
      </c>
      <c r="S682" s="3" t="s">
        <v>37</v>
      </c>
      <c r="T682" s="7" t="n">
        <f aca="false">ROUND(MIN(IF(OR(O682=TRUE(),O682="TRUE",O682="Yes"),59,100),(I682*Rubric!$C$2+J682*Rubric!$C$3+K682*Rubric!$C$4+L682*Rubric!$C$5+M682*Rubric!$C$6+N682*Rubric!$C$7)/5),1)</f>
        <v>85</v>
      </c>
      <c r="U682" s="8" t="str">
        <f aca="false">LOOKUP(T682,Bands!$A$2:$A$6,Bands!$B$2:$B$6)</f>
        <v>Solid Performance</v>
      </c>
      <c r="V682" s="8" t="n">
        <f aca="false">IF(Q682="","",ROUND((Q682-B682)*24,1))</f>
        <v>216</v>
      </c>
    </row>
    <row r="683" customFormat="false" ht="15" hidden="false" customHeight="false" outlineLevel="0" collapsed="false">
      <c r="A683" s="3" t="s">
        <v>1497</v>
      </c>
      <c r="B683" s="5" t="n">
        <v>46191.5270833333</v>
      </c>
      <c r="C683" s="3" t="s">
        <v>39</v>
      </c>
      <c r="D683" s="3" t="s">
        <v>63</v>
      </c>
      <c r="E683" s="3" t="s">
        <v>64</v>
      </c>
      <c r="F683" s="3" t="s">
        <v>65</v>
      </c>
      <c r="G683" s="3" t="s">
        <v>34</v>
      </c>
      <c r="H683" s="3" t="s">
        <v>1498</v>
      </c>
      <c r="I683" s="3" t="n">
        <v>4</v>
      </c>
      <c r="J683" s="3" t="n">
        <v>5</v>
      </c>
      <c r="K683" s="3" t="n">
        <v>3</v>
      </c>
      <c r="L683" s="3" t="n">
        <v>5</v>
      </c>
      <c r="M683" s="3" t="n">
        <v>4</v>
      </c>
      <c r="N683" s="3" t="n">
        <v>4</v>
      </c>
      <c r="O683" s="6" t="b">
        <f aca="false">FALSE()</f>
        <v>0</v>
      </c>
      <c r="P683" s="3"/>
      <c r="Q683" s="5" t="n">
        <v>46194.5270833333</v>
      </c>
      <c r="R683" s="5" t="n">
        <v>46195.8479166667</v>
      </c>
      <c r="S683" s="3" t="s">
        <v>37</v>
      </c>
      <c r="T683" s="7" t="n">
        <f aca="false">ROUND(MIN(IF(OR(O683=TRUE(),O683="TRUE",O683="Yes"),59,100),(I683*Rubric!$C$2+J683*Rubric!$C$3+K683*Rubric!$C$4+L683*Rubric!$C$5+M683*Rubric!$C$6+N683*Rubric!$C$7)/5),1)</f>
        <v>84</v>
      </c>
      <c r="U683" s="8" t="str">
        <f aca="false">LOOKUP(T683,Bands!$A$2:$A$6,Bands!$B$2:$B$6)</f>
        <v>Solid Performance</v>
      </c>
      <c r="V683" s="8" t="n">
        <f aca="false">IF(Q683="","",ROUND((Q683-B683)*24,1))</f>
        <v>72</v>
      </c>
    </row>
    <row r="684" customFormat="false" ht="15" hidden="false" customHeight="false" outlineLevel="0" collapsed="false">
      <c r="A684" s="3" t="s">
        <v>1499</v>
      </c>
      <c r="B684" s="5" t="n">
        <v>46191.5493055556</v>
      </c>
      <c r="C684" s="3" t="s">
        <v>39</v>
      </c>
      <c r="D684" s="3" t="s">
        <v>194</v>
      </c>
      <c r="E684" s="3" t="s">
        <v>195</v>
      </c>
      <c r="F684" s="3" t="s">
        <v>53</v>
      </c>
      <c r="G684" s="3" t="s">
        <v>42</v>
      </c>
      <c r="H684" s="3" t="s">
        <v>1500</v>
      </c>
      <c r="I684" s="3" t="n">
        <v>4</v>
      </c>
      <c r="J684" s="3" t="n">
        <v>4</v>
      </c>
      <c r="K684" s="3" t="n">
        <v>5</v>
      </c>
      <c r="L684" s="3" t="n">
        <v>4</v>
      </c>
      <c r="M684" s="3" t="n">
        <v>4</v>
      </c>
      <c r="N684" s="3" t="n">
        <v>5</v>
      </c>
      <c r="O684" s="6" t="b">
        <f aca="false">FALSE()</f>
        <v>0</v>
      </c>
      <c r="P684" s="3"/>
      <c r="Q684" s="5" t="n">
        <v>46196.5493055556</v>
      </c>
      <c r="R684" s="5" t="n">
        <v>46198.5423611111</v>
      </c>
      <c r="S684" s="3" t="s">
        <v>37</v>
      </c>
      <c r="T684" s="7" t="n">
        <f aca="false">ROUND(MIN(IF(OR(O684=TRUE(),O684="TRUE",O684="Yes"),59,100),(I684*Rubric!$C$2+J684*Rubric!$C$3+K684*Rubric!$C$4+L684*Rubric!$C$5+M684*Rubric!$C$6+N684*Rubric!$C$7)/5),1)</f>
        <v>87</v>
      </c>
      <c r="U684" s="8" t="str">
        <f aca="false">LOOKUP(T684,Bands!$A$2:$A$6,Bands!$B$2:$B$6)</f>
        <v>Solid Performance</v>
      </c>
      <c r="V684" s="8" t="n">
        <f aca="false">IF(Q684="","",ROUND((Q684-B684)*24,1))</f>
        <v>120</v>
      </c>
    </row>
    <row r="685" customFormat="false" ht="15" hidden="false" customHeight="false" outlineLevel="0" collapsed="false">
      <c r="A685" s="3" t="s">
        <v>1501</v>
      </c>
      <c r="B685" s="5" t="n">
        <v>46191.5875</v>
      </c>
      <c r="C685" s="3" t="s">
        <v>68</v>
      </c>
      <c r="D685" s="3" t="s">
        <v>486</v>
      </c>
      <c r="E685" s="3" t="s">
        <v>487</v>
      </c>
      <c r="F685" s="3" t="s">
        <v>65</v>
      </c>
      <c r="G685" s="3" t="s">
        <v>34</v>
      </c>
      <c r="H685" s="3" t="s">
        <v>1502</v>
      </c>
      <c r="I685" s="3" t="n">
        <v>5</v>
      </c>
      <c r="J685" s="3" t="n">
        <v>3</v>
      </c>
      <c r="K685" s="3" t="n">
        <v>5</v>
      </c>
      <c r="L685" s="3" t="n">
        <v>4</v>
      </c>
      <c r="M685" s="3" t="n">
        <v>4</v>
      </c>
      <c r="N685" s="3" t="n">
        <v>4</v>
      </c>
      <c r="O685" s="6" t="b">
        <f aca="false">FALSE()</f>
        <v>0</v>
      </c>
      <c r="P685" s="3"/>
      <c r="Q685" s="5" t="n">
        <v>46196.5875</v>
      </c>
      <c r="R685" s="5" t="n">
        <v>46196.7284722222</v>
      </c>
      <c r="S685" s="3" t="s">
        <v>37</v>
      </c>
      <c r="T685" s="7" t="n">
        <f aca="false">ROUND(MIN(IF(OR(O685=TRUE(),O685="TRUE",O685="Yes"),59,100),(I685*Rubric!$C$2+J685*Rubric!$C$3+K685*Rubric!$C$4+L685*Rubric!$C$5+M685*Rubric!$C$6+N685*Rubric!$C$7)/5),1)</f>
        <v>82</v>
      </c>
      <c r="U685" s="8" t="str">
        <f aca="false">LOOKUP(T685,Bands!$A$2:$A$6,Bands!$B$2:$B$6)</f>
        <v>Solid Performance</v>
      </c>
      <c r="V685" s="8" t="n">
        <f aca="false">IF(Q685="","",ROUND((Q685-B685)*24,1))</f>
        <v>120</v>
      </c>
    </row>
    <row r="686" customFormat="false" ht="15" hidden="false" customHeight="false" outlineLevel="0" collapsed="false">
      <c r="A686" s="3" t="s">
        <v>1503</v>
      </c>
      <c r="B686" s="5" t="n">
        <v>46192.6930555556</v>
      </c>
      <c r="C686" s="3" t="s">
        <v>30</v>
      </c>
      <c r="D686" s="3" t="s">
        <v>145</v>
      </c>
      <c r="E686" s="3" t="s">
        <v>146</v>
      </c>
      <c r="F686" s="3" t="s">
        <v>33</v>
      </c>
      <c r="G686" s="3" t="s">
        <v>34</v>
      </c>
      <c r="H686" s="3" t="s">
        <v>1504</v>
      </c>
      <c r="I686" s="3" t="n">
        <v>4</v>
      </c>
      <c r="J686" s="3" t="n">
        <v>2</v>
      </c>
      <c r="K686" s="3" t="n">
        <v>4</v>
      </c>
      <c r="L686" s="3" t="n">
        <v>4</v>
      </c>
      <c r="M686" s="3" t="n">
        <v>4</v>
      </c>
      <c r="N686" s="3" t="n">
        <v>3</v>
      </c>
      <c r="O686" s="6" t="b">
        <f aca="false">FALSE()</f>
        <v>0</v>
      </c>
      <c r="P686" s="3" t="s">
        <v>56</v>
      </c>
      <c r="Q686" s="5" t="n">
        <v>46201.6930555556</v>
      </c>
      <c r="R686" s="5" t="n">
        <v>46202.0236111111</v>
      </c>
      <c r="S686" s="3" t="s">
        <v>37</v>
      </c>
      <c r="T686" s="7" t="n">
        <f aca="false">ROUND(MIN(IF(OR(O686=TRUE(),O686="TRUE",O686="Yes"),59,100),(I686*Rubric!$C$2+J686*Rubric!$C$3+K686*Rubric!$C$4+L686*Rubric!$C$5+M686*Rubric!$C$6+N686*Rubric!$C$7)/5),1)</f>
        <v>67</v>
      </c>
      <c r="U686" s="8" t="str">
        <f aca="false">LOOKUP(T686,Bands!$A$2:$A$6,Bands!$B$2:$B$6)</f>
        <v>Needs Improvement</v>
      </c>
      <c r="V686" s="8" t="n">
        <f aca="false">IF(Q686="","",ROUND((Q686-B686)*24,1))</f>
        <v>216</v>
      </c>
    </row>
    <row r="687" customFormat="false" ht="15" hidden="false" customHeight="false" outlineLevel="0" collapsed="false">
      <c r="A687" s="3" t="s">
        <v>1505</v>
      </c>
      <c r="B687" s="5" t="n">
        <v>46192.3861111111</v>
      </c>
      <c r="C687" s="3" t="s">
        <v>39</v>
      </c>
      <c r="D687" s="3" t="s">
        <v>307</v>
      </c>
      <c r="E687" s="3" t="s">
        <v>308</v>
      </c>
      <c r="F687" s="3" t="s">
        <v>33</v>
      </c>
      <c r="G687" s="3" t="s">
        <v>54</v>
      </c>
      <c r="H687" s="3" t="s">
        <v>1506</v>
      </c>
      <c r="I687" s="3" t="n">
        <v>5</v>
      </c>
      <c r="J687" s="3" t="n">
        <v>3</v>
      </c>
      <c r="K687" s="3" t="n">
        <v>5</v>
      </c>
      <c r="L687" s="3" t="n">
        <v>5</v>
      </c>
      <c r="M687" s="3" t="n">
        <v>4</v>
      </c>
      <c r="N687" s="3" t="n">
        <v>5</v>
      </c>
      <c r="O687" s="6" t="b">
        <f aca="false">FALSE()</f>
        <v>0</v>
      </c>
      <c r="P687" s="3"/>
      <c r="Q687" s="5" t="n">
        <v>46199.3861111111</v>
      </c>
      <c r="R687" s="5" t="n">
        <v>46201.1416666667</v>
      </c>
      <c r="S687" s="3" t="s">
        <v>37</v>
      </c>
      <c r="T687" s="7" t="n">
        <f aca="false">ROUND(MIN(IF(OR(O687=TRUE(),O687="TRUE",O687="Yes"),59,100),(I687*Rubric!$C$2+J687*Rubric!$C$3+K687*Rubric!$C$4+L687*Rubric!$C$5+M687*Rubric!$C$6+N687*Rubric!$C$7)/5),1)</f>
        <v>88</v>
      </c>
      <c r="U687" s="8" t="str">
        <f aca="false">LOOKUP(T687,Bands!$A$2:$A$6,Bands!$B$2:$B$6)</f>
        <v>Solid Performance</v>
      </c>
      <c r="V687" s="8" t="n">
        <f aca="false">IF(Q687="","",ROUND((Q687-B687)*24,1))</f>
        <v>168</v>
      </c>
    </row>
    <row r="688" customFormat="false" ht="15" hidden="false" customHeight="false" outlineLevel="0" collapsed="false">
      <c r="A688" s="3" t="s">
        <v>1507</v>
      </c>
      <c r="B688" s="5" t="n">
        <v>46192.4590277778</v>
      </c>
      <c r="C688" s="3" t="s">
        <v>39</v>
      </c>
      <c r="D688" s="3" t="s">
        <v>105</v>
      </c>
      <c r="E688" s="3" t="s">
        <v>106</v>
      </c>
      <c r="F688" s="3" t="s">
        <v>65</v>
      </c>
      <c r="G688" s="3" t="s">
        <v>34</v>
      </c>
      <c r="H688" s="3" t="s">
        <v>1508</v>
      </c>
      <c r="I688" s="3" t="n">
        <v>3</v>
      </c>
      <c r="J688" s="3" t="n">
        <v>2</v>
      </c>
      <c r="K688" s="3" t="n">
        <v>5</v>
      </c>
      <c r="L688" s="3" t="n">
        <v>5</v>
      </c>
      <c r="M688" s="3" t="n">
        <v>3</v>
      </c>
      <c r="N688" s="3" t="n">
        <v>4</v>
      </c>
      <c r="O688" s="6" t="b">
        <f aca="false">FALSE()</f>
        <v>0</v>
      </c>
      <c r="P688" s="3" t="s">
        <v>56</v>
      </c>
      <c r="Q688" s="5" t="n">
        <v>46198.4590277778</v>
      </c>
      <c r="R688" s="5" t="n">
        <v>46199.2986111111</v>
      </c>
      <c r="S688" s="3" t="s">
        <v>37</v>
      </c>
      <c r="T688" s="7" t="n">
        <f aca="false">ROUND(MIN(IF(OR(O688=TRUE(),O688="TRUE",O688="Yes"),59,100),(I688*Rubric!$C$2+J688*Rubric!$C$3+K688*Rubric!$C$4+L688*Rubric!$C$5+M688*Rubric!$C$6+N688*Rubric!$C$7)/5),1)</f>
        <v>72</v>
      </c>
      <c r="U688" s="8" t="str">
        <f aca="false">LOOKUP(T688,Bands!$A$2:$A$6,Bands!$B$2:$B$6)</f>
        <v>Meets Expectations</v>
      </c>
      <c r="V688" s="8" t="n">
        <f aca="false">IF(Q688="","",ROUND((Q688-B688)*24,1))</f>
        <v>144</v>
      </c>
    </row>
    <row r="689" customFormat="false" ht="15" hidden="false" customHeight="false" outlineLevel="0" collapsed="false">
      <c r="A689" s="3" t="s">
        <v>1509</v>
      </c>
      <c r="B689" s="5" t="n">
        <v>46192.7076388889</v>
      </c>
      <c r="C689" s="3" t="s">
        <v>68</v>
      </c>
      <c r="D689" s="3" t="s">
        <v>198</v>
      </c>
      <c r="E689" s="3" t="s">
        <v>199</v>
      </c>
      <c r="F689" s="3" t="s">
        <v>33</v>
      </c>
      <c r="G689" s="3" t="s">
        <v>42</v>
      </c>
      <c r="H689" s="3" t="s">
        <v>1510</v>
      </c>
      <c r="I689" s="3" t="n">
        <v>4</v>
      </c>
      <c r="J689" s="3" t="n">
        <v>3</v>
      </c>
      <c r="K689" s="3" t="n">
        <v>3</v>
      </c>
      <c r="L689" s="3" t="n">
        <v>4</v>
      </c>
      <c r="M689" s="3" t="n">
        <v>4</v>
      </c>
      <c r="N689" s="3" t="n">
        <v>4</v>
      </c>
      <c r="O689" s="6" t="b">
        <f aca="false">FALSE()</f>
        <v>0</v>
      </c>
      <c r="P689" s="3"/>
      <c r="Q689" s="5" t="n">
        <v>46197.7076388889</v>
      </c>
      <c r="R689" s="5" t="n">
        <v>46199.5013888889</v>
      </c>
      <c r="S689" s="3" t="s">
        <v>37</v>
      </c>
      <c r="T689" s="7" t="n">
        <f aca="false">ROUND(MIN(IF(OR(O689=TRUE(),O689="TRUE",O689="Yes"),59,100),(I689*Rubric!$C$2+J689*Rubric!$C$3+K689*Rubric!$C$4+L689*Rubric!$C$5+M689*Rubric!$C$6+N689*Rubric!$C$7)/5),1)</f>
        <v>71</v>
      </c>
      <c r="U689" s="8" t="str">
        <f aca="false">LOOKUP(T689,Bands!$A$2:$A$6,Bands!$B$2:$B$6)</f>
        <v>Meets Expectations</v>
      </c>
      <c r="V689" s="8" t="n">
        <f aca="false">IF(Q689="","",ROUND((Q689-B689)*24,1))</f>
        <v>120</v>
      </c>
    </row>
    <row r="690" customFormat="false" ht="15" hidden="false" customHeight="false" outlineLevel="0" collapsed="false">
      <c r="A690" s="3" t="s">
        <v>1511</v>
      </c>
      <c r="B690" s="5" t="n">
        <v>46192.4680555556</v>
      </c>
      <c r="C690" s="3" t="s">
        <v>68</v>
      </c>
      <c r="D690" s="3" t="s">
        <v>125</v>
      </c>
      <c r="E690" s="3" t="s">
        <v>126</v>
      </c>
      <c r="F690" s="3" t="s">
        <v>53</v>
      </c>
      <c r="G690" s="3" t="s">
        <v>54</v>
      </c>
      <c r="H690" s="3" t="s">
        <v>1512</v>
      </c>
      <c r="I690" s="3" t="n">
        <v>4</v>
      </c>
      <c r="J690" s="3" t="n">
        <v>4</v>
      </c>
      <c r="K690" s="3" t="n">
        <v>5</v>
      </c>
      <c r="L690" s="3" t="n">
        <v>3</v>
      </c>
      <c r="M690" s="3" t="n">
        <v>4</v>
      </c>
      <c r="N690" s="3" t="n">
        <v>5</v>
      </c>
      <c r="O690" s="6" t="b">
        <f aca="false">FALSE()</f>
        <v>0</v>
      </c>
      <c r="P690" s="3"/>
      <c r="Q690" s="5" t="n">
        <v>46198.4680555556</v>
      </c>
      <c r="R690" s="5" t="n">
        <v>46200.7701388889</v>
      </c>
      <c r="S690" s="3" t="s">
        <v>37</v>
      </c>
      <c r="T690" s="7" t="n">
        <f aca="false">ROUND(MIN(IF(OR(O690=TRUE(),O690="TRUE",O690="Yes"),59,100),(I690*Rubric!$C$2+J690*Rubric!$C$3+K690*Rubric!$C$4+L690*Rubric!$C$5+M690*Rubric!$C$6+N690*Rubric!$C$7)/5),1)</f>
        <v>84</v>
      </c>
      <c r="U690" s="8" t="str">
        <f aca="false">LOOKUP(T690,Bands!$A$2:$A$6,Bands!$B$2:$B$6)</f>
        <v>Solid Performance</v>
      </c>
      <c r="V690" s="8" t="n">
        <f aca="false">IF(Q690="","",ROUND((Q690-B690)*24,1))</f>
        <v>144</v>
      </c>
    </row>
    <row r="691" customFormat="false" ht="15" hidden="false" customHeight="false" outlineLevel="0" collapsed="false">
      <c r="A691" s="3" t="s">
        <v>1513</v>
      </c>
      <c r="B691" s="5" t="n">
        <v>46192.6611111111</v>
      </c>
      <c r="C691" s="3" t="s">
        <v>30</v>
      </c>
      <c r="D691" s="3" t="s">
        <v>228</v>
      </c>
      <c r="E691" s="3" t="s">
        <v>229</v>
      </c>
      <c r="F691" s="3" t="s">
        <v>65</v>
      </c>
      <c r="G691" s="3" t="s">
        <v>42</v>
      </c>
      <c r="H691" s="3" t="s">
        <v>1514</v>
      </c>
      <c r="I691" s="3" t="n">
        <v>4</v>
      </c>
      <c r="J691" s="3" t="n">
        <v>3</v>
      </c>
      <c r="K691" s="3" t="n">
        <v>4</v>
      </c>
      <c r="L691" s="3" t="n">
        <v>2</v>
      </c>
      <c r="M691" s="3" t="n">
        <v>4</v>
      </c>
      <c r="N691" s="3" t="n">
        <v>3</v>
      </c>
      <c r="O691" s="6" t="b">
        <f aca="false">FALSE()</f>
        <v>0</v>
      </c>
      <c r="P691" s="3" t="s">
        <v>44</v>
      </c>
      <c r="Q691" s="5" t="n">
        <v>46195.6611111111</v>
      </c>
      <c r="R691" s="5" t="n">
        <v>46195.9201388889</v>
      </c>
      <c r="S691" s="3" t="s">
        <v>37</v>
      </c>
      <c r="T691" s="7" t="n">
        <f aca="false">ROUND(MIN(IF(OR(O691=TRUE(),O691="TRUE",O691="Yes"),59,100),(I691*Rubric!$C$2+J691*Rubric!$C$3+K691*Rubric!$C$4+L691*Rubric!$C$5+M691*Rubric!$C$6+N691*Rubric!$C$7)/5),1)</f>
        <v>66</v>
      </c>
      <c r="U691" s="8" t="str">
        <f aca="false">LOOKUP(T691,Bands!$A$2:$A$6,Bands!$B$2:$B$6)</f>
        <v>Needs Improvement</v>
      </c>
      <c r="V691" s="8" t="n">
        <f aca="false">IF(Q691="","",ROUND((Q691-B691)*24,1))</f>
        <v>72</v>
      </c>
    </row>
    <row r="692" customFormat="false" ht="15" hidden="false" customHeight="false" outlineLevel="0" collapsed="false">
      <c r="A692" s="3" t="s">
        <v>1515</v>
      </c>
      <c r="B692" s="5" t="n">
        <v>46192.3826388889</v>
      </c>
      <c r="C692" s="3" t="s">
        <v>68</v>
      </c>
      <c r="D692" s="3" t="s">
        <v>238</v>
      </c>
      <c r="E692" s="3" t="s">
        <v>239</v>
      </c>
      <c r="F692" s="3" t="s">
        <v>33</v>
      </c>
      <c r="G692" s="3" t="s">
        <v>54</v>
      </c>
      <c r="H692" s="3" t="s">
        <v>1516</v>
      </c>
      <c r="I692" s="3" t="n">
        <v>4</v>
      </c>
      <c r="J692" s="3" t="n">
        <v>4</v>
      </c>
      <c r="K692" s="3" t="n">
        <v>4</v>
      </c>
      <c r="L692" s="3" t="n">
        <v>4</v>
      </c>
      <c r="M692" s="3" t="n">
        <v>4</v>
      </c>
      <c r="N692" s="3" t="n">
        <v>5</v>
      </c>
      <c r="O692" s="6" t="b">
        <f aca="false">FALSE()</f>
        <v>0</v>
      </c>
      <c r="P692" s="3"/>
      <c r="Q692" s="5" t="n">
        <v>46195.3826388889</v>
      </c>
      <c r="R692" s="5" t="n">
        <v>46198.5486111111</v>
      </c>
      <c r="S692" s="3" t="s">
        <v>37</v>
      </c>
      <c r="T692" s="7" t="n">
        <f aca="false">ROUND(MIN(IF(OR(O692=TRUE(),O692="TRUE",O692="Yes"),59,100),(I692*Rubric!$C$2+J692*Rubric!$C$3+K692*Rubric!$C$4+L692*Rubric!$C$5+M692*Rubric!$C$6+N692*Rubric!$C$7)/5),1)</f>
        <v>83</v>
      </c>
      <c r="U692" s="8" t="str">
        <f aca="false">LOOKUP(T692,Bands!$A$2:$A$6,Bands!$B$2:$B$6)</f>
        <v>Solid Performance</v>
      </c>
      <c r="V692" s="8" t="n">
        <f aca="false">IF(Q692="","",ROUND((Q692-B692)*24,1))</f>
        <v>72</v>
      </c>
    </row>
    <row r="693" customFormat="false" ht="15" hidden="false" customHeight="false" outlineLevel="0" collapsed="false">
      <c r="A693" s="3" t="s">
        <v>1517</v>
      </c>
      <c r="B693" s="5" t="n">
        <v>46192.4208333333</v>
      </c>
      <c r="C693" s="3" t="s">
        <v>68</v>
      </c>
      <c r="D693" s="3" t="s">
        <v>366</v>
      </c>
      <c r="E693" s="3" t="s">
        <v>367</v>
      </c>
      <c r="F693" s="3" t="s">
        <v>53</v>
      </c>
      <c r="G693" s="3" t="s">
        <v>54</v>
      </c>
      <c r="H693" s="3" t="s">
        <v>1518</v>
      </c>
      <c r="I693" s="3" t="n">
        <v>5</v>
      </c>
      <c r="J693" s="3" t="n">
        <v>4</v>
      </c>
      <c r="K693" s="3" t="n">
        <v>2</v>
      </c>
      <c r="L693" s="3" t="n">
        <v>5</v>
      </c>
      <c r="M693" s="3" t="n">
        <v>4</v>
      </c>
      <c r="N693" s="3" t="n">
        <v>4</v>
      </c>
      <c r="O693" s="6" t="b">
        <f aca="false">FALSE()</f>
        <v>0</v>
      </c>
      <c r="P693" s="3" t="s">
        <v>49</v>
      </c>
      <c r="Q693" s="5" t="n">
        <v>46196.4208333333</v>
      </c>
      <c r="R693" s="5" t="n">
        <v>46197.6236111111</v>
      </c>
      <c r="S693" s="3" t="s">
        <v>37</v>
      </c>
      <c r="T693" s="7" t="n">
        <f aca="false">ROUND(MIN(IF(OR(O693=TRUE(),O693="TRUE",O693="Yes"),59,100),(I693*Rubric!$C$2+J693*Rubric!$C$3+K693*Rubric!$C$4+L693*Rubric!$C$5+M693*Rubric!$C$6+N693*Rubric!$C$7)/5),1)</f>
        <v>78</v>
      </c>
      <c r="U693" s="8" t="str">
        <f aca="false">LOOKUP(T693,Bands!$A$2:$A$6,Bands!$B$2:$B$6)</f>
        <v>Meets Expectations</v>
      </c>
      <c r="V693" s="8" t="n">
        <f aca="false">IF(Q693="","",ROUND((Q693-B693)*24,1))</f>
        <v>96</v>
      </c>
    </row>
    <row r="694" customFormat="false" ht="15" hidden="false" customHeight="false" outlineLevel="0" collapsed="false">
      <c r="A694" s="3" t="s">
        <v>1519</v>
      </c>
      <c r="B694" s="5" t="n">
        <v>46192.7048611111</v>
      </c>
      <c r="C694" s="3" t="s">
        <v>68</v>
      </c>
      <c r="D694" s="3" t="s">
        <v>265</v>
      </c>
      <c r="E694" s="3" t="s">
        <v>266</v>
      </c>
      <c r="F694" s="3" t="s">
        <v>33</v>
      </c>
      <c r="G694" s="3" t="s">
        <v>42</v>
      </c>
      <c r="H694" s="3" t="s">
        <v>1520</v>
      </c>
      <c r="I694" s="3" t="n">
        <v>3</v>
      </c>
      <c r="J694" s="3" t="n">
        <v>1</v>
      </c>
      <c r="K694" s="3" t="n">
        <v>4</v>
      </c>
      <c r="L694" s="3" t="n">
        <v>2</v>
      </c>
      <c r="M694" s="3" t="n">
        <v>4</v>
      </c>
      <c r="N694" s="3" t="n">
        <v>4</v>
      </c>
      <c r="O694" s="6" t="b">
        <f aca="false">FALSE()</f>
        <v>0</v>
      </c>
      <c r="P694" s="3" t="s">
        <v>1521</v>
      </c>
      <c r="Q694" s="5" t="n">
        <v>46197.7048611111</v>
      </c>
      <c r="R694" s="5" t="n">
        <v>46203.6708333333</v>
      </c>
      <c r="S694" s="3" t="s">
        <v>37</v>
      </c>
      <c r="T694" s="7" t="n">
        <f aca="false">ROUND(MIN(IF(OR(O694=TRUE(),O694="TRUE",O694="Yes"),59,100),(I694*Rubric!$C$2+J694*Rubric!$C$3+K694*Rubric!$C$4+L694*Rubric!$C$5+M694*Rubric!$C$6+N694*Rubric!$C$7)/5),1)</f>
        <v>56</v>
      </c>
      <c r="U694" s="8" t="str">
        <f aca="false">LOOKUP(T694,Bands!$A$2:$A$6,Bands!$B$2:$B$6)</f>
        <v>Critical</v>
      </c>
      <c r="V694" s="8" t="n">
        <f aca="false">IF(Q694="","",ROUND((Q694-B694)*24,1))</f>
        <v>120</v>
      </c>
    </row>
    <row r="695" customFormat="false" ht="15" hidden="false" customHeight="false" outlineLevel="0" collapsed="false">
      <c r="A695" s="3" t="s">
        <v>1522</v>
      </c>
      <c r="B695" s="5" t="n">
        <v>46192.5506944444</v>
      </c>
      <c r="C695" s="3" t="s">
        <v>39</v>
      </c>
      <c r="D695" s="3" t="s">
        <v>73</v>
      </c>
      <c r="E695" s="3" t="s">
        <v>74</v>
      </c>
      <c r="F695" s="3" t="s">
        <v>33</v>
      </c>
      <c r="G695" s="3" t="s">
        <v>42</v>
      </c>
      <c r="H695" s="3" t="s">
        <v>1523</v>
      </c>
      <c r="I695" s="3" t="n">
        <v>5</v>
      </c>
      <c r="J695" s="3" t="n">
        <v>5</v>
      </c>
      <c r="K695" s="3" t="n">
        <v>4</v>
      </c>
      <c r="L695" s="3" t="n">
        <v>5</v>
      </c>
      <c r="M695" s="3" t="n">
        <v>4</v>
      </c>
      <c r="N695" s="3" t="n">
        <v>4</v>
      </c>
      <c r="O695" s="6" t="b">
        <f aca="false">FALSE()</f>
        <v>0</v>
      </c>
      <c r="P695" s="3"/>
      <c r="Q695" s="5" t="n">
        <v>46199.5506944444</v>
      </c>
      <c r="R695" s="5" t="n">
        <v>46199.95</v>
      </c>
      <c r="S695" s="3" t="s">
        <v>37</v>
      </c>
      <c r="T695" s="7" t="n">
        <f aca="false">ROUND(MIN(IF(OR(O695=TRUE(),O695="TRUE",O695="Yes"),59,100),(I695*Rubric!$C$2+J695*Rubric!$C$3+K695*Rubric!$C$4+L695*Rubric!$C$5+M695*Rubric!$C$6+N695*Rubric!$C$7)/5),1)</f>
        <v>91</v>
      </c>
      <c r="U695" s="8" t="str">
        <f aca="false">LOOKUP(T695,Bands!$A$2:$A$6,Bands!$B$2:$B$6)</f>
        <v>Outstanding</v>
      </c>
      <c r="V695" s="8" t="n">
        <f aca="false">IF(Q695="","",ROUND((Q695-B695)*24,1))</f>
        <v>168</v>
      </c>
    </row>
    <row r="696" customFormat="false" ht="15" hidden="false" customHeight="false" outlineLevel="0" collapsed="false">
      <c r="A696" s="3" t="s">
        <v>1524</v>
      </c>
      <c r="B696" s="5" t="n">
        <v>46192.5465277778</v>
      </c>
      <c r="C696" s="3" t="s">
        <v>39</v>
      </c>
      <c r="D696" s="3" t="s">
        <v>133</v>
      </c>
      <c r="E696" s="3" t="s">
        <v>134</v>
      </c>
      <c r="F696" s="3" t="s">
        <v>33</v>
      </c>
      <c r="G696" s="3" t="s">
        <v>42</v>
      </c>
      <c r="H696" s="3" t="s">
        <v>1525</v>
      </c>
      <c r="I696" s="3" t="n">
        <v>5</v>
      </c>
      <c r="J696" s="3" t="n">
        <v>1</v>
      </c>
      <c r="K696" s="3" t="n">
        <v>5</v>
      </c>
      <c r="L696" s="3" t="n">
        <v>5</v>
      </c>
      <c r="M696" s="3" t="n">
        <v>5</v>
      </c>
      <c r="N696" s="3" t="n">
        <v>5</v>
      </c>
      <c r="O696" s="6" t="b">
        <f aca="false">FALSE()</f>
        <v>0</v>
      </c>
      <c r="P696" s="3" t="s">
        <v>56</v>
      </c>
      <c r="Q696" s="5" t="n">
        <v>46197.5465277778</v>
      </c>
      <c r="R696" s="5" t="n">
        <v>46197.8958333333</v>
      </c>
      <c r="S696" s="3" t="s">
        <v>37</v>
      </c>
      <c r="T696" s="7" t="n">
        <f aca="false">ROUND(MIN(IF(OR(O696=TRUE(),O696="TRUE",O696="Yes"),59,100),(I696*Rubric!$C$2+J696*Rubric!$C$3+K696*Rubric!$C$4+L696*Rubric!$C$5+M696*Rubric!$C$6+N696*Rubric!$C$7)/5),1)</f>
        <v>80</v>
      </c>
      <c r="U696" s="8" t="str">
        <f aca="false">LOOKUP(T696,Bands!$A$2:$A$6,Bands!$B$2:$B$6)</f>
        <v>Solid Performance</v>
      </c>
      <c r="V696" s="8" t="n">
        <f aca="false">IF(Q696="","",ROUND((Q696-B696)*24,1))</f>
        <v>120</v>
      </c>
    </row>
    <row r="697" customFormat="false" ht="15" hidden="false" customHeight="false" outlineLevel="0" collapsed="false">
      <c r="A697" s="3" t="s">
        <v>1526</v>
      </c>
      <c r="B697" s="5" t="n">
        <v>46192.6159722222</v>
      </c>
      <c r="C697" s="3" t="s">
        <v>68</v>
      </c>
      <c r="D697" s="3" t="s">
        <v>194</v>
      </c>
      <c r="E697" s="3" t="s">
        <v>195</v>
      </c>
      <c r="F697" s="3" t="s">
        <v>53</v>
      </c>
      <c r="G697" s="3" t="s">
        <v>42</v>
      </c>
      <c r="H697" s="3" t="s">
        <v>1527</v>
      </c>
      <c r="I697" s="3" t="n">
        <v>4</v>
      </c>
      <c r="J697" s="3" t="n">
        <v>3</v>
      </c>
      <c r="K697" s="3" t="n">
        <v>3</v>
      </c>
      <c r="L697" s="3" t="n">
        <v>3</v>
      </c>
      <c r="M697" s="3" t="n">
        <v>4</v>
      </c>
      <c r="N697" s="3" t="n">
        <v>4</v>
      </c>
      <c r="O697" s="6" t="b">
        <f aca="false">FALSE()</f>
        <v>0</v>
      </c>
      <c r="P697" s="3"/>
      <c r="Q697" s="5" t="n">
        <v>46199.6159722222</v>
      </c>
      <c r="R697" s="5" t="n">
        <v>46200.1951388889</v>
      </c>
      <c r="S697" s="3" t="s">
        <v>37</v>
      </c>
      <c r="T697" s="7" t="n">
        <f aca="false">ROUND(MIN(IF(OR(O697=TRUE(),O697="TRUE",O697="Yes"),59,100),(I697*Rubric!$C$2+J697*Rubric!$C$3+K697*Rubric!$C$4+L697*Rubric!$C$5+M697*Rubric!$C$6+N697*Rubric!$C$7)/5),1)</f>
        <v>68</v>
      </c>
      <c r="U697" s="8" t="str">
        <f aca="false">LOOKUP(T697,Bands!$A$2:$A$6,Bands!$B$2:$B$6)</f>
        <v>Needs Improvement</v>
      </c>
      <c r="V697" s="8" t="n">
        <f aca="false">IF(Q697="","",ROUND((Q697-B697)*24,1))</f>
        <v>168</v>
      </c>
    </row>
    <row r="698" customFormat="false" ht="15" hidden="false" customHeight="false" outlineLevel="0" collapsed="false">
      <c r="A698" s="3" t="s">
        <v>1528</v>
      </c>
      <c r="B698" s="5" t="n">
        <v>46195.5111111111</v>
      </c>
      <c r="C698" s="3" t="s">
        <v>39</v>
      </c>
      <c r="D698" s="3" t="s">
        <v>155</v>
      </c>
      <c r="E698" s="3" t="s">
        <v>156</v>
      </c>
      <c r="F698" s="3" t="s">
        <v>65</v>
      </c>
      <c r="G698" s="3" t="s">
        <v>42</v>
      </c>
      <c r="H698" s="3" t="s">
        <v>1529</v>
      </c>
      <c r="I698" s="3" t="n">
        <v>3</v>
      </c>
      <c r="J698" s="3" t="n">
        <v>3</v>
      </c>
      <c r="K698" s="3" t="n">
        <v>5</v>
      </c>
      <c r="L698" s="3" t="n">
        <v>5</v>
      </c>
      <c r="M698" s="3" t="n">
        <v>5</v>
      </c>
      <c r="N698" s="3" t="n">
        <v>4</v>
      </c>
      <c r="O698" s="6" t="b">
        <f aca="false">FALSE()</f>
        <v>0</v>
      </c>
      <c r="P698" s="3"/>
      <c r="Q698" s="5" t="n">
        <v>46207.5111111111</v>
      </c>
      <c r="R698" s="5" t="n">
        <v>46208.1027777778</v>
      </c>
      <c r="S698" s="3" t="s">
        <v>37</v>
      </c>
      <c r="T698" s="7" t="n">
        <f aca="false">ROUND(MIN(IF(OR(O698=TRUE(),O698="TRUE",O698="Yes"),59,100),(I698*Rubric!$C$2+J698*Rubric!$C$3+K698*Rubric!$C$4+L698*Rubric!$C$5+M698*Rubric!$C$6+N698*Rubric!$C$7)/5),1)</f>
        <v>81</v>
      </c>
      <c r="U698" s="8" t="str">
        <f aca="false">LOOKUP(T698,Bands!$A$2:$A$6,Bands!$B$2:$B$6)</f>
        <v>Solid Performance</v>
      </c>
      <c r="V698" s="8" t="n">
        <f aca="false">IF(Q698="","",ROUND((Q698-B698)*24,1))</f>
        <v>288</v>
      </c>
    </row>
    <row r="699" customFormat="false" ht="15" hidden="false" customHeight="false" outlineLevel="0" collapsed="false">
      <c r="A699" s="3" t="s">
        <v>1530</v>
      </c>
      <c r="B699" s="5" t="n">
        <v>46195.6284722222</v>
      </c>
      <c r="C699" s="3" t="s">
        <v>68</v>
      </c>
      <c r="D699" s="3" t="s">
        <v>111</v>
      </c>
      <c r="E699" s="3" t="s">
        <v>112</v>
      </c>
      <c r="F699" s="3" t="s">
        <v>33</v>
      </c>
      <c r="G699" s="3" t="s">
        <v>54</v>
      </c>
      <c r="H699" s="3" t="s">
        <v>1531</v>
      </c>
      <c r="I699" s="3" t="n">
        <v>3</v>
      </c>
      <c r="J699" s="3" t="n">
        <v>5</v>
      </c>
      <c r="K699" s="3" t="n">
        <v>5</v>
      </c>
      <c r="L699" s="3" t="n">
        <v>5</v>
      </c>
      <c r="M699" s="3" t="n">
        <v>3</v>
      </c>
      <c r="N699" s="3" t="n">
        <v>4</v>
      </c>
      <c r="O699" s="6" t="b">
        <f aca="false">FALSE()</f>
        <v>0</v>
      </c>
      <c r="P699" s="3"/>
      <c r="Q699" s="5" t="n">
        <v>46202.6284722222</v>
      </c>
      <c r="R699" s="5" t="n">
        <v>46204.7152777778</v>
      </c>
      <c r="S699" s="3" t="s">
        <v>37</v>
      </c>
      <c r="T699" s="7" t="n">
        <f aca="false">ROUND(MIN(IF(OR(O699=TRUE(),O699="TRUE",O699="Yes"),59,100),(I699*Rubric!$C$2+J699*Rubric!$C$3+K699*Rubric!$C$4+L699*Rubric!$C$5+M699*Rubric!$C$6+N699*Rubric!$C$7)/5),1)</f>
        <v>87</v>
      </c>
      <c r="U699" s="8" t="str">
        <f aca="false">LOOKUP(T699,Bands!$A$2:$A$6,Bands!$B$2:$B$6)</f>
        <v>Solid Performance</v>
      </c>
      <c r="V699" s="8" t="n">
        <f aca="false">IF(Q699="","",ROUND((Q699-B699)*24,1))</f>
        <v>168</v>
      </c>
    </row>
    <row r="700" customFormat="false" ht="15" hidden="false" customHeight="false" outlineLevel="0" collapsed="false">
      <c r="A700" s="3" t="s">
        <v>1532</v>
      </c>
      <c r="B700" s="5" t="n">
        <v>46195.44375</v>
      </c>
      <c r="C700" s="3" t="s">
        <v>30</v>
      </c>
      <c r="D700" s="3" t="s">
        <v>58</v>
      </c>
      <c r="E700" s="3" t="s">
        <v>59</v>
      </c>
      <c r="F700" s="3" t="s">
        <v>53</v>
      </c>
      <c r="G700" s="3" t="s">
        <v>54</v>
      </c>
      <c r="H700" s="3" t="s">
        <v>1533</v>
      </c>
      <c r="I700" s="3" t="n">
        <v>2</v>
      </c>
      <c r="J700" s="3" t="n">
        <v>1</v>
      </c>
      <c r="K700" s="3" t="n">
        <v>2</v>
      </c>
      <c r="L700" s="3" t="n">
        <v>3</v>
      </c>
      <c r="M700" s="3" t="n">
        <v>4</v>
      </c>
      <c r="N700" s="3" t="n">
        <v>3</v>
      </c>
      <c r="O700" s="6" t="b">
        <f aca="false">FALSE()</f>
        <v>0</v>
      </c>
      <c r="P700" s="3" t="s">
        <v>1534</v>
      </c>
      <c r="Q700" s="5" t="n">
        <v>46200.44375</v>
      </c>
      <c r="R700" s="5" t="n">
        <v>46201.1458333333</v>
      </c>
      <c r="S700" s="3" t="s">
        <v>37</v>
      </c>
      <c r="T700" s="7" t="n">
        <f aca="false">ROUND(MIN(IF(OR(O700=TRUE(),O700="TRUE",O700="Yes"),59,100),(I700*Rubric!$C$2+J700*Rubric!$C$3+K700*Rubric!$C$4+L700*Rubric!$C$5+M700*Rubric!$C$6+N700*Rubric!$C$7)/5),1)</f>
        <v>45</v>
      </c>
      <c r="U700" s="8" t="str">
        <f aca="false">LOOKUP(T700,Bands!$A$2:$A$6,Bands!$B$2:$B$6)</f>
        <v>Critical</v>
      </c>
      <c r="V700" s="8" t="n">
        <f aca="false">IF(Q700="","",ROUND((Q700-B700)*24,1))</f>
        <v>120</v>
      </c>
    </row>
    <row r="701" customFormat="false" ht="15" hidden="false" customHeight="false" outlineLevel="0" collapsed="false">
      <c r="A701" s="3" t="s">
        <v>1535</v>
      </c>
      <c r="B701" s="5" t="n">
        <v>46195.4131944445</v>
      </c>
      <c r="C701" s="3" t="s">
        <v>68</v>
      </c>
      <c r="D701" s="3" t="s">
        <v>194</v>
      </c>
      <c r="E701" s="3" t="s">
        <v>195</v>
      </c>
      <c r="F701" s="3" t="s">
        <v>53</v>
      </c>
      <c r="G701" s="3" t="s">
        <v>54</v>
      </c>
      <c r="H701" s="3" t="s">
        <v>1536</v>
      </c>
      <c r="I701" s="3" t="n">
        <v>4</v>
      </c>
      <c r="J701" s="3" t="n">
        <v>4</v>
      </c>
      <c r="K701" s="3" t="n">
        <v>4</v>
      </c>
      <c r="L701" s="3" t="n">
        <v>3</v>
      </c>
      <c r="M701" s="3" t="n">
        <v>4</v>
      </c>
      <c r="N701" s="3" t="n">
        <v>3</v>
      </c>
      <c r="O701" s="6" t="b">
        <f aca="false">FALSE()</f>
        <v>0</v>
      </c>
      <c r="P701" s="3"/>
      <c r="Q701" s="5" t="n">
        <v>46207.4131944445</v>
      </c>
      <c r="R701" s="5" t="n">
        <v>46209.7125</v>
      </c>
      <c r="S701" s="3" t="s">
        <v>37</v>
      </c>
      <c r="T701" s="7" t="n">
        <f aca="false">ROUND(MIN(IF(OR(O701=TRUE(),O701="TRUE",O701="Yes"),59,100),(I701*Rubric!$C$2+J701*Rubric!$C$3+K701*Rubric!$C$4+L701*Rubric!$C$5+M701*Rubric!$C$6+N701*Rubric!$C$7)/5),1)</f>
        <v>74</v>
      </c>
      <c r="U701" s="8" t="str">
        <f aca="false">LOOKUP(T701,Bands!$A$2:$A$6,Bands!$B$2:$B$6)</f>
        <v>Meets Expectations</v>
      </c>
      <c r="V701" s="8" t="n">
        <f aca="false">IF(Q701="","",ROUND((Q701-B701)*24,1))</f>
        <v>288</v>
      </c>
    </row>
    <row r="702" customFormat="false" ht="15" hidden="false" customHeight="false" outlineLevel="0" collapsed="false">
      <c r="A702" s="3" t="s">
        <v>1537</v>
      </c>
      <c r="B702" s="5" t="n">
        <v>46195.4305555556</v>
      </c>
      <c r="C702" s="3" t="s">
        <v>30</v>
      </c>
      <c r="D702" s="3" t="s">
        <v>96</v>
      </c>
      <c r="E702" s="3" t="s">
        <v>97</v>
      </c>
      <c r="F702" s="3" t="s">
        <v>33</v>
      </c>
      <c r="G702" s="3" t="s">
        <v>42</v>
      </c>
      <c r="H702" s="3" t="s">
        <v>1538</v>
      </c>
      <c r="I702" s="3" t="n">
        <v>4</v>
      </c>
      <c r="J702" s="3" t="n">
        <v>2</v>
      </c>
      <c r="K702" s="3" t="n">
        <v>4</v>
      </c>
      <c r="L702" s="3" t="n">
        <v>4</v>
      </c>
      <c r="M702" s="3" t="n">
        <v>5</v>
      </c>
      <c r="N702" s="3" t="n">
        <v>5</v>
      </c>
      <c r="O702" s="6" t="b">
        <f aca="false">FALSE()</f>
        <v>0</v>
      </c>
      <c r="P702" s="3" t="s">
        <v>56</v>
      </c>
      <c r="Q702" s="5" t="n">
        <v>46201.4305555556</v>
      </c>
      <c r="R702" s="5" t="n">
        <v>46202.0583333333</v>
      </c>
      <c r="S702" s="3" t="s">
        <v>37</v>
      </c>
      <c r="T702" s="7" t="n">
        <f aca="false">ROUND(MIN(IF(OR(O702=TRUE(),O702="TRUE",O702="Yes"),59,100),(I702*Rubric!$C$2+J702*Rubric!$C$3+K702*Rubric!$C$4+L702*Rubric!$C$5+M702*Rubric!$C$6+N702*Rubric!$C$7)/5),1)</f>
        <v>75</v>
      </c>
      <c r="U702" s="8" t="str">
        <f aca="false">LOOKUP(T702,Bands!$A$2:$A$6,Bands!$B$2:$B$6)</f>
        <v>Meets Expectations</v>
      </c>
      <c r="V702" s="8" t="n">
        <f aca="false">IF(Q702="","",ROUND((Q702-B702)*24,1))</f>
        <v>144</v>
      </c>
    </row>
    <row r="703" customFormat="false" ht="15" hidden="false" customHeight="false" outlineLevel="0" collapsed="false">
      <c r="A703" s="3" t="s">
        <v>1539</v>
      </c>
      <c r="B703" s="5" t="n">
        <v>46195.4402777778</v>
      </c>
      <c r="C703" s="3" t="s">
        <v>30</v>
      </c>
      <c r="D703" s="3" t="s">
        <v>145</v>
      </c>
      <c r="E703" s="3" t="s">
        <v>146</v>
      </c>
      <c r="F703" s="3" t="s">
        <v>33</v>
      </c>
      <c r="G703" s="3" t="s">
        <v>42</v>
      </c>
      <c r="H703" s="3" t="s">
        <v>1540</v>
      </c>
      <c r="I703" s="3" t="n">
        <v>4</v>
      </c>
      <c r="J703" s="3" t="n">
        <v>3</v>
      </c>
      <c r="K703" s="3" t="n">
        <v>5</v>
      </c>
      <c r="L703" s="3" t="n">
        <v>4</v>
      </c>
      <c r="M703" s="3" t="n">
        <v>4</v>
      </c>
      <c r="N703" s="3" t="n">
        <v>4</v>
      </c>
      <c r="O703" s="6" t="b">
        <f aca="false">FALSE()</f>
        <v>0</v>
      </c>
      <c r="P703" s="3"/>
      <c r="Q703" s="5" t="n">
        <v>46201.4402777778</v>
      </c>
      <c r="R703" s="5" t="n">
        <v>46202.9104166667</v>
      </c>
      <c r="S703" s="3" t="s">
        <v>37</v>
      </c>
      <c r="T703" s="7" t="n">
        <f aca="false">ROUND(MIN(IF(OR(O703=TRUE(),O703="TRUE",O703="Yes"),59,100),(I703*Rubric!$C$2+J703*Rubric!$C$3+K703*Rubric!$C$4+L703*Rubric!$C$5+M703*Rubric!$C$6+N703*Rubric!$C$7)/5),1)</f>
        <v>79</v>
      </c>
      <c r="U703" s="8" t="str">
        <f aca="false">LOOKUP(T703,Bands!$A$2:$A$6,Bands!$B$2:$B$6)</f>
        <v>Meets Expectations</v>
      </c>
      <c r="V703" s="8" t="n">
        <f aca="false">IF(Q703="","",ROUND((Q703-B703)*24,1))</f>
        <v>144</v>
      </c>
    </row>
    <row r="704" customFormat="false" ht="15" hidden="false" customHeight="false" outlineLevel="0" collapsed="false">
      <c r="A704" s="3" t="s">
        <v>1541</v>
      </c>
      <c r="B704" s="5" t="n">
        <v>46195.5201388889</v>
      </c>
      <c r="C704" s="3" t="s">
        <v>30</v>
      </c>
      <c r="D704" s="3" t="s">
        <v>51</v>
      </c>
      <c r="E704" s="3" t="s">
        <v>52</v>
      </c>
      <c r="F704" s="3" t="s">
        <v>53</v>
      </c>
      <c r="G704" s="3" t="s">
        <v>54</v>
      </c>
      <c r="H704" s="3" t="s">
        <v>1542</v>
      </c>
      <c r="I704" s="3" t="n">
        <v>4</v>
      </c>
      <c r="J704" s="3" t="n">
        <v>3</v>
      </c>
      <c r="K704" s="3" t="n">
        <v>4</v>
      </c>
      <c r="L704" s="3" t="n">
        <v>4</v>
      </c>
      <c r="M704" s="3" t="n">
        <v>4</v>
      </c>
      <c r="N704" s="3" t="n">
        <v>3</v>
      </c>
      <c r="O704" s="6" t="b">
        <f aca="false">FALSE()</f>
        <v>0</v>
      </c>
      <c r="P704" s="3"/>
      <c r="Q704" s="5" t="n">
        <v>46200.5201388889</v>
      </c>
      <c r="R704" s="5" t="n">
        <v>46204.5847222222</v>
      </c>
      <c r="S704" s="3" t="s">
        <v>37</v>
      </c>
      <c r="T704" s="7" t="n">
        <f aca="false">ROUND(MIN(IF(OR(O704=TRUE(),O704="TRUE",O704="Yes"),59,100),(I704*Rubric!$C$2+J704*Rubric!$C$3+K704*Rubric!$C$4+L704*Rubric!$C$5+M704*Rubric!$C$6+N704*Rubric!$C$7)/5),1)</f>
        <v>72</v>
      </c>
      <c r="U704" s="8" t="str">
        <f aca="false">LOOKUP(T704,Bands!$A$2:$A$6,Bands!$B$2:$B$6)</f>
        <v>Meets Expectations</v>
      </c>
      <c r="V704" s="8" t="n">
        <f aca="false">IF(Q704="","",ROUND((Q704-B704)*24,1))</f>
        <v>120</v>
      </c>
    </row>
    <row r="705" customFormat="false" ht="15" hidden="false" customHeight="false" outlineLevel="0" collapsed="false">
      <c r="A705" s="3" t="s">
        <v>1543</v>
      </c>
      <c r="B705" s="5" t="n">
        <v>46195.7069444444</v>
      </c>
      <c r="C705" s="3" t="s">
        <v>68</v>
      </c>
      <c r="D705" s="3" t="s">
        <v>85</v>
      </c>
      <c r="E705" s="3" t="s">
        <v>86</v>
      </c>
      <c r="F705" s="3" t="s">
        <v>33</v>
      </c>
      <c r="G705" s="3" t="s">
        <v>42</v>
      </c>
      <c r="H705" s="3" t="s">
        <v>1544</v>
      </c>
      <c r="I705" s="3" t="n">
        <v>3</v>
      </c>
      <c r="J705" s="3" t="n">
        <v>4</v>
      </c>
      <c r="K705" s="3" t="n">
        <v>4</v>
      </c>
      <c r="L705" s="3" t="n">
        <v>4</v>
      </c>
      <c r="M705" s="3" t="n">
        <v>4</v>
      </c>
      <c r="N705" s="3" t="n">
        <v>5</v>
      </c>
      <c r="O705" s="6" t="b">
        <f aca="false">FALSE()</f>
        <v>0</v>
      </c>
      <c r="P705" s="3"/>
      <c r="Q705" s="5" t="n">
        <v>46204.7069444444</v>
      </c>
      <c r="R705" s="5" t="n">
        <v>46207.7979166667</v>
      </c>
      <c r="S705" s="3" t="s">
        <v>37</v>
      </c>
      <c r="T705" s="7" t="n">
        <f aca="false">ROUND(MIN(IF(OR(O705=TRUE(),O705="TRUE",O705="Yes"),59,100),(I705*Rubric!$C$2+J705*Rubric!$C$3+K705*Rubric!$C$4+L705*Rubric!$C$5+M705*Rubric!$C$6+N705*Rubric!$C$7)/5),1)</f>
        <v>80</v>
      </c>
      <c r="U705" s="8" t="str">
        <f aca="false">LOOKUP(T705,Bands!$A$2:$A$6,Bands!$B$2:$B$6)</f>
        <v>Solid Performance</v>
      </c>
      <c r="V705" s="8" t="n">
        <f aca="false">IF(Q705="","",ROUND((Q705-B705)*24,1))</f>
        <v>216</v>
      </c>
    </row>
    <row r="706" customFormat="false" ht="15" hidden="false" customHeight="false" outlineLevel="0" collapsed="false">
      <c r="A706" s="3" t="s">
        <v>1545</v>
      </c>
      <c r="B706" s="5" t="n">
        <v>46195.6097222222</v>
      </c>
      <c r="C706" s="3" t="s">
        <v>39</v>
      </c>
      <c r="D706" s="3" t="s">
        <v>100</v>
      </c>
      <c r="E706" s="3" t="s">
        <v>101</v>
      </c>
      <c r="F706" s="3" t="s">
        <v>33</v>
      </c>
      <c r="G706" s="3" t="s">
        <v>34</v>
      </c>
      <c r="H706" s="3" t="s">
        <v>1546</v>
      </c>
      <c r="I706" s="3" t="n">
        <v>4</v>
      </c>
      <c r="J706" s="3" t="n">
        <v>5</v>
      </c>
      <c r="K706" s="3" t="n">
        <v>4</v>
      </c>
      <c r="L706" s="3" t="n">
        <v>4</v>
      </c>
      <c r="M706" s="3" t="n">
        <v>2</v>
      </c>
      <c r="N706" s="3" t="n">
        <v>5</v>
      </c>
      <c r="O706" s="6" t="b">
        <f aca="false">FALSE()</f>
        <v>0</v>
      </c>
      <c r="P706" s="3" t="s">
        <v>103</v>
      </c>
      <c r="Q706" s="5" t="n">
        <v>46198.6097222222</v>
      </c>
      <c r="R706" s="5" t="n">
        <v>46203.1020833333</v>
      </c>
      <c r="S706" s="3" t="s">
        <v>37</v>
      </c>
      <c r="T706" s="7" t="n">
        <f aca="false">ROUND(MIN(IF(OR(O706=TRUE(),O706="TRUE",O706="Yes"),59,100),(I706*Rubric!$C$2+J706*Rubric!$C$3+K706*Rubric!$C$4+L706*Rubric!$C$5+M706*Rubric!$C$6+N706*Rubric!$C$7)/5),1)</f>
        <v>84</v>
      </c>
      <c r="U706" s="8" t="str">
        <f aca="false">LOOKUP(T706,Bands!$A$2:$A$6,Bands!$B$2:$B$6)</f>
        <v>Solid Performance</v>
      </c>
      <c r="V706" s="8" t="n">
        <f aca="false">IF(Q706="","",ROUND((Q706-B706)*24,1))</f>
        <v>72</v>
      </c>
    </row>
    <row r="707" customFormat="false" ht="15" hidden="false" customHeight="false" outlineLevel="0" collapsed="false">
      <c r="A707" s="3" t="s">
        <v>1547</v>
      </c>
      <c r="B707" s="5" t="n">
        <v>46195.5930555556</v>
      </c>
      <c r="C707" s="3" t="s">
        <v>68</v>
      </c>
      <c r="D707" s="3" t="s">
        <v>265</v>
      </c>
      <c r="E707" s="3" t="s">
        <v>266</v>
      </c>
      <c r="F707" s="3" t="s">
        <v>33</v>
      </c>
      <c r="G707" s="3" t="s">
        <v>34</v>
      </c>
      <c r="H707" s="3" t="s">
        <v>1548</v>
      </c>
      <c r="I707" s="3" t="n">
        <v>3</v>
      </c>
      <c r="J707" s="3" t="n">
        <v>3</v>
      </c>
      <c r="K707" s="3" t="n">
        <v>4</v>
      </c>
      <c r="L707" s="3" t="n">
        <v>3</v>
      </c>
      <c r="M707" s="3" t="n">
        <v>4</v>
      </c>
      <c r="N707" s="3" t="n">
        <v>4</v>
      </c>
      <c r="O707" s="6" t="b">
        <f aca="false">FALSE()</f>
        <v>0</v>
      </c>
      <c r="P707" s="3"/>
      <c r="Q707" s="5" t="n">
        <v>46199.5930555556</v>
      </c>
      <c r="R707" s="5" t="n">
        <v>46200.7680555556</v>
      </c>
      <c r="S707" s="3" t="s">
        <v>37</v>
      </c>
      <c r="T707" s="7" t="n">
        <f aca="false">ROUND(MIN(IF(OR(O707=TRUE(),O707="TRUE",O707="Yes"),59,100),(I707*Rubric!$C$2+J707*Rubric!$C$3+K707*Rubric!$C$4+L707*Rubric!$C$5+M707*Rubric!$C$6+N707*Rubric!$C$7)/5),1)</f>
        <v>69</v>
      </c>
      <c r="U707" s="8" t="str">
        <f aca="false">LOOKUP(T707,Bands!$A$2:$A$6,Bands!$B$2:$B$6)</f>
        <v>Needs Improvement</v>
      </c>
      <c r="V707" s="8" t="n">
        <f aca="false">IF(Q707="","",ROUND((Q707-B707)*24,1))</f>
        <v>96</v>
      </c>
    </row>
    <row r="708" customFormat="false" ht="15" hidden="false" customHeight="false" outlineLevel="0" collapsed="false">
      <c r="A708" s="3" t="s">
        <v>1549</v>
      </c>
      <c r="B708" s="5" t="n">
        <v>46195.6875</v>
      </c>
      <c r="C708" s="3" t="s">
        <v>39</v>
      </c>
      <c r="D708" s="3" t="s">
        <v>40</v>
      </c>
      <c r="E708" s="3" t="s">
        <v>41</v>
      </c>
      <c r="F708" s="3" t="s">
        <v>33</v>
      </c>
      <c r="G708" s="3" t="s">
        <v>54</v>
      </c>
      <c r="H708" s="3" t="s">
        <v>1550</v>
      </c>
      <c r="I708" s="3" t="n">
        <v>4</v>
      </c>
      <c r="J708" s="3" t="n">
        <v>4</v>
      </c>
      <c r="K708" s="3" t="n">
        <v>5</v>
      </c>
      <c r="L708" s="3" t="n">
        <v>3</v>
      </c>
      <c r="M708" s="3" t="n">
        <v>4</v>
      </c>
      <c r="N708" s="3" t="n">
        <v>4</v>
      </c>
      <c r="O708" s="6" t="b">
        <f aca="false">FALSE()</f>
        <v>0</v>
      </c>
      <c r="P708" s="3"/>
      <c r="Q708" s="5" t="n">
        <v>46199.6875</v>
      </c>
      <c r="R708" s="5" t="n">
        <v>46199.8805555556</v>
      </c>
      <c r="S708" s="3" t="s">
        <v>37</v>
      </c>
      <c r="T708" s="7" t="n">
        <f aca="false">ROUND(MIN(IF(OR(O708=TRUE(),O708="TRUE",O708="Yes"),59,100),(I708*Rubric!$C$2+J708*Rubric!$C$3+K708*Rubric!$C$4+L708*Rubric!$C$5+M708*Rubric!$C$6+N708*Rubric!$C$7)/5),1)</f>
        <v>81</v>
      </c>
      <c r="U708" s="8" t="str">
        <f aca="false">LOOKUP(T708,Bands!$A$2:$A$6,Bands!$B$2:$B$6)</f>
        <v>Solid Performance</v>
      </c>
      <c r="V708" s="8" t="n">
        <f aca="false">IF(Q708="","",ROUND((Q708-B708)*24,1))</f>
        <v>96</v>
      </c>
    </row>
    <row r="709" customFormat="false" ht="15" hidden="false" customHeight="false" outlineLevel="0" collapsed="false">
      <c r="A709" s="3" t="s">
        <v>1551</v>
      </c>
      <c r="B709" s="5" t="n">
        <v>46195.4986111111</v>
      </c>
      <c r="C709" s="3" t="s">
        <v>68</v>
      </c>
      <c r="D709" s="3" t="s">
        <v>307</v>
      </c>
      <c r="E709" s="3" t="s">
        <v>308</v>
      </c>
      <c r="F709" s="3" t="s">
        <v>33</v>
      </c>
      <c r="G709" s="3" t="s">
        <v>34</v>
      </c>
      <c r="H709" s="3" t="s">
        <v>1552</v>
      </c>
      <c r="I709" s="3" t="n">
        <v>5</v>
      </c>
      <c r="J709" s="3" t="n">
        <v>3</v>
      </c>
      <c r="K709" s="3" t="n">
        <v>5</v>
      </c>
      <c r="L709" s="3" t="n">
        <v>5</v>
      </c>
      <c r="M709" s="3" t="n">
        <v>5</v>
      </c>
      <c r="N709" s="3" t="n">
        <v>5</v>
      </c>
      <c r="O709" s="6" t="b">
        <f aca="false">FALSE()</f>
        <v>0</v>
      </c>
      <c r="P709" s="3"/>
      <c r="Q709" s="5" t="n">
        <v>46198.4986111111</v>
      </c>
      <c r="R709" s="5" t="n">
        <v>46200.8006944444</v>
      </c>
      <c r="S709" s="3" t="s">
        <v>37</v>
      </c>
      <c r="T709" s="7" t="n">
        <f aca="false">ROUND(MIN(IF(OR(O709=TRUE(),O709="TRUE",O709="Yes"),59,100),(I709*Rubric!$C$2+J709*Rubric!$C$3+K709*Rubric!$C$4+L709*Rubric!$C$5+M709*Rubric!$C$6+N709*Rubric!$C$7)/5),1)</f>
        <v>90</v>
      </c>
      <c r="U709" s="8" t="str">
        <f aca="false">LOOKUP(T709,Bands!$A$2:$A$6,Bands!$B$2:$B$6)</f>
        <v>Outstanding</v>
      </c>
      <c r="V709" s="8" t="n">
        <f aca="false">IF(Q709="","",ROUND((Q709-B709)*24,1))</f>
        <v>72</v>
      </c>
    </row>
    <row r="710" customFormat="false" ht="15" hidden="false" customHeight="false" outlineLevel="0" collapsed="false">
      <c r="A710" s="3" t="s">
        <v>1553</v>
      </c>
      <c r="B710" s="5" t="n">
        <v>46196.6354166667</v>
      </c>
      <c r="C710" s="3" t="s">
        <v>30</v>
      </c>
      <c r="D710" s="3" t="s">
        <v>202</v>
      </c>
      <c r="E710" s="3" t="s">
        <v>203</v>
      </c>
      <c r="F710" s="3" t="s">
        <v>53</v>
      </c>
      <c r="G710" s="3" t="s">
        <v>54</v>
      </c>
      <c r="H710" s="3" t="s">
        <v>1554</v>
      </c>
      <c r="I710" s="3" t="n">
        <v>4</v>
      </c>
      <c r="J710" s="3" t="n">
        <v>4</v>
      </c>
      <c r="K710" s="3" t="n">
        <v>5</v>
      </c>
      <c r="L710" s="3" t="n">
        <v>2</v>
      </c>
      <c r="M710" s="3" t="n">
        <v>3</v>
      </c>
      <c r="N710" s="3" t="n">
        <v>4</v>
      </c>
      <c r="O710" s="6" t="b">
        <f aca="false">FALSE()</f>
        <v>0</v>
      </c>
      <c r="P710" s="3" t="s">
        <v>44</v>
      </c>
      <c r="Q710" s="5" t="n">
        <v>46201.6354166667</v>
      </c>
      <c r="R710" s="5" t="n">
        <v>46202.0583333333</v>
      </c>
      <c r="S710" s="3" t="s">
        <v>37</v>
      </c>
      <c r="T710" s="7" t="n">
        <f aca="false">ROUND(MIN(IF(OR(O710=TRUE(),O710="TRUE",O710="Yes"),59,100),(I710*Rubric!$C$2+J710*Rubric!$C$3+K710*Rubric!$C$4+L710*Rubric!$C$5+M710*Rubric!$C$6+N710*Rubric!$C$7)/5),1)</f>
        <v>76</v>
      </c>
      <c r="U710" s="8" t="str">
        <f aca="false">LOOKUP(T710,Bands!$A$2:$A$6,Bands!$B$2:$B$6)</f>
        <v>Meets Expectations</v>
      </c>
      <c r="V710" s="8" t="n">
        <f aca="false">IF(Q710="","",ROUND((Q710-B710)*24,1))</f>
        <v>120</v>
      </c>
    </row>
    <row r="711" customFormat="false" ht="15" hidden="false" customHeight="false" outlineLevel="0" collapsed="false">
      <c r="A711" s="3" t="s">
        <v>1555</v>
      </c>
      <c r="B711" s="5" t="n">
        <v>46196.5569444444</v>
      </c>
      <c r="C711" s="3" t="s">
        <v>68</v>
      </c>
      <c r="D711" s="3" t="s">
        <v>366</v>
      </c>
      <c r="E711" s="3" t="s">
        <v>367</v>
      </c>
      <c r="F711" s="3" t="s">
        <v>53</v>
      </c>
      <c r="G711" s="3" t="s">
        <v>42</v>
      </c>
      <c r="H711" s="3" t="s">
        <v>1556</v>
      </c>
      <c r="I711" s="3" t="n">
        <v>4</v>
      </c>
      <c r="J711" s="3" t="n">
        <v>5</v>
      </c>
      <c r="K711" s="3" t="n">
        <v>2</v>
      </c>
      <c r="L711" s="3" t="n">
        <v>5</v>
      </c>
      <c r="M711" s="3" t="n">
        <v>5</v>
      </c>
      <c r="N711" s="3" t="n">
        <v>5</v>
      </c>
      <c r="O711" s="6" t="b">
        <f aca="false">FALSE()</f>
        <v>0</v>
      </c>
      <c r="P711" s="3" t="s">
        <v>49</v>
      </c>
      <c r="Q711" s="5" t="n">
        <v>46202.5569444444</v>
      </c>
      <c r="R711" s="5" t="n">
        <v>46202.6694444444</v>
      </c>
      <c r="S711" s="3" t="s">
        <v>37</v>
      </c>
      <c r="T711" s="7" t="n">
        <f aca="false">ROUND(MIN(IF(OR(O711=TRUE(),O711="TRUE",O711="Yes"),59,100),(I711*Rubric!$C$2+J711*Rubric!$C$3+K711*Rubric!$C$4+L711*Rubric!$C$5+M711*Rubric!$C$6+N711*Rubric!$C$7)/5),1)</f>
        <v>85</v>
      </c>
      <c r="U711" s="8" t="str">
        <f aca="false">LOOKUP(T711,Bands!$A$2:$A$6,Bands!$B$2:$B$6)</f>
        <v>Solid Performance</v>
      </c>
      <c r="V711" s="8" t="n">
        <f aca="false">IF(Q711="","",ROUND((Q711-B711)*24,1))</f>
        <v>144</v>
      </c>
    </row>
    <row r="712" customFormat="false" ht="15" hidden="false" customHeight="false" outlineLevel="0" collapsed="false">
      <c r="A712" s="3" t="s">
        <v>1557</v>
      </c>
      <c r="B712" s="5" t="n">
        <v>46196.6173611111</v>
      </c>
      <c r="C712" s="3" t="s">
        <v>30</v>
      </c>
      <c r="D712" s="3" t="s">
        <v>31</v>
      </c>
      <c r="E712" s="3" t="s">
        <v>32</v>
      </c>
      <c r="F712" s="3" t="s">
        <v>33</v>
      </c>
      <c r="G712" s="3" t="s">
        <v>42</v>
      </c>
      <c r="H712" s="3" t="s">
        <v>1558</v>
      </c>
      <c r="I712" s="3" t="n">
        <v>5</v>
      </c>
      <c r="J712" s="3" t="n">
        <v>5</v>
      </c>
      <c r="K712" s="3" t="n">
        <v>4</v>
      </c>
      <c r="L712" s="3" t="n">
        <v>5</v>
      </c>
      <c r="M712" s="3" t="n">
        <v>5</v>
      </c>
      <c r="N712" s="3" t="n">
        <v>4</v>
      </c>
      <c r="O712" s="6" t="b">
        <f aca="false">FALSE()</f>
        <v>0</v>
      </c>
      <c r="P712" s="3"/>
      <c r="Q712" s="5" t="n">
        <v>46200.6173611111</v>
      </c>
      <c r="R712" s="5" t="n">
        <v>46202.1444444444</v>
      </c>
      <c r="S712" s="3" t="s">
        <v>37</v>
      </c>
      <c r="T712" s="7" t="n">
        <f aca="false">ROUND(MIN(IF(OR(O712=TRUE(),O712="TRUE",O712="Yes"),59,100),(I712*Rubric!$C$2+J712*Rubric!$C$3+K712*Rubric!$C$4+L712*Rubric!$C$5+M712*Rubric!$C$6+N712*Rubric!$C$7)/5),1)</f>
        <v>93</v>
      </c>
      <c r="U712" s="8" t="str">
        <f aca="false">LOOKUP(T712,Bands!$A$2:$A$6,Bands!$B$2:$B$6)</f>
        <v>Outstanding</v>
      </c>
      <c r="V712" s="8" t="n">
        <f aca="false">IF(Q712="","",ROUND((Q712-B712)*24,1))</f>
        <v>96</v>
      </c>
    </row>
    <row r="713" customFormat="false" ht="15" hidden="false" customHeight="false" outlineLevel="0" collapsed="false">
      <c r="A713" s="3" t="s">
        <v>1559</v>
      </c>
      <c r="B713" s="5" t="n">
        <v>46196.6527777778</v>
      </c>
      <c r="C713" s="3" t="s">
        <v>39</v>
      </c>
      <c r="D713" s="3" t="s">
        <v>46</v>
      </c>
      <c r="E713" s="3" t="s">
        <v>47</v>
      </c>
      <c r="F713" s="3" t="s">
        <v>33</v>
      </c>
      <c r="G713" s="3" t="s">
        <v>42</v>
      </c>
      <c r="H713" s="3" t="s">
        <v>1560</v>
      </c>
      <c r="I713" s="3" t="n">
        <v>5</v>
      </c>
      <c r="J713" s="3" t="n">
        <v>4</v>
      </c>
      <c r="K713" s="3" t="n">
        <v>3</v>
      </c>
      <c r="L713" s="3" t="n">
        <v>4</v>
      </c>
      <c r="M713" s="3" t="n">
        <v>4</v>
      </c>
      <c r="N713" s="3" t="n">
        <v>5</v>
      </c>
      <c r="O713" s="6" t="b">
        <f aca="false">FALSE()</f>
        <v>0</v>
      </c>
      <c r="P713" s="3"/>
      <c r="Q713" s="5" t="n">
        <v>46200.6527777778</v>
      </c>
      <c r="R713" s="5" t="n">
        <v>46202.6173611111</v>
      </c>
      <c r="S713" s="3" t="s">
        <v>37</v>
      </c>
      <c r="T713" s="7" t="n">
        <f aca="false">ROUND(MIN(IF(OR(O713=TRUE(),O713="TRUE",O713="Yes"),59,100),(I713*Rubric!$C$2+J713*Rubric!$C$3+K713*Rubric!$C$4+L713*Rubric!$C$5+M713*Rubric!$C$6+N713*Rubric!$C$7)/5),1)</f>
        <v>82</v>
      </c>
      <c r="U713" s="8" t="str">
        <f aca="false">LOOKUP(T713,Bands!$A$2:$A$6,Bands!$B$2:$B$6)</f>
        <v>Solid Performance</v>
      </c>
      <c r="V713" s="8" t="n">
        <f aca="false">IF(Q713="","",ROUND((Q713-B713)*24,1))</f>
        <v>96</v>
      </c>
    </row>
    <row r="714" customFormat="false" ht="15" hidden="false" customHeight="false" outlineLevel="0" collapsed="false">
      <c r="A714" s="3" t="s">
        <v>1561</v>
      </c>
      <c r="B714" s="5" t="n">
        <v>46196.6541666667</v>
      </c>
      <c r="C714" s="3" t="s">
        <v>39</v>
      </c>
      <c r="D714" s="3" t="s">
        <v>167</v>
      </c>
      <c r="E714" s="3" t="s">
        <v>168</v>
      </c>
      <c r="F714" s="3" t="s">
        <v>33</v>
      </c>
      <c r="G714" s="3" t="s">
        <v>42</v>
      </c>
      <c r="H714" s="3" t="s">
        <v>1562</v>
      </c>
      <c r="I714" s="3" t="n">
        <v>4</v>
      </c>
      <c r="J714" s="3" t="n">
        <v>2</v>
      </c>
      <c r="K714" s="3" t="n">
        <v>3</v>
      </c>
      <c r="L714" s="3" t="n">
        <v>4</v>
      </c>
      <c r="M714" s="3" t="n">
        <v>3</v>
      </c>
      <c r="N714" s="3" t="n">
        <v>3</v>
      </c>
      <c r="O714" s="6" t="b">
        <f aca="false">FALSE()</f>
        <v>0</v>
      </c>
      <c r="P714" s="3" t="s">
        <v>56</v>
      </c>
      <c r="Q714" s="5" t="n">
        <v>46200.6541666667</v>
      </c>
      <c r="R714" s="5" t="n">
        <v>46201.4673611111</v>
      </c>
      <c r="S714" s="3" t="s">
        <v>37</v>
      </c>
      <c r="T714" s="7" t="n">
        <f aca="false">ROUND(MIN(IF(OR(O714=TRUE(),O714="TRUE",O714="Yes"),59,100),(I714*Rubric!$C$2+J714*Rubric!$C$3+K714*Rubric!$C$4+L714*Rubric!$C$5+M714*Rubric!$C$6+N714*Rubric!$C$7)/5),1)</f>
        <v>61</v>
      </c>
      <c r="U714" s="8" t="str">
        <f aca="false">LOOKUP(T714,Bands!$A$2:$A$6,Bands!$B$2:$B$6)</f>
        <v>Needs Improvement</v>
      </c>
      <c r="V714" s="8" t="n">
        <f aca="false">IF(Q714="","",ROUND((Q714-B714)*24,1))</f>
        <v>96</v>
      </c>
    </row>
    <row r="715" customFormat="false" ht="15" hidden="false" customHeight="false" outlineLevel="0" collapsed="false">
      <c r="A715" s="3" t="s">
        <v>1563</v>
      </c>
      <c r="B715" s="5" t="n">
        <v>46196.5930555556</v>
      </c>
      <c r="C715" s="3" t="s">
        <v>68</v>
      </c>
      <c r="D715" s="3" t="s">
        <v>151</v>
      </c>
      <c r="E715" s="3" t="s">
        <v>152</v>
      </c>
      <c r="F715" s="3" t="s">
        <v>33</v>
      </c>
      <c r="G715" s="3" t="s">
        <v>54</v>
      </c>
      <c r="H715" s="3" t="s">
        <v>1564</v>
      </c>
      <c r="I715" s="3" t="n">
        <v>5</v>
      </c>
      <c r="J715" s="3" t="n">
        <v>3</v>
      </c>
      <c r="K715" s="3" t="n">
        <v>5</v>
      </c>
      <c r="L715" s="3" t="n">
        <v>5</v>
      </c>
      <c r="M715" s="3" t="n">
        <v>4</v>
      </c>
      <c r="N715" s="3" t="n">
        <v>3</v>
      </c>
      <c r="O715" s="6" t="b">
        <f aca="false">FALSE()</f>
        <v>0</v>
      </c>
      <c r="P715" s="3"/>
      <c r="Q715" s="5" t="n">
        <v>46205.5930555556</v>
      </c>
      <c r="R715" s="5" t="n">
        <v>46206.2326388889</v>
      </c>
      <c r="S715" s="3" t="s">
        <v>37</v>
      </c>
      <c r="T715" s="7" t="n">
        <f aca="false">ROUND(MIN(IF(OR(O715=TRUE(),O715="TRUE",O715="Yes"),59,100),(I715*Rubric!$C$2+J715*Rubric!$C$3+K715*Rubric!$C$4+L715*Rubric!$C$5+M715*Rubric!$C$6+N715*Rubric!$C$7)/5),1)</f>
        <v>82</v>
      </c>
      <c r="U715" s="8" t="str">
        <f aca="false">LOOKUP(T715,Bands!$A$2:$A$6,Bands!$B$2:$B$6)</f>
        <v>Solid Performance</v>
      </c>
      <c r="V715" s="8" t="n">
        <f aca="false">IF(Q715="","",ROUND((Q715-B715)*24,1))</f>
        <v>216</v>
      </c>
    </row>
    <row r="716" customFormat="false" ht="15" hidden="false" customHeight="false" outlineLevel="0" collapsed="false">
      <c r="A716" s="3" t="s">
        <v>1565</v>
      </c>
      <c r="B716" s="5" t="n">
        <v>46196.4881944444</v>
      </c>
      <c r="C716" s="3" t="s">
        <v>39</v>
      </c>
      <c r="D716" s="3" t="s">
        <v>293</v>
      </c>
      <c r="E716" s="3" t="s">
        <v>294</v>
      </c>
      <c r="F716" s="3" t="s">
        <v>65</v>
      </c>
      <c r="G716" s="3" t="s">
        <v>42</v>
      </c>
      <c r="H716" s="3" t="s">
        <v>1566</v>
      </c>
      <c r="I716" s="3" t="n">
        <v>5</v>
      </c>
      <c r="J716" s="3" t="n">
        <v>5</v>
      </c>
      <c r="K716" s="3" t="n">
        <v>5</v>
      </c>
      <c r="L716" s="3" t="n">
        <v>4</v>
      </c>
      <c r="M716" s="3" t="n">
        <v>5</v>
      </c>
      <c r="N716" s="3" t="n">
        <v>4</v>
      </c>
      <c r="O716" s="6" t="b">
        <f aca="false">FALSE()</f>
        <v>0</v>
      </c>
      <c r="P716" s="3"/>
      <c r="Q716" s="5" t="n">
        <v>46200.4881944444</v>
      </c>
      <c r="R716" s="5" t="n">
        <v>46200.8451388889</v>
      </c>
      <c r="S716" s="3" t="s">
        <v>37</v>
      </c>
      <c r="T716" s="7" t="n">
        <f aca="false">ROUND(MIN(IF(OR(O716=TRUE(),O716="TRUE",O716="Yes"),59,100),(I716*Rubric!$C$2+J716*Rubric!$C$3+K716*Rubric!$C$4+L716*Rubric!$C$5+M716*Rubric!$C$6+N716*Rubric!$C$7)/5),1)</f>
        <v>94</v>
      </c>
      <c r="U716" s="8" t="str">
        <f aca="false">LOOKUP(T716,Bands!$A$2:$A$6,Bands!$B$2:$B$6)</f>
        <v>Outstanding</v>
      </c>
      <c r="V716" s="8" t="n">
        <f aca="false">IF(Q716="","",ROUND((Q716-B716)*24,1))</f>
        <v>96</v>
      </c>
    </row>
    <row r="717" customFormat="false" ht="15" hidden="false" customHeight="false" outlineLevel="0" collapsed="false">
      <c r="A717" s="3" t="s">
        <v>1567</v>
      </c>
      <c r="B717" s="5" t="n">
        <v>46196.5729166667</v>
      </c>
      <c r="C717" s="3" t="s">
        <v>30</v>
      </c>
      <c r="D717" s="3" t="s">
        <v>198</v>
      </c>
      <c r="E717" s="3" t="s">
        <v>199</v>
      </c>
      <c r="F717" s="3" t="s">
        <v>33</v>
      </c>
      <c r="G717" s="3" t="s">
        <v>54</v>
      </c>
      <c r="H717" s="3" t="s">
        <v>1568</v>
      </c>
      <c r="I717" s="3" t="n">
        <v>4</v>
      </c>
      <c r="J717" s="3" t="n">
        <v>3</v>
      </c>
      <c r="K717" s="3" t="n">
        <v>4</v>
      </c>
      <c r="L717" s="3" t="n">
        <v>5</v>
      </c>
      <c r="M717" s="3" t="n">
        <v>4</v>
      </c>
      <c r="N717" s="3" t="n">
        <v>3</v>
      </c>
      <c r="O717" s="6" t="b">
        <f aca="false">FALSE()</f>
        <v>0</v>
      </c>
      <c r="P717" s="3"/>
      <c r="Q717" s="5" t="n">
        <v>46202.5729166667</v>
      </c>
      <c r="R717" s="5" t="n">
        <v>46202.9125</v>
      </c>
      <c r="S717" s="3" t="s">
        <v>37</v>
      </c>
      <c r="T717" s="7" t="n">
        <f aca="false">ROUND(MIN(IF(OR(O717=TRUE(),O717="TRUE",O717="Yes"),59,100),(I717*Rubric!$C$2+J717*Rubric!$C$3+K717*Rubric!$C$4+L717*Rubric!$C$5+M717*Rubric!$C$6+N717*Rubric!$C$7)/5),1)</f>
        <v>75</v>
      </c>
      <c r="U717" s="8" t="str">
        <f aca="false">LOOKUP(T717,Bands!$A$2:$A$6,Bands!$B$2:$B$6)</f>
        <v>Meets Expectations</v>
      </c>
      <c r="V717" s="8" t="n">
        <f aca="false">IF(Q717="","",ROUND((Q717-B717)*24,1))</f>
        <v>144</v>
      </c>
    </row>
    <row r="718" customFormat="false" ht="15" hidden="false" customHeight="false" outlineLevel="0" collapsed="false">
      <c r="A718" s="3" t="s">
        <v>1569</v>
      </c>
      <c r="B718" s="5" t="n">
        <v>46196.5194444444</v>
      </c>
      <c r="C718" s="3" t="s">
        <v>30</v>
      </c>
      <c r="D718" s="3" t="s">
        <v>81</v>
      </c>
      <c r="E718" s="3" t="s">
        <v>82</v>
      </c>
      <c r="F718" s="3" t="s">
        <v>65</v>
      </c>
      <c r="G718" s="3" t="s">
        <v>54</v>
      </c>
      <c r="H718" s="3" t="s">
        <v>1570</v>
      </c>
      <c r="I718" s="3" t="n">
        <v>4</v>
      </c>
      <c r="J718" s="3" t="n">
        <v>4</v>
      </c>
      <c r="K718" s="3" t="n">
        <v>4</v>
      </c>
      <c r="L718" s="3" t="n">
        <v>4</v>
      </c>
      <c r="M718" s="3" t="n">
        <v>5</v>
      </c>
      <c r="N718" s="3" t="n">
        <v>4</v>
      </c>
      <c r="O718" s="6" t="b">
        <f aca="false">FALSE()</f>
        <v>0</v>
      </c>
      <c r="P718" s="3"/>
      <c r="Q718" s="5" t="n">
        <v>46201.5194444444</v>
      </c>
      <c r="R718" s="5" t="n">
        <v>46204.0673611111</v>
      </c>
      <c r="S718" s="3" t="s">
        <v>37</v>
      </c>
      <c r="T718" s="7" t="n">
        <f aca="false">ROUND(MIN(IF(OR(O718=TRUE(),O718="TRUE",O718="Yes"),59,100),(I718*Rubric!$C$2+J718*Rubric!$C$3+K718*Rubric!$C$4+L718*Rubric!$C$5+M718*Rubric!$C$6+N718*Rubric!$C$7)/5),1)</f>
        <v>82</v>
      </c>
      <c r="U718" s="8" t="str">
        <f aca="false">LOOKUP(T718,Bands!$A$2:$A$6,Bands!$B$2:$B$6)</f>
        <v>Solid Performance</v>
      </c>
      <c r="V718" s="8" t="n">
        <f aca="false">IF(Q718="","",ROUND((Q718-B718)*24,1))</f>
        <v>120</v>
      </c>
    </row>
    <row r="719" customFormat="false" ht="15" hidden="false" customHeight="false" outlineLevel="0" collapsed="false">
      <c r="A719" s="3" t="s">
        <v>1571</v>
      </c>
      <c r="B719" s="5" t="n">
        <v>46196.4027777778</v>
      </c>
      <c r="C719" s="3" t="s">
        <v>39</v>
      </c>
      <c r="D719" s="3" t="s">
        <v>238</v>
      </c>
      <c r="E719" s="3" t="s">
        <v>239</v>
      </c>
      <c r="F719" s="3" t="s">
        <v>33</v>
      </c>
      <c r="G719" s="3" t="s">
        <v>54</v>
      </c>
      <c r="H719" s="3" t="s">
        <v>1572</v>
      </c>
      <c r="I719" s="3" t="n">
        <v>4</v>
      </c>
      <c r="J719" s="3" t="n">
        <v>3</v>
      </c>
      <c r="K719" s="3" t="n">
        <v>4</v>
      </c>
      <c r="L719" s="3" t="n">
        <v>5</v>
      </c>
      <c r="M719" s="3" t="n">
        <v>3</v>
      </c>
      <c r="N719" s="3" t="n">
        <v>1</v>
      </c>
      <c r="O719" s="6" t="b">
        <f aca="false">TRUE()</f>
        <v>1</v>
      </c>
      <c r="P719" s="3" t="s">
        <v>36</v>
      </c>
      <c r="Q719" s="5" t="n">
        <v>46203.4027777778</v>
      </c>
      <c r="R719" s="5" t="n">
        <v>46203.7069444444</v>
      </c>
      <c r="S719" s="3" t="s">
        <v>37</v>
      </c>
      <c r="T719" s="7" t="n">
        <f aca="false">ROUND(MIN(IF(OR(O719=TRUE(),O719="TRUE",O719="Yes"),59,100),(I719*Rubric!$C$2+J719*Rubric!$C$3+K719*Rubric!$C$4+L719*Rubric!$C$5+M719*Rubric!$C$6+N719*Rubric!$C$7)/5),1)</f>
        <v>59</v>
      </c>
      <c r="U719" s="8" t="str">
        <f aca="false">LOOKUP(T719,Bands!$A$2:$A$6,Bands!$B$2:$B$6)</f>
        <v>Critical</v>
      </c>
      <c r="V719" s="8" t="n">
        <f aca="false">IF(Q719="","",ROUND((Q719-B719)*24,1))</f>
        <v>168</v>
      </c>
    </row>
    <row r="720" customFormat="false" ht="15" hidden="false" customHeight="false" outlineLevel="0" collapsed="false">
      <c r="A720" s="3" t="s">
        <v>1573</v>
      </c>
      <c r="B720" s="5" t="n">
        <v>46196.4666666667</v>
      </c>
      <c r="C720" s="3" t="s">
        <v>68</v>
      </c>
      <c r="D720" s="3" t="s">
        <v>63</v>
      </c>
      <c r="E720" s="3" t="s">
        <v>64</v>
      </c>
      <c r="F720" s="3" t="s">
        <v>65</v>
      </c>
      <c r="G720" s="3" t="s">
        <v>42</v>
      </c>
      <c r="H720" s="3" t="s">
        <v>1574</v>
      </c>
      <c r="I720" s="3" t="n">
        <v>4</v>
      </c>
      <c r="J720" s="3" t="n">
        <v>4</v>
      </c>
      <c r="K720" s="3" t="n">
        <v>4</v>
      </c>
      <c r="L720" s="3" t="n">
        <v>3</v>
      </c>
      <c r="M720" s="3" t="n">
        <v>5</v>
      </c>
      <c r="N720" s="3" t="n">
        <v>3</v>
      </c>
      <c r="O720" s="6" t="b">
        <f aca="false">FALSE()</f>
        <v>0</v>
      </c>
      <c r="P720" s="3"/>
      <c r="Q720" s="5" t="n">
        <v>46199.4666666667</v>
      </c>
      <c r="R720" s="5" t="n">
        <v>46200.4576388889</v>
      </c>
      <c r="S720" s="3" t="s">
        <v>37</v>
      </c>
      <c r="T720" s="7" t="n">
        <f aca="false">ROUND(MIN(IF(OR(O720=TRUE(),O720="TRUE",O720="Yes"),59,100),(I720*Rubric!$C$2+J720*Rubric!$C$3+K720*Rubric!$C$4+L720*Rubric!$C$5+M720*Rubric!$C$6+N720*Rubric!$C$7)/5),1)</f>
        <v>76</v>
      </c>
      <c r="U720" s="8" t="str">
        <f aca="false">LOOKUP(T720,Bands!$A$2:$A$6,Bands!$B$2:$B$6)</f>
        <v>Meets Expectations</v>
      </c>
      <c r="V720" s="8" t="n">
        <f aca="false">IF(Q720="","",ROUND((Q720-B720)*24,1))</f>
        <v>72</v>
      </c>
    </row>
    <row r="721" customFormat="false" ht="15" hidden="false" customHeight="false" outlineLevel="0" collapsed="false">
      <c r="A721" s="3" t="s">
        <v>1575</v>
      </c>
      <c r="B721" s="5" t="n">
        <v>46196.4701388889</v>
      </c>
      <c r="C721" s="3" t="s">
        <v>39</v>
      </c>
      <c r="D721" s="3" t="s">
        <v>85</v>
      </c>
      <c r="E721" s="3" t="s">
        <v>86</v>
      </c>
      <c r="F721" s="3" t="s">
        <v>33</v>
      </c>
      <c r="G721" s="3" t="s">
        <v>34</v>
      </c>
      <c r="H721" s="3" t="s">
        <v>1576</v>
      </c>
      <c r="I721" s="3" t="n">
        <v>2</v>
      </c>
      <c r="J721" s="3" t="n">
        <v>4</v>
      </c>
      <c r="K721" s="3" t="n">
        <v>4</v>
      </c>
      <c r="L721" s="3" t="n">
        <v>4</v>
      </c>
      <c r="M721" s="3" t="n">
        <v>4</v>
      </c>
      <c r="N721" s="3" t="n">
        <v>4</v>
      </c>
      <c r="O721" s="6" t="b">
        <f aca="false">FALSE()</f>
        <v>0</v>
      </c>
      <c r="P721" s="3" t="s">
        <v>88</v>
      </c>
      <c r="Q721" s="5" t="n">
        <v>46199.4701388889</v>
      </c>
      <c r="R721" s="5" t="n">
        <v>46200.4423611111</v>
      </c>
      <c r="S721" s="3" t="s">
        <v>37</v>
      </c>
      <c r="T721" s="7" t="n">
        <f aca="false">ROUND(MIN(IF(OR(O721=TRUE(),O721="TRUE",O721="Yes"),59,100),(I721*Rubric!$C$2+J721*Rubric!$C$3+K721*Rubric!$C$4+L721*Rubric!$C$5+M721*Rubric!$C$6+N721*Rubric!$C$7)/5),1)</f>
        <v>74</v>
      </c>
      <c r="U721" s="8" t="str">
        <f aca="false">LOOKUP(T721,Bands!$A$2:$A$6,Bands!$B$2:$B$6)</f>
        <v>Meets Expectations</v>
      </c>
      <c r="V721" s="8" t="n">
        <f aca="false">IF(Q721="","",ROUND((Q721-B721)*24,1))</f>
        <v>72</v>
      </c>
    </row>
    <row r="722" customFormat="false" ht="15" hidden="false" customHeight="false" outlineLevel="0" collapsed="false">
      <c r="A722" s="3" t="s">
        <v>1577</v>
      </c>
      <c r="B722" s="5" t="n">
        <v>46197.4819444444</v>
      </c>
      <c r="C722" s="3" t="s">
        <v>68</v>
      </c>
      <c r="D722" s="3" t="s">
        <v>46</v>
      </c>
      <c r="E722" s="3" t="s">
        <v>47</v>
      </c>
      <c r="F722" s="3" t="s">
        <v>33</v>
      </c>
      <c r="G722" s="3" t="s">
        <v>42</v>
      </c>
      <c r="H722" s="3" t="s">
        <v>1578</v>
      </c>
      <c r="I722" s="3" t="n">
        <v>5</v>
      </c>
      <c r="J722" s="3" t="n">
        <v>4</v>
      </c>
      <c r="K722" s="3" t="n">
        <v>3</v>
      </c>
      <c r="L722" s="3" t="n">
        <v>5</v>
      </c>
      <c r="M722" s="3" t="n">
        <v>4</v>
      </c>
      <c r="N722" s="3" t="n">
        <v>4</v>
      </c>
      <c r="O722" s="6" t="b">
        <f aca="false">FALSE()</f>
        <v>0</v>
      </c>
      <c r="P722" s="3"/>
      <c r="Q722" s="5" t="n">
        <v>46203.4819444444</v>
      </c>
      <c r="R722" s="5" t="n">
        <v>46207.5</v>
      </c>
      <c r="S722" s="3" t="s">
        <v>37</v>
      </c>
      <c r="T722" s="7" t="n">
        <f aca="false">ROUND(MIN(IF(OR(O722=TRUE(),O722="TRUE",O722="Yes"),59,100),(I722*Rubric!$C$2+J722*Rubric!$C$3+K722*Rubric!$C$4+L722*Rubric!$C$5+M722*Rubric!$C$6+N722*Rubric!$C$7)/5),1)</f>
        <v>82</v>
      </c>
      <c r="U722" s="8" t="str">
        <f aca="false">LOOKUP(T722,Bands!$A$2:$A$6,Bands!$B$2:$B$6)</f>
        <v>Solid Performance</v>
      </c>
      <c r="V722" s="8" t="n">
        <f aca="false">IF(Q722="","",ROUND((Q722-B722)*24,1))</f>
        <v>144</v>
      </c>
    </row>
    <row r="723" customFormat="false" ht="15" hidden="false" customHeight="false" outlineLevel="0" collapsed="false">
      <c r="A723" s="3" t="s">
        <v>1579</v>
      </c>
      <c r="B723" s="5" t="n">
        <v>46197.6722222222</v>
      </c>
      <c r="C723" s="3" t="s">
        <v>39</v>
      </c>
      <c r="D723" s="3" t="s">
        <v>77</v>
      </c>
      <c r="E723" s="3" t="s">
        <v>78</v>
      </c>
      <c r="F723" s="3" t="s">
        <v>33</v>
      </c>
      <c r="G723" s="3" t="s">
        <v>54</v>
      </c>
      <c r="H723" s="3" t="s">
        <v>1580</v>
      </c>
      <c r="I723" s="3" t="n">
        <v>5</v>
      </c>
      <c r="J723" s="3" t="n">
        <v>5</v>
      </c>
      <c r="K723" s="3" t="n">
        <v>2</v>
      </c>
      <c r="L723" s="3" t="n">
        <v>5</v>
      </c>
      <c r="M723" s="3" t="n">
        <v>5</v>
      </c>
      <c r="N723" s="3" t="n">
        <v>5</v>
      </c>
      <c r="O723" s="6" t="b">
        <f aca="false">FALSE()</f>
        <v>0</v>
      </c>
      <c r="P723" s="3" t="s">
        <v>49</v>
      </c>
      <c r="Q723" s="5" t="n">
        <v>46204.6722222222</v>
      </c>
      <c r="R723" s="5" t="n">
        <v>46206.4201388889</v>
      </c>
      <c r="S723" s="3" t="s">
        <v>37</v>
      </c>
      <c r="T723" s="7" t="n">
        <f aca="false">ROUND(MIN(IF(OR(O723=TRUE(),O723="TRUE",O723="Yes"),59,100),(I723*Rubric!$C$2+J723*Rubric!$C$3+K723*Rubric!$C$4+L723*Rubric!$C$5+M723*Rubric!$C$6+N723*Rubric!$C$7)/5),1)</f>
        <v>88</v>
      </c>
      <c r="U723" s="8" t="str">
        <f aca="false">LOOKUP(T723,Bands!$A$2:$A$6,Bands!$B$2:$B$6)</f>
        <v>Solid Performance</v>
      </c>
      <c r="V723" s="8" t="n">
        <f aca="false">IF(Q723="","",ROUND((Q723-B723)*24,1))</f>
        <v>168</v>
      </c>
    </row>
    <row r="724" customFormat="false" ht="15" hidden="false" customHeight="false" outlineLevel="0" collapsed="false">
      <c r="A724" s="3" t="s">
        <v>1581</v>
      </c>
      <c r="B724" s="5" t="n">
        <v>46197.375</v>
      </c>
      <c r="C724" s="3" t="s">
        <v>68</v>
      </c>
      <c r="D724" s="3" t="s">
        <v>105</v>
      </c>
      <c r="E724" s="3" t="s">
        <v>106</v>
      </c>
      <c r="F724" s="3" t="s">
        <v>65</v>
      </c>
      <c r="G724" s="3" t="s">
        <v>54</v>
      </c>
      <c r="H724" s="3" t="s">
        <v>1582</v>
      </c>
      <c r="I724" s="3" t="n">
        <v>5</v>
      </c>
      <c r="J724" s="3" t="n">
        <v>4</v>
      </c>
      <c r="K724" s="3" t="n">
        <v>4</v>
      </c>
      <c r="L724" s="3" t="n">
        <v>3</v>
      </c>
      <c r="M724" s="3" t="n">
        <v>5</v>
      </c>
      <c r="N724" s="3" t="n">
        <v>4</v>
      </c>
      <c r="O724" s="6" t="b">
        <f aca="false">FALSE()</f>
        <v>0</v>
      </c>
      <c r="P724" s="3"/>
      <c r="Q724" s="5" t="n">
        <v>46203.375</v>
      </c>
      <c r="R724" s="5" t="n">
        <v>46204.6027777778</v>
      </c>
      <c r="S724" s="3" t="s">
        <v>37</v>
      </c>
      <c r="T724" s="7" t="n">
        <f aca="false">ROUND(MIN(IF(OR(O724=TRUE(),O724="TRUE",O724="Yes"),59,100),(I724*Rubric!$C$2+J724*Rubric!$C$3+K724*Rubric!$C$4+L724*Rubric!$C$5+M724*Rubric!$C$6+N724*Rubric!$C$7)/5),1)</f>
        <v>82</v>
      </c>
      <c r="U724" s="8" t="str">
        <f aca="false">LOOKUP(T724,Bands!$A$2:$A$6,Bands!$B$2:$B$6)</f>
        <v>Solid Performance</v>
      </c>
      <c r="V724" s="8" t="n">
        <f aca="false">IF(Q724="","",ROUND((Q724-B724)*24,1))</f>
        <v>144</v>
      </c>
    </row>
    <row r="725" customFormat="false" ht="15" hidden="false" customHeight="false" outlineLevel="0" collapsed="false">
      <c r="A725" s="3" t="s">
        <v>1583</v>
      </c>
      <c r="B725" s="5" t="n">
        <v>46197.4368055556</v>
      </c>
      <c r="C725" s="3" t="s">
        <v>39</v>
      </c>
      <c r="D725" s="3" t="s">
        <v>167</v>
      </c>
      <c r="E725" s="3" t="s">
        <v>168</v>
      </c>
      <c r="F725" s="3" t="s">
        <v>33</v>
      </c>
      <c r="G725" s="3" t="s">
        <v>54</v>
      </c>
      <c r="H725" s="3" t="s">
        <v>1584</v>
      </c>
      <c r="I725" s="3" t="n">
        <v>4</v>
      </c>
      <c r="J725" s="3" t="n">
        <v>2</v>
      </c>
      <c r="K725" s="3" t="n">
        <v>4</v>
      </c>
      <c r="L725" s="3" t="n">
        <v>3</v>
      </c>
      <c r="M725" s="3" t="n">
        <v>3</v>
      </c>
      <c r="N725" s="3" t="n">
        <v>3</v>
      </c>
      <c r="O725" s="6" t="b">
        <f aca="false">FALSE()</f>
        <v>0</v>
      </c>
      <c r="P725" s="3" t="s">
        <v>56</v>
      </c>
      <c r="Q725" s="5" t="n">
        <v>46204.4368055556</v>
      </c>
      <c r="R725" s="5" t="n">
        <v>46204.8381944444</v>
      </c>
      <c r="S725" s="3" t="s">
        <v>37</v>
      </c>
      <c r="T725" s="7" t="n">
        <f aca="false">ROUND(MIN(IF(OR(O725=TRUE(),O725="TRUE",O725="Yes"),59,100),(I725*Rubric!$C$2+J725*Rubric!$C$3+K725*Rubric!$C$4+L725*Rubric!$C$5+M725*Rubric!$C$6+N725*Rubric!$C$7)/5),1)</f>
        <v>62</v>
      </c>
      <c r="U725" s="8" t="str">
        <f aca="false">LOOKUP(T725,Bands!$A$2:$A$6,Bands!$B$2:$B$6)</f>
        <v>Needs Improvement</v>
      </c>
      <c r="V725" s="8" t="n">
        <f aca="false">IF(Q725="","",ROUND((Q725-B725)*24,1))</f>
        <v>168</v>
      </c>
    </row>
    <row r="726" customFormat="false" ht="15" hidden="false" customHeight="false" outlineLevel="0" collapsed="false">
      <c r="A726" s="3" t="s">
        <v>1585</v>
      </c>
      <c r="B726" s="5" t="n">
        <v>46197.6270833333</v>
      </c>
      <c r="C726" s="3" t="s">
        <v>39</v>
      </c>
      <c r="D726" s="3" t="s">
        <v>251</v>
      </c>
      <c r="E726" s="3" t="s">
        <v>252</v>
      </c>
      <c r="F726" s="3" t="s">
        <v>53</v>
      </c>
      <c r="G726" s="3" t="s">
        <v>42</v>
      </c>
      <c r="H726" s="3" t="s">
        <v>1586</v>
      </c>
      <c r="I726" s="3" t="n">
        <v>4</v>
      </c>
      <c r="J726" s="3" t="n">
        <v>4</v>
      </c>
      <c r="K726" s="3" t="n">
        <v>4</v>
      </c>
      <c r="L726" s="3" t="n">
        <v>4</v>
      </c>
      <c r="M726" s="3" t="n">
        <v>3</v>
      </c>
      <c r="N726" s="3" t="n">
        <v>4</v>
      </c>
      <c r="O726" s="6" t="b">
        <f aca="false">FALSE()</f>
        <v>0</v>
      </c>
      <c r="P726" s="3"/>
      <c r="Q726" s="5" t="n">
        <v>46202.6270833333</v>
      </c>
      <c r="R726" s="5" t="n">
        <v>46203.1902777778</v>
      </c>
      <c r="S726" s="3" t="s">
        <v>37</v>
      </c>
      <c r="T726" s="7" t="n">
        <f aca="false">ROUND(MIN(IF(OR(O726=TRUE(),O726="TRUE",O726="Yes"),59,100),(I726*Rubric!$C$2+J726*Rubric!$C$3+K726*Rubric!$C$4+L726*Rubric!$C$5+M726*Rubric!$C$6+N726*Rubric!$C$7)/5),1)</f>
        <v>78</v>
      </c>
      <c r="U726" s="8" t="str">
        <f aca="false">LOOKUP(T726,Bands!$A$2:$A$6,Bands!$B$2:$B$6)</f>
        <v>Meets Expectations</v>
      </c>
      <c r="V726" s="8" t="n">
        <f aca="false">IF(Q726="","",ROUND((Q726-B726)*24,1))</f>
        <v>120</v>
      </c>
    </row>
    <row r="727" customFormat="false" ht="15" hidden="false" customHeight="false" outlineLevel="0" collapsed="false">
      <c r="A727" s="3" t="s">
        <v>1587</v>
      </c>
      <c r="B727" s="5" t="n">
        <v>46197.6333333333</v>
      </c>
      <c r="C727" s="3" t="s">
        <v>68</v>
      </c>
      <c r="D727" s="3" t="s">
        <v>96</v>
      </c>
      <c r="E727" s="3" t="s">
        <v>97</v>
      </c>
      <c r="F727" s="3" t="s">
        <v>33</v>
      </c>
      <c r="G727" s="3" t="s">
        <v>54</v>
      </c>
      <c r="H727" s="3" t="s">
        <v>1588</v>
      </c>
      <c r="I727" s="3" t="n">
        <v>4</v>
      </c>
      <c r="J727" s="3" t="n">
        <v>3</v>
      </c>
      <c r="K727" s="3" t="n">
        <v>5</v>
      </c>
      <c r="L727" s="3" t="n">
        <v>4</v>
      </c>
      <c r="M727" s="3" t="n">
        <v>5</v>
      </c>
      <c r="N727" s="3" t="n">
        <v>5</v>
      </c>
      <c r="O727" s="6" t="b">
        <f aca="false">FALSE()</f>
        <v>0</v>
      </c>
      <c r="P727" s="3"/>
      <c r="Q727" s="5" t="n">
        <v>46201.6333333333</v>
      </c>
      <c r="R727" s="5" t="n">
        <v>46202.7847222222</v>
      </c>
      <c r="S727" s="3" t="s">
        <v>37</v>
      </c>
      <c r="T727" s="7" t="n">
        <f aca="false">ROUND(MIN(IF(OR(O727=TRUE(),O727="TRUE",O727="Yes"),59,100),(I727*Rubric!$C$2+J727*Rubric!$C$3+K727*Rubric!$C$4+L727*Rubric!$C$5+M727*Rubric!$C$6+N727*Rubric!$C$7)/5),1)</f>
        <v>84</v>
      </c>
      <c r="U727" s="8" t="str">
        <f aca="false">LOOKUP(T727,Bands!$A$2:$A$6,Bands!$B$2:$B$6)</f>
        <v>Solid Performance</v>
      </c>
      <c r="V727" s="8" t="n">
        <f aca="false">IF(Q727="","",ROUND((Q727-B727)*24,1))</f>
        <v>96</v>
      </c>
    </row>
    <row r="728" customFormat="false" ht="15" hidden="false" customHeight="false" outlineLevel="0" collapsed="false">
      <c r="A728" s="3" t="s">
        <v>1589</v>
      </c>
      <c r="B728" s="5" t="n">
        <v>46197.4777777778</v>
      </c>
      <c r="C728" s="3" t="s">
        <v>30</v>
      </c>
      <c r="D728" s="3" t="s">
        <v>119</v>
      </c>
      <c r="E728" s="3" t="s">
        <v>120</v>
      </c>
      <c r="F728" s="3" t="s">
        <v>33</v>
      </c>
      <c r="G728" s="3" t="s">
        <v>54</v>
      </c>
      <c r="H728" s="3" t="s">
        <v>1590</v>
      </c>
      <c r="I728" s="3" t="n">
        <v>4</v>
      </c>
      <c r="J728" s="3" t="n">
        <v>4</v>
      </c>
      <c r="K728" s="3" t="n">
        <v>4</v>
      </c>
      <c r="L728" s="3" t="n">
        <v>4</v>
      </c>
      <c r="M728" s="3" t="n">
        <v>4</v>
      </c>
      <c r="N728" s="3" t="n">
        <v>3</v>
      </c>
      <c r="O728" s="6" t="b">
        <f aca="false">FALSE()</f>
        <v>0</v>
      </c>
      <c r="P728" s="3"/>
      <c r="Q728" s="5" t="n">
        <v>46204.4777777778</v>
      </c>
      <c r="R728" s="5" t="n">
        <v>46205.4388888889</v>
      </c>
      <c r="S728" s="3" t="s">
        <v>37</v>
      </c>
      <c r="T728" s="7" t="n">
        <f aca="false">ROUND(MIN(IF(OR(O728=TRUE(),O728="TRUE",O728="Yes"),59,100),(I728*Rubric!$C$2+J728*Rubric!$C$3+K728*Rubric!$C$4+L728*Rubric!$C$5+M728*Rubric!$C$6+N728*Rubric!$C$7)/5),1)</f>
        <v>77</v>
      </c>
      <c r="U728" s="8" t="str">
        <f aca="false">LOOKUP(T728,Bands!$A$2:$A$6,Bands!$B$2:$B$6)</f>
        <v>Meets Expectations</v>
      </c>
      <c r="V728" s="8" t="n">
        <f aca="false">IF(Q728="","",ROUND((Q728-B728)*24,1))</f>
        <v>168</v>
      </c>
    </row>
    <row r="729" customFormat="false" ht="15" hidden="false" customHeight="false" outlineLevel="0" collapsed="false">
      <c r="A729" s="3" t="s">
        <v>1591</v>
      </c>
      <c r="B729" s="5" t="n">
        <v>46197.675</v>
      </c>
      <c r="C729" s="3" t="s">
        <v>30</v>
      </c>
      <c r="D729" s="3" t="s">
        <v>161</v>
      </c>
      <c r="E729" s="3" t="s">
        <v>162</v>
      </c>
      <c r="F729" s="3" t="s">
        <v>33</v>
      </c>
      <c r="G729" s="3" t="s">
        <v>54</v>
      </c>
      <c r="H729" s="3" t="s">
        <v>1592</v>
      </c>
      <c r="I729" s="3" t="n">
        <v>4</v>
      </c>
      <c r="J729" s="3" t="n">
        <v>4</v>
      </c>
      <c r="K729" s="3" t="n">
        <v>5</v>
      </c>
      <c r="L729" s="3" t="n">
        <v>4</v>
      </c>
      <c r="M729" s="3" t="n">
        <v>2</v>
      </c>
      <c r="N729" s="3" t="n">
        <v>4</v>
      </c>
      <c r="O729" s="6" t="b">
        <f aca="false">FALSE()</f>
        <v>0</v>
      </c>
      <c r="P729" s="3" t="s">
        <v>103</v>
      </c>
      <c r="Q729" s="5" t="n">
        <v>46200.675</v>
      </c>
      <c r="R729" s="5" t="n">
        <v>46204.4180555556</v>
      </c>
      <c r="S729" s="3" t="s">
        <v>37</v>
      </c>
      <c r="T729" s="7" t="n">
        <f aca="false">ROUND(MIN(IF(OR(O729=TRUE(),O729="TRUE",O729="Yes"),59,100),(I729*Rubric!$C$2+J729*Rubric!$C$3+K729*Rubric!$C$4+L729*Rubric!$C$5+M729*Rubric!$C$6+N729*Rubric!$C$7)/5),1)</f>
        <v>80</v>
      </c>
      <c r="U729" s="8" t="str">
        <f aca="false">LOOKUP(T729,Bands!$A$2:$A$6,Bands!$B$2:$B$6)</f>
        <v>Solid Performance</v>
      </c>
      <c r="V729" s="8" t="n">
        <f aca="false">IF(Q729="","",ROUND((Q729-B729)*24,1))</f>
        <v>72</v>
      </c>
    </row>
    <row r="730" customFormat="false" ht="15" hidden="false" customHeight="false" outlineLevel="0" collapsed="false">
      <c r="A730" s="3" t="s">
        <v>1593</v>
      </c>
      <c r="B730" s="5" t="n">
        <v>46197.6958333333</v>
      </c>
      <c r="C730" s="3" t="s">
        <v>68</v>
      </c>
      <c r="D730" s="3" t="s">
        <v>198</v>
      </c>
      <c r="E730" s="3" t="s">
        <v>199</v>
      </c>
      <c r="F730" s="3" t="s">
        <v>33</v>
      </c>
      <c r="G730" s="3" t="s">
        <v>42</v>
      </c>
      <c r="H730" s="3" t="s">
        <v>1594</v>
      </c>
      <c r="I730" s="3" t="n">
        <v>4</v>
      </c>
      <c r="J730" s="3" t="n">
        <v>3</v>
      </c>
      <c r="K730" s="3" t="n">
        <v>4</v>
      </c>
      <c r="L730" s="3" t="n">
        <v>4</v>
      </c>
      <c r="M730" s="3" t="n">
        <v>4</v>
      </c>
      <c r="N730" s="3" t="n">
        <v>4</v>
      </c>
      <c r="O730" s="6" t="b">
        <f aca="false">FALSE()</f>
        <v>0</v>
      </c>
      <c r="P730" s="3"/>
      <c r="Q730" s="5" t="n">
        <v>46204.6958333333</v>
      </c>
      <c r="R730" s="5" t="n">
        <v>46204.9243055556</v>
      </c>
      <c r="S730" s="3" t="s">
        <v>37</v>
      </c>
      <c r="T730" s="7" t="n">
        <f aca="false">ROUND(MIN(IF(OR(O730=TRUE(),O730="TRUE",O730="Yes"),59,100),(I730*Rubric!$C$2+J730*Rubric!$C$3+K730*Rubric!$C$4+L730*Rubric!$C$5+M730*Rubric!$C$6+N730*Rubric!$C$7)/5),1)</f>
        <v>75</v>
      </c>
      <c r="U730" s="8" t="str">
        <f aca="false">LOOKUP(T730,Bands!$A$2:$A$6,Bands!$B$2:$B$6)</f>
        <v>Meets Expectations</v>
      </c>
      <c r="V730" s="8" t="n">
        <f aca="false">IF(Q730="","",ROUND((Q730-B730)*24,1))</f>
        <v>168</v>
      </c>
    </row>
    <row r="731" customFormat="false" ht="15" hidden="false" customHeight="false" outlineLevel="0" collapsed="false">
      <c r="A731" s="3" t="s">
        <v>1595</v>
      </c>
      <c r="B731" s="5" t="n">
        <v>46197.4055555556</v>
      </c>
      <c r="C731" s="3" t="s">
        <v>30</v>
      </c>
      <c r="D731" s="3" t="s">
        <v>125</v>
      </c>
      <c r="E731" s="3" t="s">
        <v>126</v>
      </c>
      <c r="F731" s="3" t="s">
        <v>53</v>
      </c>
      <c r="G731" s="3" t="s">
        <v>54</v>
      </c>
      <c r="H731" s="3" t="s">
        <v>1596</v>
      </c>
      <c r="I731" s="3" t="n">
        <v>4</v>
      </c>
      <c r="J731" s="3" t="n">
        <v>5</v>
      </c>
      <c r="K731" s="3" t="n">
        <v>4</v>
      </c>
      <c r="L731" s="3" t="n">
        <v>2</v>
      </c>
      <c r="M731" s="3" t="n">
        <v>4</v>
      </c>
      <c r="N731" s="3" t="n">
        <v>4</v>
      </c>
      <c r="O731" s="6" t="b">
        <f aca="false">FALSE()</f>
        <v>0</v>
      </c>
      <c r="P731" s="3" t="s">
        <v>44</v>
      </c>
      <c r="Q731" s="5" t="n">
        <v>46201.4055555556</v>
      </c>
      <c r="R731" s="5" t="n">
        <v>46201.45</v>
      </c>
      <c r="S731" s="3" t="s">
        <v>37</v>
      </c>
      <c r="T731" s="7" t="n">
        <f aca="false">ROUND(MIN(IF(OR(O731=TRUE(),O731="TRUE",O731="Yes"),59,100),(I731*Rubric!$C$2+J731*Rubric!$C$3+K731*Rubric!$C$4+L731*Rubric!$C$5+M731*Rubric!$C$6+N731*Rubric!$C$7)/5),1)</f>
        <v>79</v>
      </c>
      <c r="U731" s="8" t="str">
        <f aca="false">LOOKUP(T731,Bands!$A$2:$A$6,Bands!$B$2:$B$6)</f>
        <v>Meets Expectations</v>
      </c>
      <c r="V731" s="8" t="n">
        <f aca="false">IF(Q731="","",ROUND((Q731-B731)*24,1))</f>
        <v>96</v>
      </c>
    </row>
    <row r="732" customFormat="false" ht="15" hidden="false" customHeight="false" outlineLevel="0" collapsed="false">
      <c r="A732" s="3" t="s">
        <v>1597</v>
      </c>
      <c r="B732" s="5" t="n">
        <v>46197.4979166667</v>
      </c>
      <c r="C732" s="3" t="s">
        <v>68</v>
      </c>
      <c r="D732" s="3" t="s">
        <v>133</v>
      </c>
      <c r="E732" s="3" t="s">
        <v>134</v>
      </c>
      <c r="F732" s="3" t="s">
        <v>33</v>
      </c>
      <c r="G732" s="3" t="s">
        <v>54</v>
      </c>
      <c r="H732" s="3" t="s">
        <v>1598</v>
      </c>
      <c r="I732" s="3" t="n">
        <v>4</v>
      </c>
      <c r="J732" s="3" t="n">
        <v>3</v>
      </c>
      <c r="K732" s="3" t="n">
        <v>4</v>
      </c>
      <c r="L732" s="3" t="n">
        <v>5</v>
      </c>
      <c r="M732" s="3" t="n">
        <v>4</v>
      </c>
      <c r="N732" s="3" t="n">
        <v>5</v>
      </c>
      <c r="O732" s="6" t="b">
        <f aca="false">FALSE()</f>
        <v>0</v>
      </c>
      <c r="P732" s="3"/>
      <c r="Q732" s="5" t="n">
        <v>46201.4979166667</v>
      </c>
      <c r="R732" s="5" t="n">
        <v>46202.5409722222</v>
      </c>
      <c r="S732" s="3" t="s">
        <v>37</v>
      </c>
      <c r="T732" s="7" t="n">
        <f aca="false">ROUND(MIN(IF(OR(O732=TRUE(),O732="TRUE",O732="Yes"),59,100),(I732*Rubric!$C$2+J732*Rubric!$C$3+K732*Rubric!$C$4+L732*Rubric!$C$5+M732*Rubric!$C$6+N732*Rubric!$C$7)/5),1)</f>
        <v>81</v>
      </c>
      <c r="U732" s="8" t="str">
        <f aca="false">LOOKUP(T732,Bands!$A$2:$A$6,Bands!$B$2:$B$6)</f>
        <v>Solid Performance</v>
      </c>
      <c r="V732" s="8" t="n">
        <f aca="false">IF(Q732="","",ROUND((Q732-B732)*24,1))</f>
        <v>96</v>
      </c>
    </row>
    <row r="733" customFormat="false" ht="15" hidden="false" customHeight="false" outlineLevel="0" collapsed="false">
      <c r="A733" s="3" t="s">
        <v>1599</v>
      </c>
      <c r="B733" s="5" t="n">
        <v>46197.6111111111</v>
      </c>
      <c r="C733" s="3" t="s">
        <v>30</v>
      </c>
      <c r="D733" s="3" t="s">
        <v>222</v>
      </c>
      <c r="E733" s="3" t="s">
        <v>223</v>
      </c>
      <c r="F733" s="3" t="s">
        <v>53</v>
      </c>
      <c r="G733" s="3" t="s">
        <v>42</v>
      </c>
      <c r="H733" s="3" t="s">
        <v>1600</v>
      </c>
      <c r="I733" s="3" t="n">
        <v>3</v>
      </c>
      <c r="J733" s="3" t="n">
        <v>5</v>
      </c>
      <c r="K733" s="3" t="n">
        <v>5</v>
      </c>
      <c r="L733" s="3" t="n">
        <v>4</v>
      </c>
      <c r="M733" s="3" t="n">
        <v>4</v>
      </c>
      <c r="N733" s="3" t="n">
        <v>4</v>
      </c>
      <c r="O733" s="6" t="b">
        <f aca="false">FALSE()</f>
        <v>0</v>
      </c>
      <c r="P733" s="3"/>
      <c r="Q733" s="5" t="n">
        <v>46200.6111111111</v>
      </c>
      <c r="R733" s="5" t="n">
        <v>46202.3472222222</v>
      </c>
      <c r="S733" s="3" t="s">
        <v>37</v>
      </c>
      <c r="T733" s="7" t="n">
        <f aca="false">ROUND(MIN(IF(OR(O733=TRUE(),O733="TRUE",O733="Yes"),59,100),(I733*Rubric!$C$2+J733*Rubric!$C$3+K733*Rubric!$C$4+L733*Rubric!$C$5+M733*Rubric!$C$6+N733*Rubric!$C$7)/5),1)</f>
        <v>86</v>
      </c>
      <c r="U733" s="8" t="str">
        <f aca="false">LOOKUP(T733,Bands!$A$2:$A$6,Bands!$B$2:$B$6)</f>
        <v>Solid Performance</v>
      </c>
      <c r="V733" s="8" t="n">
        <f aca="false">IF(Q733="","",ROUND((Q733-B733)*24,1))</f>
        <v>72</v>
      </c>
    </row>
    <row r="734" customFormat="false" ht="15" hidden="false" customHeight="false" outlineLevel="0" collapsed="false">
      <c r="A734" s="3" t="s">
        <v>1601</v>
      </c>
      <c r="B734" s="5" t="n">
        <v>46198.4368055556</v>
      </c>
      <c r="C734" s="3" t="s">
        <v>39</v>
      </c>
      <c r="D734" s="3" t="s">
        <v>155</v>
      </c>
      <c r="E734" s="3" t="s">
        <v>156</v>
      </c>
      <c r="F734" s="3" t="s">
        <v>65</v>
      </c>
      <c r="G734" s="3" t="s">
        <v>54</v>
      </c>
      <c r="H734" s="3" t="s">
        <v>1602</v>
      </c>
      <c r="I734" s="3" t="n">
        <v>3</v>
      </c>
      <c r="J734" s="3" t="n">
        <v>5</v>
      </c>
      <c r="K734" s="3" t="n">
        <v>5</v>
      </c>
      <c r="L734" s="3" t="n">
        <v>4</v>
      </c>
      <c r="M734" s="3" t="n">
        <v>5</v>
      </c>
      <c r="N734" s="3" t="n">
        <v>5</v>
      </c>
      <c r="O734" s="6" t="b">
        <f aca="false">FALSE()</f>
        <v>0</v>
      </c>
      <c r="P734" s="3"/>
      <c r="Q734" s="5" t="n">
        <v>46210.4368055556</v>
      </c>
      <c r="R734" s="5" t="n">
        <v>46211.15625</v>
      </c>
      <c r="S734" s="3" t="s">
        <v>37</v>
      </c>
      <c r="T734" s="7" t="n">
        <f aca="false">ROUND(MIN(IF(OR(O734=TRUE(),O734="TRUE",O734="Yes"),59,100),(I734*Rubric!$C$2+J734*Rubric!$C$3+K734*Rubric!$C$4+L734*Rubric!$C$5+M734*Rubric!$C$6+N734*Rubric!$C$7)/5),1)</f>
        <v>91</v>
      </c>
      <c r="U734" s="8" t="str">
        <f aca="false">LOOKUP(T734,Bands!$A$2:$A$6,Bands!$B$2:$B$6)</f>
        <v>Outstanding</v>
      </c>
      <c r="V734" s="8" t="n">
        <f aca="false">IF(Q734="","",ROUND((Q734-B734)*24,1))</f>
        <v>288</v>
      </c>
    </row>
    <row r="735" customFormat="false" ht="15" hidden="false" customHeight="false" outlineLevel="0" collapsed="false">
      <c r="A735" s="3" t="s">
        <v>1603</v>
      </c>
      <c r="B735" s="5" t="n">
        <v>46198.5826388889</v>
      </c>
      <c r="C735" s="3" t="s">
        <v>39</v>
      </c>
      <c r="D735" s="3" t="s">
        <v>90</v>
      </c>
      <c r="E735" s="3" t="s">
        <v>91</v>
      </c>
      <c r="F735" s="3" t="s">
        <v>65</v>
      </c>
      <c r="G735" s="3" t="s">
        <v>42</v>
      </c>
      <c r="H735" s="3" t="s">
        <v>1604</v>
      </c>
      <c r="I735" s="3" t="n">
        <v>4</v>
      </c>
      <c r="J735" s="3" t="n">
        <v>4</v>
      </c>
      <c r="K735" s="3" t="n">
        <v>4</v>
      </c>
      <c r="L735" s="3" t="n">
        <v>2</v>
      </c>
      <c r="M735" s="3" t="n">
        <v>5</v>
      </c>
      <c r="N735" s="3" t="n">
        <v>4</v>
      </c>
      <c r="O735" s="6" t="b">
        <f aca="false">FALSE()</f>
        <v>0</v>
      </c>
      <c r="P735" s="3" t="s">
        <v>44</v>
      </c>
      <c r="Q735" s="5" t="n">
        <v>46205.5826388889</v>
      </c>
      <c r="R735" s="5" t="n">
        <v>46206.5173611111</v>
      </c>
      <c r="S735" s="3" t="s">
        <v>37</v>
      </c>
      <c r="T735" s="7" t="n">
        <f aca="false">ROUND(MIN(IF(OR(O735=TRUE(),O735="TRUE",O735="Yes"),59,100),(I735*Rubric!$C$2+J735*Rubric!$C$3+K735*Rubric!$C$4+L735*Rubric!$C$5+M735*Rubric!$C$6+N735*Rubric!$C$7)/5),1)</f>
        <v>76</v>
      </c>
      <c r="U735" s="8" t="str">
        <f aca="false">LOOKUP(T735,Bands!$A$2:$A$6,Bands!$B$2:$B$6)</f>
        <v>Meets Expectations</v>
      </c>
      <c r="V735" s="8" t="n">
        <f aca="false">IF(Q735="","",ROUND((Q735-B735)*24,1))</f>
        <v>168</v>
      </c>
    </row>
    <row r="736" customFormat="false" ht="15" hidden="false" customHeight="false" outlineLevel="0" collapsed="false">
      <c r="A736" s="3" t="s">
        <v>1605</v>
      </c>
      <c r="B736" s="5" t="n">
        <v>46198.4548611111</v>
      </c>
      <c r="C736" s="3" t="s">
        <v>39</v>
      </c>
      <c r="D736" s="3" t="s">
        <v>85</v>
      </c>
      <c r="E736" s="3" t="s">
        <v>86</v>
      </c>
      <c r="F736" s="3" t="s">
        <v>33</v>
      </c>
      <c r="G736" s="3" t="s">
        <v>54</v>
      </c>
      <c r="H736" s="3" t="s">
        <v>1606</v>
      </c>
      <c r="I736" s="3" t="n">
        <v>3</v>
      </c>
      <c r="J736" s="3" t="n">
        <v>5</v>
      </c>
      <c r="K736" s="3" t="n">
        <v>3</v>
      </c>
      <c r="L736" s="3" t="n">
        <v>4</v>
      </c>
      <c r="M736" s="3" t="n">
        <v>4</v>
      </c>
      <c r="N736" s="3" t="n">
        <v>3</v>
      </c>
      <c r="O736" s="6" t="b">
        <f aca="false">FALSE()</f>
        <v>0</v>
      </c>
      <c r="P736" s="3"/>
      <c r="Q736" s="5" t="n">
        <v>46202.4548611111</v>
      </c>
      <c r="R736" s="5" t="n">
        <v>46202.5090277778</v>
      </c>
      <c r="S736" s="3" t="s">
        <v>37</v>
      </c>
      <c r="T736" s="7" t="n">
        <f aca="false">ROUND(MIN(IF(OR(O736=TRUE(),O736="TRUE",O736="Yes"),59,100),(I736*Rubric!$C$2+J736*Rubric!$C$3+K736*Rubric!$C$4+L736*Rubric!$C$5+M736*Rubric!$C$6+N736*Rubric!$C$7)/5),1)</f>
        <v>75</v>
      </c>
      <c r="U736" s="8" t="str">
        <f aca="false">LOOKUP(T736,Bands!$A$2:$A$6,Bands!$B$2:$B$6)</f>
        <v>Meets Expectations</v>
      </c>
      <c r="V736" s="8" t="n">
        <f aca="false">IF(Q736="","",ROUND((Q736-B736)*24,1))</f>
        <v>96</v>
      </c>
    </row>
    <row r="737" customFormat="false" ht="15" hidden="false" customHeight="false" outlineLevel="0" collapsed="false">
      <c r="A737" s="3" t="s">
        <v>1607</v>
      </c>
      <c r="B737" s="5" t="n">
        <v>46198.4006944444</v>
      </c>
      <c r="C737" s="3" t="s">
        <v>68</v>
      </c>
      <c r="D737" s="3" t="s">
        <v>133</v>
      </c>
      <c r="E737" s="3" t="s">
        <v>134</v>
      </c>
      <c r="F737" s="3" t="s">
        <v>33</v>
      </c>
      <c r="G737" s="3" t="s">
        <v>42</v>
      </c>
      <c r="H737" s="3" t="s">
        <v>1608</v>
      </c>
      <c r="I737" s="3" t="n">
        <v>5</v>
      </c>
      <c r="J737" s="3" t="n">
        <v>3</v>
      </c>
      <c r="K737" s="3" t="n">
        <v>5</v>
      </c>
      <c r="L737" s="3" t="n">
        <v>4</v>
      </c>
      <c r="M737" s="3" t="n">
        <v>5</v>
      </c>
      <c r="N737" s="3" t="n">
        <v>5</v>
      </c>
      <c r="O737" s="6" t="b">
        <f aca="false">FALSE()</f>
        <v>0</v>
      </c>
      <c r="P737" s="3"/>
      <c r="Q737" s="5" t="n">
        <v>46204.4006944444</v>
      </c>
      <c r="R737" s="5" t="n">
        <v>46205.1277777778</v>
      </c>
      <c r="S737" s="3" t="s">
        <v>37</v>
      </c>
      <c r="T737" s="7" t="n">
        <f aca="false">ROUND(MIN(IF(OR(O737=TRUE(),O737="TRUE",O737="Yes"),59,100),(I737*Rubric!$C$2+J737*Rubric!$C$3+K737*Rubric!$C$4+L737*Rubric!$C$5+M737*Rubric!$C$6+N737*Rubric!$C$7)/5),1)</f>
        <v>87</v>
      </c>
      <c r="U737" s="8" t="str">
        <f aca="false">LOOKUP(T737,Bands!$A$2:$A$6,Bands!$B$2:$B$6)</f>
        <v>Solid Performance</v>
      </c>
      <c r="V737" s="8" t="n">
        <f aca="false">IF(Q737="","",ROUND((Q737-B737)*24,1))</f>
        <v>144</v>
      </c>
    </row>
    <row r="738" customFormat="false" ht="15" hidden="false" customHeight="false" outlineLevel="0" collapsed="false">
      <c r="A738" s="3" t="s">
        <v>1609</v>
      </c>
      <c r="B738" s="5" t="n">
        <v>46198.4770833333</v>
      </c>
      <c r="C738" s="3" t="s">
        <v>30</v>
      </c>
      <c r="D738" s="3" t="s">
        <v>31</v>
      </c>
      <c r="E738" s="3" t="s">
        <v>32</v>
      </c>
      <c r="F738" s="3" t="s">
        <v>33</v>
      </c>
      <c r="G738" s="3" t="s">
        <v>34</v>
      </c>
      <c r="H738" s="3" t="s">
        <v>1610</v>
      </c>
      <c r="I738" s="3" t="n">
        <v>4</v>
      </c>
      <c r="J738" s="3" t="n">
        <v>4</v>
      </c>
      <c r="K738" s="3" t="n">
        <v>5</v>
      </c>
      <c r="L738" s="3" t="n">
        <v>4</v>
      </c>
      <c r="M738" s="3" t="n">
        <v>4</v>
      </c>
      <c r="N738" s="3" t="n">
        <v>2</v>
      </c>
      <c r="O738" s="6" t="b">
        <f aca="false">FALSE()</f>
        <v>0</v>
      </c>
      <c r="P738" s="3" t="s">
        <v>36</v>
      </c>
      <c r="Q738" s="5" t="n">
        <v>46202.4770833333</v>
      </c>
      <c r="R738" s="5" t="n">
        <v>46206.5881944444</v>
      </c>
      <c r="S738" s="3" t="s">
        <v>37</v>
      </c>
      <c r="T738" s="7" t="n">
        <f aca="false">ROUND(MIN(IF(OR(O738=TRUE(),O738="TRUE",O738="Yes"),59,100),(I738*Rubric!$C$2+J738*Rubric!$C$3+K738*Rubric!$C$4+L738*Rubric!$C$5+M738*Rubric!$C$6+N738*Rubric!$C$7)/5),1)</f>
        <v>78</v>
      </c>
      <c r="U738" s="8" t="str">
        <f aca="false">LOOKUP(T738,Bands!$A$2:$A$6,Bands!$B$2:$B$6)</f>
        <v>Meets Expectations</v>
      </c>
      <c r="V738" s="8" t="n">
        <f aca="false">IF(Q738="","",ROUND((Q738-B738)*24,1))</f>
        <v>96</v>
      </c>
    </row>
    <row r="739" customFormat="false" ht="15" hidden="false" customHeight="false" outlineLevel="0" collapsed="false">
      <c r="A739" s="3" t="s">
        <v>1611</v>
      </c>
      <c r="B739" s="5" t="n">
        <v>46198.5736111111</v>
      </c>
      <c r="C739" s="3" t="s">
        <v>68</v>
      </c>
      <c r="D739" s="3" t="s">
        <v>212</v>
      </c>
      <c r="E739" s="3" t="s">
        <v>213</v>
      </c>
      <c r="F739" s="3" t="s">
        <v>33</v>
      </c>
      <c r="G739" s="3" t="s">
        <v>54</v>
      </c>
      <c r="H739" s="3" t="s">
        <v>1612</v>
      </c>
      <c r="I739" s="3" t="n">
        <v>4</v>
      </c>
      <c r="J739" s="3" t="n">
        <v>5</v>
      </c>
      <c r="K739" s="3" t="n">
        <v>4</v>
      </c>
      <c r="L739" s="3" t="n">
        <v>3</v>
      </c>
      <c r="M739" s="3" t="n">
        <v>2</v>
      </c>
      <c r="N739" s="3" t="n">
        <v>3</v>
      </c>
      <c r="O739" s="6" t="b">
        <f aca="false">FALSE()</f>
        <v>0</v>
      </c>
      <c r="P739" s="3" t="s">
        <v>103</v>
      </c>
      <c r="Q739" s="5" t="n">
        <v>46203.5736111111</v>
      </c>
      <c r="R739" s="5" t="n">
        <v>46204.5680555556</v>
      </c>
      <c r="S739" s="3" t="s">
        <v>37</v>
      </c>
      <c r="T739" s="7" t="n">
        <f aca="false">ROUND(MIN(IF(OR(O739=TRUE(),O739="TRUE",O739="Yes"),59,100),(I739*Rubric!$C$2+J739*Rubric!$C$3+K739*Rubric!$C$4+L739*Rubric!$C$5+M739*Rubric!$C$6+N739*Rubric!$C$7)/5),1)</f>
        <v>75</v>
      </c>
      <c r="U739" s="8" t="str">
        <f aca="false">LOOKUP(T739,Bands!$A$2:$A$6,Bands!$B$2:$B$6)</f>
        <v>Meets Expectations</v>
      </c>
      <c r="V739" s="8" t="n">
        <f aca="false">IF(Q739="","",ROUND((Q739-B739)*24,1))</f>
        <v>120</v>
      </c>
    </row>
    <row r="740" customFormat="false" ht="15" hidden="false" customHeight="false" outlineLevel="0" collapsed="false">
      <c r="A740" s="3" t="s">
        <v>1613</v>
      </c>
      <c r="B740" s="5" t="n">
        <v>46198.5444444444</v>
      </c>
      <c r="C740" s="3" t="s">
        <v>39</v>
      </c>
      <c r="D740" s="3" t="s">
        <v>115</v>
      </c>
      <c r="E740" s="3" t="s">
        <v>116</v>
      </c>
      <c r="F740" s="3" t="s">
        <v>33</v>
      </c>
      <c r="G740" s="3" t="s">
        <v>42</v>
      </c>
      <c r="H740" s="3" t="s">
        <v>1614</v>
      </c>
      <c r="I740" s="3" t="n">
        <v>4</v>
      </c>
      <c r="J740" s="3" t="n">
        <v>4</v>
      </c>
      <c r="K740" s="3" t="n">
        <v>5</v>
      </c>
      <c r="L740" s="3" t="n">
        <v>4</v>
      </c>
      <c r="M740" s="3" t="n">
        <v>2</v>
      </c>
      <c r="N740" s="3" t="n">
        <v>4</v>
      </c>
      <c r="O740" s="6" t="b">
        <f aca="false">FALSE()</f>
        <v>0</v>
      </c>
      <c r="P740" s="3" t="s">
        <v>103</v>
      </c>
      <c r="Q740" s="5" t="n">
        <v>46205.5444444444</v>
      </c>
      <c r="R740" s="5" t="n">
        <v>46207.8006944444</v>
      </c>
      <c r="S740" s="3" t="s">
        <v>37</v>
      </c>
      <c r="T740" s="7" t="n">
        <f aca="false">ROUND(MIN(IF(OR(O740=TRUE(),O740="TRUE",O740="Yes"),59,100),(I740*Rubric!$C$2+J740*Rubric!$C$3+K740*Rubric!$C$4+L740*Rubric!$C$5+M740*Rubric!$C$6+N740*Rubric!$C$7)/5),1)</f>
        <v>80</v>
      </c>
      <c r="U740" s="8" t="str">
        <f aca="false">LOOKUP(T740,Bands!$A$2:$A$6,Bands!$B$2:$B$6)</f>
        <v>Solid Performance</v>
      </c>
      <c r="V740" s="8" t="n">
        <f aca="false">IF(Q740="","",ROUND((Q740-B740)*24,1))</f>
        <v>168</v>
      </c>
    </row>
    <row r="741" customFormat="false" ht="15" hidden="false" customHeight="false" outlineLevel="0" collapsed="false">
      <c r="A741" s="3" t="s">
        <v>1615</v>
      </c>
      <c r="B741" s="5" t="n">
        <v>46198.4611111111</v>
      </c>
      <c r="C741" s="3" t="s">
        <v>39</v>
      </c>
      <c r="D741" s="3" t="s">
        <v>105</v>
      </c>
      <c r="E741" s="3" t="s">
        <v>106</v>
      </c>
      <c r="F741" s="3" t="s">
        <v>65</v>
      </c>
      <c r="G741" s="3" t="s">
        <v>34</v>
      </c>
      <c r="H741" s="3" t="s">
        <v>1616</v>
      </c>
      <c r="I741" s="3" t="n">
        <v>4</v>
      </c>
      <c r="J741" s="3" t="n">
        <v>3</v>
      </c>
      <c r="K741" s="3" t="n">
        <v>4</v>
      </c>
      <c r="L741" s="3" t="n">
        <v>4</v>
      </c>
      <c r="M741" s="3" t="n">
        <v>4</v>
      </c>
      <c r="N741" s="3" t="n">
        <v>3</v>
      </c>
      <c r="O741" s="6" t="b">
        <f aca="false">FALSE()</f>
        <v>0</v>
      </c>
      <c r="P741" s="3"/>
      <c r="Q741" s="5" t="n">
        <v>46204.4611111111</v>
      </c>
      <c r="R741" s="5" t="n">
        <v>46205.6354166667</v>
      </c>
      <c r="S741" s="3" t="s">
        <v>37</v>
      </c>
      <c r="T741" s="7" t="n">
        <f aca="false">ROUND(MIN(IF(OR(O741=TRUE(),O741="TRUE",O741="Yes"),59,100),(I741*Rubric!$C$2+J741*Rubric!$C$3+K741*Rubric!$C$4+L741*Rubric!$C$5+M741*Rubric!$C$6+N741*Rubric!$C$7)/5),1)</f>
        <v>72</v>
      </c>
      <c r="U741" s="8" t="str">
        <f aca="false">LOOKUP(T741,Bands!$A$2:$A$6,Bands!$B$2:$B$6)</f>
        <v>Meets Expectations</v>
      </c>
      <c r="V741" s="8" t="n">
        <f aca="false">IF(Q741="","",ROUND((Q741-B741)*24,1))</f>
        <v>144</v>
      </c>
    </row>
    <row r="742" customFormat="false" ht="15" hidden="false" customHeight="false" outlineLevel="0" collapsed="false">
      <c r="A742" s="3" t="s">
        <v>1617</v>
      </c>
      <c r="B742" s="5" t="n">
        <v>46198.7048611111</v>
      </c>
      <c r="C742" s="3" t="s">
        <v>30</v>
      </c>
      <c r="D742" s="3" t="s">
        <v>198</v>
      </c>
      <c r="E742" s="3" t="s">
        <v>199</v>
      </c>
      <c r="F742" s="3" t="s">
        <v>33</v>
      </c>
      <c r="G742" s="3" t="s">
        <v>54</v>
      </c>
      <c r="H742" s="3" t="s">
        <v>1618</v>
      </c>
      <c r="I742" s="3" t="n">
        <v>4</v>
      </c>
      <c r="J742" s="3" t="n">
        <v>2</v>
      </c>
      <c r="K742" s="3" t="n">
        <v>5</v>
      </c>
      <c r="L742" s="3" t="n">
        <v>4</v>
      </c>
      <c r="M742" s="3" t="n">
        <v>4</v>
      </c>
      <c r="N742" s="3" t="n">
        <v>4</v>
      </c>
      <c r="O742" s="6" t="b">
        <f aca="false">FALSE()</f>
        <v>0</v>
      </c>
      <c r="P742" s="3" t="s">
        <v>56</v>
      </c>
      <c r="Q742" s="5" t="n">
        <v>46202.7048611111</v>
      </c>
      <c r="R742" s="5" t="n">
        <v>46204.44375</v>
      </c>
      <c r="S742" s="3" t="s">
        <v>37</v>
      </c>
      <c r="T742" s="7" t="n">
        <f aca="false">ROUND(MIN(IF(OR(O742=TRUE(),O742="TRUE",O742="Yes"),59,100),(I742*Rubric!$C$2+J742*Rubric!$C$3+K742*Rubric!$C$4+L742*Rubric!$C$5+M742*Rubric!$C$6+N742*Rubric!$C$7)/5),1)</f>
        <v>74</v>
      </c>
      <c r="U742" s="8" t="str">
        <f aca="false">LOOKUP(T742,Bands!$A$2:$A$6,Bands!$B$2:$B$6)</f>
        <v>Meets Expectations</v>
      </c>
      <c r="V742" s="8" t="n">
        <f aca="false">IF(Q742="","",ROUND((Q742-B742)*24,1))</f>
        <v>96</v>
      </c>
    </row>
    <row r="743" customFormat="false" ht="15" hidden="false" customHeight="false" outlineLevel="0" collapsed="false">
      <c r="A743" s="3" t="s">
        <v>1619</v>
      </c>
      <c r="B743" s="5" t="n">
        <v>46198.6597222222</v>
      </c>
      <c r="C743" s="3" t="s">
        <v>30</v>
      </c>
      <c r="D743" s="3" t="s">
        <v>228</v>
      </c>
      <c r="E743" s="3" t="s">
        <v>229</v>
      </c>
      <c r="F743" s="3" t="s">
        <v>65</v>
      </c>
      <c r="G743" s="3" t="s">
        <v>42</v>
      </c>
      <c r="H743" s="3" t="s">
        <v>1620</v>
      </c>
      <c r="I743" s="3" t="n">
        <v>3</v>
      </c>
      <c r="J743" s="3" t="n">
        <v>3</v>
      </c>
      <c r="K743" s="3" t="n">
        <v>3</v>
      </c>
      <c r="L743" s="3" t="n">
        <v>2</v>
      </c>
      <c r="M743" s="3" t="n">
        <v>3</v>
      </c>
      <c r="N743" s="3" t="n">
        <v>3</v>
      </c>
      <c r="O743" s="6" t="b">
        <f aca="false">FALSE()</f>
        <v>0</v>
      </c>
      <c r="P743" s="3" t="s">
        <v>44</v>
      </c>
      <c r="Q743" s="5" t="n">
        <v>46203.6597222222</v>
      </c>
      <c r="R743" s="5" t="n">
        <v>46203.9805555556</v>
      </c>
      <c r="S743" s="3" t="s">
        <v>37</v>
      </c>
      <c r="T743" s="7" t="n">
        <f aca="false">ROUND(MIN(IF(OR(O743=TRUE(),O743="TRUE",O743="Yes"),59,100),(I743*Rubric!$C$2+J743*Rubric!$C$3+K743*Rubric!$C$4+L743*Rubric!$C$5+M743*Rubric!$C$6+N743*Rubric!$C$7)/5),1)</f>
        <v>57</v>
      </c>
      <c r="U743" s="8" t="str">
        <f aca="false">LOOKUP(T743,Bands!$A$2:$A$6,Bands!$B$2:$B$6)</f>
        <v>Critical</v>
      </c>
      <c r="V743" s="8" t="n">
        <f aca="false">IF(Q743="","",ROUND((Q743-B743)*24,1))</f>
        <v>120</v>
      </c>
    </row>
    <row r="744" customFormat="false" ht="15" hidden="false" customHeight="false" outlineLevel="0" collapsed="false">
      <c r="A744" s="3" t="s">
        <v>1621</v>
      </c>
      <c r="B744" s="5" t="n">
        <v>46198.4083333333</v>
      </c>
      <c r="C744" s="3" t="s">
        <v>68</v>
      </c>
      <c r="D744" s="3" t="s">
        <v>145</v>
      </c>
      <c r="E744" s="3" t="s">
        <v>146</v>
      </c>
      <c r="F744" s="3" t="s">
        <v>33</v>
      </c>
      <c r="G744" s="3" t="s">
        <v>42</v>
      </c>
      <c r="H744" s="3" t="s">
        <v>1622</v>
      </c>
      <c r="I744" s="3" t="n">
        <v>3</v>
      </c>
      <c r="J744" s="3" t="n">
        <v>3</v>
      </c>
      <c r="K744" s="3" t="n">
        <v>4</v>
      </c>
      <c r="L744" s="3" t="n">
        <v>5</v>
      </c>
      <c r="M744" s="3" t="n">
        <v>4</v>
      </c>
      <c r="N744" s="3" t="n">
        <v>4</v>
      </c>
      <c r="O744" s="6" t="b">
        <f aca="false">FALSE()</f>
        <v>0</v>
      </c>
      <c r="P744" s="3"/>
      <c r="Q744" s="5" t="n">
        <v>46204.4083333333</v>
      </c>
      <c r="R744" s="5" t="n">
        <v>46205.4534722222</v>
      </c>
      <c r="S744" s="3" t="s">
        <v>37</v>
      </c>
      <c r="T744" s="7" t="n">
        <f aca="false">ROUND(MIN(IF(OR(O744=TRUE(),O744="TRUE",O744="Yes"),59,100),(I744*Rubric!$C$2+J744*Rubric!$C$3+K744*Rubric!$C$4+L744*Rubric!$C$5+M744*Rubric!$C$6+N744*Rubric!$C$7)/5),1)</f>
        <v>75</v>
      </c>
      <c r="U744" s="8" t="str">
        <f aca="false">LOOKUP(T744,Bands!$A$2:$A$6,Bands!$B$2:$B$6)</f>
        <v>Meets Expectations</v>
      </c>
      <c r="V744" s="8" t="n">
        <f aca="false">IF(Q744="","",ROUND((Q744-B744)*24,1))</f>
        <v>144</v>
      </c>
    </row>
    <row r="745" customFormat="false" ht="15" hidden="false" customHeight="false" outlineLevel="0" collapsed="false">
      <c r="A745" s="3" t="s">
        <v>1623</v>
      </c>
      <c r="B745" s="5" t="n">
        <v>46198.375</v>
      </c>
      <c r="C745" s="3" t="s">
        <v>68</v>
      </c>
      <c r="D745" s="3" t="s">
        <v>69</v>
      </c>
      <c r="E745" s="3" t="s">
        <v>70</v>
      </c>
      <c r="F745" s="3" t="s">
        <v>65</v>
      </c>
      <c r="G745" s="3" t="s">
        <v>42</v>
      </c>
      <c r="H745" s="3" t="s">
        <v>1624</v>
      </c>
      <c r="I745" s="3" t="n">
        <v>5</v>
      </c>
      <c r="J745" s="3" t="n">
        <v>4</v>
      </c>
      <c r="K745" s="3" t="n">
        <v>4</v>
      </c>
      <c r="L745" s="3" t="n">
        <v>4</v>
      </c>
      <c r="M745" s="3" t="n">
        <v>5</v>
      </c>
      <c r="N745" s="3" t="n">
        <v>3</v>
      </c>
      <c r="O745" s="6" t="b">
        <f aca="false">FALSE()</f>
        <v>0</v>
      </c>
      <c r="P745" s="3"/>
      <c r="Q745" s="5" t="n">
        <v>46203.375</v>
      </c>
      <c r="R745" s="5" t="n">
        <v>46203.4201388889</v>
      </c>
      <c r="S745" s="3" t="s">
        <v>37</v>
      </c>
      <c r="T745" s="7" t="n">
        <f aca="false">ROUND(MIN(IF(OR(O745=TRUE(),O745="TRUE",O745="Yes"),59,100),(I745*Rubric!$C$2+J745*Rubric!$C$3+K745*Rubric!$C$4+L745*Rubric!$C$5+M745*Rubric!$C$6+N745*Rubric!$C$7)/5),1)</f>
        <v>82</v>
      </c>
      <c r="U745" s="8" t="str">
        <f aca="false">LOOKUP(T745,Bands!$A$2:$A$6,Bands!$B$2:$B$6)</f>
        <v>Solid Performance</v>
      </c>
      <c r="V745" s="8" t="n">
        <f aca="false">IF(Q745="","",ROUND((Q745-B745)*24,1))</f>
        <v>120</v>
      </c>
    </row>
    <row r="746" customFormat="false" ht="15" hidden="false" customHeight="false" outlineLevel="0" collapsed="false">
      <c r="A746" s="3" t="s">
        <v>1625</v>
      </c>
      <c r="B746" s="5" t="n">
        <v>46199.375</v>
      </c>
      <c r="C746" s="3" t="s">
        <v>30</v>
      </c>
      <c r="D746" s="3" t="s">
        <v>115</v>
      </c>
      <c r="E746" s="3" t="s">
        <v>116</v>
      </c>
      <c r="F746" s="3" t="s">
        <v>33</v>
      </c>
      <c r="G746" s="3" t="s">
        <v>54</v>
      </c>
      <c r="H746" s="3" t="s">
        <v>1626</v>
      </c>
      <c r="I746" s="3" t="n">
        <v>5</v>
      </c>
      <c r="J746" s="3" t="n">
        <v>4</v>
      </c>
      <c r="K746" s="3" t="n">
        <v>3</v>
      </c>
      <c r="L746" s="3" t="n">
        <v>4</v>
      </c>
      <c r="M746" s="3" t="n">
        <v>3</v>
      </c>
      <c r="N746" s="3" t="n">
        <v>5</v>
      </c>
      <c r="O746" s="6" t="b">
        <f aca="false">FALSE()</f>
        <v>0</v>
      </c>
      <c r="P746" s="3"/>
      <c r="Q746" s="5" t="n">
        <v>46206.375</v>
      </c>
      <c r="R746" s="5" t="n">
        <v>46207.6069444444</v>
      </c>
      <c r="S746" s="3" t="s">
        <v>37</v>
      </c>
      <c r="T746" s="7" t="n">
        <f aca="false">ROUND(MIN(IF(OR(O746=TRUE(),O746="TRUE",O746="Yes"),59,100),(I746*Rubric!$C$2+J746*Rubric!$C$3+K746*Rubric!$C$4+L746*Rubric!$C$5+M746*Rubric!$C$6+N746*Rubric!$C$7)/5),1)</f>
        <v>80</v>
      </c>
      <c r="U746" s="8" t="str">
        <f aca="false">LOOKUP(T746,Bands!$A$2:$A$6,Bands!$B$2:$B$6)</f>
        <v>Solid Performance</v>
      </c>
      <c r="V746" s="8" t="n">
        <f aca="false">IF(Q746="","",ROUND((Q746-B746)*24,1))</f>
        <v>168</v>
      </c>
    </row>
    <row r="747" customFormat="false" ht="15" hidden="false" customHeight="false" outlineLevel="0" collapsed="false">
      <c r="A747" s="3" t="s">
        <v>1627</v>
      </c>
      <c r="B747" s="5" t="n">
        <v>46199.625</v>
      </c>
      <c r="C747" s="3" t="s">
        <v>30</v>
      </c>
      <c r="D747" s="3" t="s">
        <v>212</v>
      </c>
      <c r="E747" s="3" t="s">
        <v>213</v>
      </c>
      <c r="F747" s="3" t="s">
        <v>33</v>
      </c>
      <c r="G747" s="3" t="s">
        <v>54</v>
      </c>
      <c r="H747" s="3" t="s">
        <v>1628</v>
      </c>
      <c r="I747" s="3" t="n">
        <v>3</v>
      </c>
      <c r="J747" s="3" t="n">
        <v>3</v>
      </c>
      <c r="K747" s="3" t="n">
        <v>3</v>
      </c>
      <c r="L747" s="3" t="n">
        <v>3</v>
      </c>
      <c r="M747" s="3" t="n">
        <v>3</v>
      </c>
      <c r="N747" s="3" t="n">
        <v>4</v>
      </c>
      <c r="O747" s="6" t="b">
        <f aca="false">FALSE()</f>
        <v>0</v>
      </c>
      <c r="P747" s="3"/>
      <c r="Q747" s="5" t="n">
        <v>46203.625</v>
      </c>
      <c r="R747" s="5" t="n">
        <v>46203.8604166667</v>
      </c>
      <c r="S747" s="3" t="s">
        <v>37</v>
      </c>
      <c r="T747" s="7" t="n">
        <f aca="false">ROUND(MIN(IF(OR(O747=TRUE(),O747="TRUE",O747="Yes"),59,100),(I747*Rubric!$C$2+J747*Rubric!$C$3+K747*Rubric!$C$4+L747*Rubric!$C$5+M747*Rubric!$C$6+N747*Rubric!$C$7)/5),1)</f>
        <v>63</v>
      </c>
      <c r="U747" s="8" t="str">
        <f aca="false">LOOKUP(T747,Bands!$A$2:$A$6,Bands!$B$2:$B$6)</f>
        <v>Needs Improvement</v>
      </c>
      <c r="V747" s="8" t="n">
        <f aca="false">IF(Q747="","",ROUND((Q747-B747)*24,1))</f>
        <v>96</v>
      </c>
    </row>
    <row r="748" customFormat="false" ht="15" hidden="false" customHeight="false" outlineLevel="0" collapsed="false">
      <c r="A748" s="3" t="s">
        <v>1629</v>
      </c>
      <c r="B748" s="5" t="n">
        <v>46199.45625</v>
      </c>
      <c r="C748" s="3" t="s">
        <v>30</v>
      </c>
      <c r="D748" s="3" t="s">
        <v>85</v>
      </c>
      <c r="E748" s="3" t="s">
        <v>86</v>
      </c>
      <c r="F748" s="3" t="s">
        <v>33</v>
      </c>
      <c r="G748" s="3" t="s">
        <v>42</v>
      </c>
      <c r="H748" s="3" t="s">
        <v>1630</v>
      </c>
      <c r="I748" s="3" t="n">
        <v>4</v>
      </c>
      <c r="J748" s="3" t="n">
        <v>4</v>
      </c>
      <c r="K748" s="3" t="n">
        <v>5</v>
      </c>
      <c r="L748" s="3" t="n">
        <v>4</v>
      </c>
      <c r="M748" s="3" t="n">
        <v>5</v>
      </c>
      <c r="N748" s="3" t="n">
        <v>0</v>
      </c>
      <c r="O748" s="6" t="b">
        <f aca="false">TRUE()</f>
        <v>1</v>
      </c>
      <c r="P748" s="3" t="s">
        <v>36</v>
      </c>
      <c r="Q748" s="5" t="n">
        <v>46203.45625</v>
      </c>
      <c r="R748" s="5" t="n">
        <v>46203.4756944445</v>
      </c>
      <c r="S748" s="3" t="s">
        <v>37</v>
      </c>
      <c r="T748" s="7" t="n">
        <f aca="false">ROUND(MIN(IF(OR(O748=TRUE(),O748="TRUE",O748="Yes"),59,100),(I748*Rubric!$C$2+J748*Rubric!$C$3+K748*Rubric!$C$4+L748*Rubric!$C$5+M748*Rubric!$C$6+N748*Rubric!$C$7)/5),1)</f>
        <v>59</v>
      </c>
      <c r="U748" s="8" t="str">
        <f aca="false">LOOKUP(T748,Bands!$A$2:$A$6,Bands!$B$2:$B$6)</f>
        <v>Critical</v>
      </c>
      <c r="V748" s="8" t="n">
        <f aca="false">IF(Q748="","",ROUND((Q748-B748)*24,1))</f>
        <v>96</v>
      </c>
    </row>
    <row r="749" customFormat="false" ht="15" hidden="false" customHeight="false" outlineLevel="0" collapsed="false">
      <c r="A749" s="3" t="s">
        <v>1631</v>
      </c>
      <c r="B749" s="5" t="n">
        <v>46199.4118055556</v>
      </c>
      <c r="C749" s="3" t="s">
        <v>30</v>
      </c>
      <c r="D749" s="3" t="s">
        <v>265</v>
      </c>
      <c r="E749" s="3" t="s">
        <v>266</v>
      </c>
      <c r="F749" s="3" t="s">
        <v>33</v>
      </c>
      <c r="G749" s="3" t="s">
        <v>42</v>
      </c>
      <c r="H749" s="3" t="s">
        <v>1632</v>
      </c>
      <c r="I749" s="3" t="n">
        <v>4</v>
      </c>
      <c r="J749" s="3" t="n">
        <v>3</v>
      </c>
      <c r="K749" s="3" t="n">
        <v>4</v>
      </c>
      <c r="L749" s="3" t="n">
        <v>3</v>
      </c>
      <c r="M749" s="3" t="n">
        <v>3</v>
      </c>
      <c r="N749" s="3" t="n">
        <v>4</v>
      </c>
      <c r="O749" s="6" t="b">
        <f aca="false">FALSE()</f>
        <v>0</v>
      </c>
      <c r="P749" s="3"/>
      <c r="Q749" s="5" t="n">
        <v>46204.4118055556</v>
      </c>
      <c r="R749" s="5" t="n">
        <v>46205.8569444444</v>
      </c>
      <c r="S749" s="3" t="s">
        <v>37</v>
      </c>
      <c r="T749" s="7" t="n">
        <f aca="false">ROUND(MIN(IF(OR(O749=TRUE(),O749="TRUE",O749="Yes"),59,100),(I749*Rubric!$C$2+J749*Rubric!$C$3+K749*Rubric!$C$4+L749*Rubric!$C$5+M749*Rubric!$C$6+N749*Rubric!$C$7)/5),1)</f>
        <v>70</v>
      </c>
      <c r="U749" s="8" t="str">
        <f aca="false">LOOKUP(T749,Bands!$A$2:$A$6,Bands!$B$2:$B$6)</f>
        <v>Meets Expectations</v>
      </c>
      <c r="V749" s="8" t="n">
        <f aca="false">IF(Q749="","",ROUND((Q749-B749)*24,1))</f>
        <v>120</v>
      </c>
    </row>
    <row r="750" customFormat="false" ht="15" hidden="false" customHeight="false" outlineLevel="0" collapsed="false">
      <c r="A750" s="3" t="s">
        <v>1633</v>
      </c>
      <c r="B750" s="5" t="n">
        <v>46199.6465277778</v>
      </c>
      <c r="C750" s="3" t="s">
        <v>39</v>
      </c>
      <c r="D750" s="3" t="s">
        <v>251</v>
      </c>
      <c r="E750" s="3" t="s">
        <v>252</v>
      </c>
      <c r="F750" s="3" t="s">
        <v>53</v>
      </c>
      <c r="G750" s="3" t="s">
        <v>54</v>
      </c>
      <c r="H750" s="3" t="s">
        <v>1634</v>
      </c>
      <c r="I750" s="3" t="n">
        <v>4</v>
      </c>
      <c r="J750" s="3" t="n">
        <v>4</v>
      </c>
      <c r="K750" s="3" t="n">
        <v>4</v>
      </c>
      <c r="L750" s="3" t="n">
        <v>3</v>
      </c>
      <c r="M750" s="3" t="n">
        <v>3</v>
      </c>
      <c r="N750" s="3" t="n">
        <v>5</v>
      </c>
      <c r="O750" s="6" t="b">
        <f aca="false">FALSE()</f>
        <v>0</v>
      </c>
      <c r="P750" s="3"/>
      <c r="Q750" s="5" t="n">
        <v>46202.6465277778</v>
      </c>
      <c r="R750" s="5" t="n">
        <v>46203.23125</v>
      </c>
      <c r="S750" s="3" t="s">
        <v>37</v>
      </c>
      <c r="T750" s="7" t="n">
        <f aca="false">ROUND(MIN(IF(OR(O750=TRUE(),O750="TRUE",O750="Yes"),59,100),(I750*Rubric!$C$2+J750*Rubric!$C$3+K750*Rubric!$C$4+L750*Rubric!$C$5+M750*Rubric!$C$6+N750*Rubric!$C$7)/5),1)</f>
        <v>78</v>
      </c>
      <c r="U750" s="8" t="str">
        <f aca="false">LOOKUP(T750,Bands!$A$2:$A$6,Bands!$B$2:$B$6)</f>
        <v>Meets Expectations</v>
      </c>
      <c r="V750" s="8" t="n">
        <f aca="false">IF(Q750="","",ROUND((Q750-B750)*24,1))</f>
        <v>72</v>
      </c>
    </row>
    <row r="751" customFormat="false" ht="15" hidden="false" customHeight="false" outlineLevel="0" collapsed="false">
      <c r="A751" s="3" t="s">
        <v>1635</v>
      </c>
      <c r="B751" s="5" t="n">
        <v>46199.4548611111</v>
      </c>
      <c r="C751" s="3" t="s">
        <v>30</v>
      </c>
      <c r="D751" s="3" t="s">
        <v>238</v>
      </c>
      <c r="E751" s="3" t="s">
        <v>239</v>
      </c>
      <c r="F751" s="3" t="s">
        <v>33</v>
      </c>
      <c r="G751" s="3" t="s">
        <v>54</v>
      </c>
      <c r="H751" s="3" t="s">
        <v>1636</v>
      </c>
      <c r="I751" s="3" t="n">
        <v>4</v>
      </c>
      <c r="J751" s="3" t="n">
        <v>4</v>
      </c>
      <c r="K751" s="3" t="n">
        <v>4</v>
      </c>
      <c r="L751" s="3" t="n">
        <v>4</v>
      </c>
      <c r="M751" s="3" t="n">
        <v>2</v>
      </c>
      <c r="N751" s="3" t="n">
        <v>5</v>
      </c>
      <c r="O751" s="6" t="b">
        <f aca="false">FALSE()</f>
        <v>0</v>
      </c>
      <c r="P751" s="3" t="s">
        <v>103</v>
      </c>
      <c r="Q751" s="5" t="n">
        <v>46205.4548611111</v>
      </c>
      <c r="R751" s="5" t="n">
        <v>46206.8263888889</v>
      </c>
      <c r="S751" s="3" t="s">
        <v>37</v>
      </c>
      <c r="T751" s="7" t="n">
        <f aca="false">ROUND(MIN(IF(OR(O751=TRUE(),O751="TRUE",O751="Yes"),59,100),(I751*Rubric!$C$2+J751*Rubric!$C$3+K751*Rubric!$C$4+L751*Rubric!$C$5+M751*Rubric!$C$6+N751*Rubric!$C$7)/5),1)</f>
        <v>79</v>
      </c>
      <c r="U751" s="8" t="str">
        <f aca="false">LOOKUP(T751,Bands!$A$2:$A$6,Bands!$B$2:$B$6)</f>
        <v>Meets Expectations</v>
      </c>
      <c r="V751" s="8" t="n">
        <f aca="false">IF(Q751="","",ROUND((Q751-B751)*24,1))</f>
        <v>144</v>
      </c>
    </row>
    <row r="752" customFormat="false" ht="15" hidden="false" customHeight="false" outlineLevel="0" collapsed="false">
      <c r="A752" s="3" t="s">
        <v>1637</v>
      </c>
      <c r="B752" s="5" t="n">
        <v>46199.6604166667</v>
      </c>
      <c r="C752" s="3" t="s">
        <v>30</v>
      </c>
      <c r="D752" s="3" t="s">
        <v>167</v>
      </c>
      <c r="E752" s="3" t="s">
        <v>168</v>
      </c>
      <c r="F752" s="3" t="s">
        <v>33</v>
      </c>
      <c r="G752" s="3" t="s">
        <v>54</v>
      </c>
      <c r="H752" s="3" t="s">
        <v>1638</v>
      </c>
      <c r="I752" s="3" t="n">
        <v>3</v>
      </c>
      <c r="J752" s="3" t="n">
        <v>2</v>
      </c>
      <c r="K752" s="3" t="n">
        <v>4</v>
      </c>
      <c r="L752" s="3" t="n">
        <v>3</v>
      </c>
      <c r="M752" s="3" t="n">
        <v>4</v>
      </c>
      <c r="N752" s="3" t="n">
        <v>3</v>
      </c>
      <c r="O752" s="6" t="b">
        <f aca="false">FALSE()</f>
        <v>0</v>
      </c>
      <c r="P752" s="3" t="s">
        <v>56</v>
      </c>
      <c r="Q752" s="5" t="n">
        <v>46205.6604166667</v>
      </c>
      <c r="R752" s="5" t="n">
        <v>46209.91875</v>
      </c>
      <c r="S752" s="3" t="s">
        <v>37</v>
      </c>
      <c r="T752" s="7" t="n">
        <f aca="false">ROUND(MIN(IF(OR(O752=TRUE(),O752="TRUE",O752="Yes"),59,100),(I752*Rubric!$C$2+J752*Rubric!$C$3+K752*Rubric!$C$4+L752*Rubric!$C$5+M752*Rubric!$C$6+N752*Rubric!$C$7)/5),1)</f>
        <v>61</v>
      </c>
      <c r="U752" s="8" t="str">
        <f aca="false">LOOKUP(T752,Bands!$A$2:$A$6,Bands!$B$2:$B$6)</f>
        <v>Needs Improvement</v>
      </c>
      <c r="V752" s="8" t="n">
        <f aca="false">IF(Q752="","",ROUND((Q752-B752)*24,1))</f>
        <v>144</v>
      </c>
    </row>
    <row r="753" customFormat="false" ht="15" hidden="false" customHeight="false" outlineLevel="0" collapsed="false">
      <c r="A753" s="3" t="s">
        <v>1639</v>
      </c>
      <c r="B753" s="5" t="n">
        <v>46199.5173611111</v>
      </c>
      <c r="C753" s="3" t="s">
        <v>68</v>
      </c>
      <c r="D753" s="3" t="s">
        <v>119</v>
      </c>
      <c r="E753" s="3" t="s">
        <v>120</v>
      </c>
      <c r="F753" s="3" t="s">
        <v>33</v>
      </c>
      <c r="G753" s="3" t="s">
        <v>54</v>
      </c>
      <c r="H753" s="3" t="s">
        <v>1640</v>
      </c>
      <c r="I753" s="3" t="n">
        <v>4</v>
      </c>
      <c r="J753" s="3" t="n">
        <v>4</v>
      </c>
      <c r="K753" s="3" t="n">
        <v>4</v>
      </c>
      <c r="L753" s="3" t="n">
        <v>3</v>
      </c>
      <c r="M753" s="3" t="n">
        <v>4</v>
      </c>
      <c r="N753" s="3" t="n">
        <v>2</v>
      </c>
      <c r="O753" s="6" t="b">
        <f aca="false">FALSE()</f>
        <v>0</v>
      </c>
      <c r="P753" s="3" t="s">
        <v>36</v>
      </c>
      <c r="Q753" s="5" t="n">
        <v>46205.5173611111</v>
      </c>
      <c r="R753" s="5" t="n">
        <v>46206.1402777778</v>
      </c>
      <c r="S753" s="3" t="s">
        <v>37</v>
      </c>
      <c r="T753" s="7" t="n">
        <f aca="false">ROUND(MIN(IF(OR(O753=TRUE(),O753="TRUE",O753="Yes"),59,100),(I753*Rubric!$C$2+J753*Rubric!$C$3+K753*Rubric!$C$4+L753*Rubric!$C$5+M753*Rubric!$C$6+N753*Rubric!$C$7)/5),1)</f>
        <v>71</v>
      </c>
      <c r="U753" s="8" t="str">
        <f aca="false">LOOKUP(T753,Bands!$A$2:$A$6,Bands!$B$2:$B$6)</f>
        <v>Meets Expectations</v>
      </c>
      <c r="V753" s="8" t="n">
        <f aca="false">IF(Q753="","",ROUND((Q753-B753)*24,1))</f>
        <v>144</v>
      </c>
    </row>
    <row r="754" customFormat="false" ht="15" hidden="false" customHeight="false" outlineLevel="0" collapsed="false">
      <c r="A754" s="3" t="s">
        <v>1641</v>
      </c>
      <c r="B754" s="5" t="n">
        <v>46199.4972222222</v>
      </c>
      <c r="C754" s="3" t="s">
        <v>30</v>
      </c>
      <c r="D754" s="3" t="s">
        <v>96</v>
      </c>
      <c r="E754" s="3" t="s">
        <v>97</v>
      </c>
      <c r="F754" s="3" t="s">
        <v>33</v>
      </c>
      <c r="G754" s="3" t="s">
        <v>42</v>
      </c>
      <c r="H754" s="3" t="s">
        <v>1642</v>
      </c>
      <c r="I754" s="3" t="n">
        <v>4</v>
      </c>
      <c r="J754" s="3" t="n">
        <v>2</v>
      </c>
      <c r="K754" s="3" t="n">
        <v>5</v>
      </c>
      <c r="L754" s="3" t="n">
        <v>5</v>
      </c>
      <c r="M754" s="3" t="n">
        <v>4</v>
      </c>
      <c r="N754" s="3" t="n">
        <v>5</v>
      </c>
      <c r="O754" s="6" t="b">
        <f aca="false">FALSE()</f>
        <v>0</v>
      </c>
      <c r="P754" s="3" t="s">
        <v>56</v>
      </c>
      <c r="Q754" s="5" t="n">
        <v>46206.4972222222</v>
      </c>
      <c r="R754" s="5" t="n">
        <v>46206.6215277778</v>
      </c>
      <c r="S754" s="3" t="s">
        <v>37</v>
      </c>
      <c r="T754" s="7" t="n">
        <f aca="false">ROUND(MIN(IF(OR(O754=TRUE(),O754="TRUE",O754="Yes"),59,100),(I754*Rubric!$C$2+J754*Rubric!$C$3+K754*Rubric!$C$4+L754*Rubric!$C$5+M754*Rubric!$C$6+N754*Rubric!$C$7)/5),1)</f>
        <v>80</v>
      </c>
      <c r="U754" s="8" t="str">
        <f aca="false">LOOKUP(T754,Bands!$A$2:$A$6,Bands!$B$2:$B$6)</f>
        <v>Solid Performance</v>
      </c>
      <c r="V754" s="8" t="n">
        <f aca="false">IF(Q754="","",ROUND((Q754-B754)*24,1))</f>
        <v>168</v>
      </c>
    </row>
    <row r="755" customFormat="false" ht="15" hidden="false" customHeight="false" outlineLevel="0" collapsed="false">
      <c r="A755" s="3" t="s">
        <v>1643</v>
      </c>
      <c r="B755" s="5" t="n">
        <v>46199.4888888889</v>
      </c>
      <c r="C755" s="3" t="s">
        <v>68</v>
      </c>
      <c r="D755" s="3" t="s">
        <v>151</v>
      </c>
      <c r="E755" s="3" t="s">
        <v>152</v>
      </c>
      <c r="F755" s="3" t="s">
        <v>33</v>
      </c>
      <c r="G755" s="3" t="s">
        <v>42</v>
      </c>
      <c r="H755" s="3" t="s">
        <v>1644</v>
      </c>
      <c r="I755" s="3" t="n">
        <v>5</v>
      </c>
      <c r="J755" s="3" t="n">
        <v>4</v>
      </c>
      <c r="K755" s="3" t="n">
        <v>4</v>
      </c>
      <c r="L755" s="3" t="n">
        <v>5</v>
      </c>
      <c r="M755" s="3" t="n">
        <v>4</v>
      </c>
      <c r="N755" s="3" t="n">
        <v>5</v>
      </c>
      <c r="O755" s="6" t="b">
        <f aca="false">FALSE()</f>
        <v>0</v>
      </c>
      <c r="P755" s="3"/>
      <c r="Q755" s="5" t="n">
        <v>46202.4888888889</v>
      </c>
      <c r="R755" s="5" t="n">
        <v>46203.1569444445</v>
      </c>
      <c r="S755" s="3" t="s">
        <v>37</v>
      </c>
      <c r="T755" s="7" t="n">
        <f aca="false">ROUND(MIN(IF(OR(O755=TRUE(),O755="TRUE",O755="Yes"),59,100),(I755*Rubric!$C$2+J755*Rubric!$C$3+K755*Rubric!$C$4+L755*Rubric!$C$5+M755*Rubric!$C$6+N755*Rubric!$C$7)/5),1)</f>
        <v>89</v>
      </c>
      <c r="U755" s="8" t="str">
        <f aca="false">LOOKUP(T755,Bands!$A$2:$A$6,Bands!$B$2:$B$6)</f>
        <v>Solid Performance</v>
      </c>
      <c r="V755" s="8" t="n">
        <f aca="false">IF(Q755="","",ROUND((Q755-B755)*24,1))</f>
        <v>72</v>
      </c>
    </row>
    <row r="756" customFormat="false" ht="15" hidden="false" customHeight="false" outlineLevel="0" collapsed="false">
      <c r="A756" s="3" t="s">
        <v>1645</v>
      </c>
      <c r="B756" s="5" t="n">
        <v>46199.4840277778</v>
      </c>
      <c r="C756" s="3" t="s">
        <v>68</v>
      </c>
      <c r="D756" s="3" t="s">
        <v>40</v>
      </c>
      <c r="E756" s="3" t="s">
        <v>41</v>
      </c>
      <c r="F756" s="3" t="s">
        <v>33</v>
      </c>
      <c r="G756" s="3" t="s">
        <v>54</v>
      </c>
      <c r="H756" s="3" t="s">
        <v>1646</v>
      </c>
      <c r="I756" s="3" t="n">
        <v>4</v>
      </c>
      <c r="J756" s="3" t="n">
        <v>4</v>
      </c>
      <c r="K756" s="3" t="n">
        <v>4</v>
      </c>
      <c r="L756" s="3" t="n">
        <v>3</v>
      </c>
      <c r="M756" s="3" t="n">
        <v>5</v>
      </c>
      <c r="N756" s="3" t="n">
        <v>4</v>
      </c>
      <c r="O756" s="6" t="b">
        <f aca="false">FALSE()</f>
        <v>0</v>
      </c>
      <c r="P756" s="3"/>
      <c r="Q756" s="5" t="n">
        <v>46208.4840277778</v>
      </c>
      <c r="R756" s="5" t="n">
        <v>46209.1208333333</v>
      </c>
      <c r="S756" s="3" t="s">
        <v>37</v>
      </c>
      <c r="T756" s="7" t="n">
        <f aca="false">ROUND(MIN(IF(OR(O756=TRUE(),O756="TRUE",O756="Yes"),59,100),(I756*Rubric!$C$2+J756*Rubric!$C$3+K756*Rubric!$C$4+L756*Rubric!$C$5+M756*Rubric!$C$6+N756*Rubric!$C$7)/5),1)</f>
        <v>79</v>
      </c>
      <c r="U756" s="8" t="str">
        <f aca="false">LOOKUP(T756,Bands!$A$2:$A$6,Bands!$B$2:$B$6)</f>
        <v>Meets Expectations</v>
      </c>
      <c r="V756" s="8" t="n">
        <f aca="false">IF(Q756="","",ROUND((Q756-B756)*24,1))</f>
        <v>216</v>
      </c>
    </row>
    <row r="757" customFormat="false" ht="15" hidden="false" customHeight="false" outlineLevel="0" collapsed="false">
      <c r="A757" s="3" t="s">
        <v>1647</v>
      </c>
      <c r="B757" s="5" t="n">
        <v>46199.4777777778</v>
      </c>
      <c r="C757" s="3" t="s">
        <v>68</v>
      </c>
      <c r="D757" s="3" t="s">
        <v>69</v>
      </c>
      <c r="E757" s="3" t="s">
        <v>70</v>
      </c>
      <c r="F757" s="3" t="s">
        <v>65</v>
      </c>
      <c r="G757" s="3" t="s">
        <v>42</v>
      </c>
      <c r="H757" s="3" t="s">
        <v>1648</v>
      </c>
      <c r="I757" s="3" t="n">
        <v>4</v>
      </c>
      <c r="J757" s="3" t="n">
        <v>4</v>
      </c>
      <c r="K757" s="3" t="n">
        <v>4</v>
      </c>
      <c r="L757" s="3" t="n">
        <v>5</v>
      </c>
      <c r="M757" s="3" t="n">
        <v>5</v>
      </c>
      <c r="N757" s="3" t="n">
        <v>2</v>
      </c>
      <c r="O757" s="6" t="b">
        <f aca="false">FALSE()</f>
        <v>0</v>
      </c>
      <c r="P757" s="3" t="s">
        <v>36</v>
      </c>
      <c r="Q757" s="5" t="n">
        <v>46204.4777777778</v>
      </c>
      <c r="R757" s="5" t="n">
        <v>46205.0604166667</v>
      </c>
      <c r="S757" s="3" t="s">
        <v>37</v>
      </c>
      <c r="T757" s="7" t="n">
        <f aca="false">ROUND(MIN(IF(OR(O757=TRUE(),O757="TRUE",O757="Yes"),59,100),(I757*Rubric!$C$2+J757*Rubric!$C$3+K757*Rubric!$C$4+L757*Rubric!$C$5+M757*Rubric!$C$6+N757*Rubric!$C$7)/5),1)</f>
        <v>79</v>
      </c>
      <c r="U757" s="8" t="str">
        <f aca="false">LOOKUP(T757,Bands!$A$2:$A$6,Bands!$B$2:$B$6)</f>
        <v>Meets Expectations</v>
      </c>
      <c r="V757" s="8" t="n">
        <f aca="false">IF(Q757="","",ROUND((Q757-B757)*24,1))</f>
        <v>120</v>
      </c>
    </row>
    <row r="758" customFormat="false" ht="15" hidden="false" customHeight="false" outlineLevel="0" collapsed="false">
      <c r="A758" s="3" t="s">
        <v>1649</v>
      </c>
      <c r="B758" s="5" t="n">
        <v>46202.4715277778</v>
      </c>
      <c r="C758" s="3" t="s">
        <v>39</v>
      </c>
      <c r="D758" s="3" t="s">
        <v>90</v>
      </c>
      <c r="E758" s="3" t="s">
        <v>91</v>
      </c>
      <c r="F758" s="3" t="s">
        <v>65</v>
      </c>
      <c r="G758" s="3" t="s">
        <v>42</v>
      </c>
      <c r="H758" s="3" t="s">
        <v>1650</v>
      </c>
      <c r="I758" s="3" t="n">
        <v>4</v>
      </c>
      <c r="J758" s="3" t="n">
        <v>3</v>
      </c>
      <c r="K758" s="3" t="n">
        <v>4</v>
      </c>
      <c r="L758" s="3" t="n">
        <v>2</v>
      </c>
      <c r="M758" s="3" t="n">
        <v>4</v>
      </c>
      <c r="N758" s="3" t="n">
        <v>4</v>
      </c>
      <c r="O758" s="6" t="b">
        <f aca="false">FALSE()</f>
        <v>0</v>
      </c>
      <c r="P758" s="3" t="s">
        <v>44</v>
      </c>
      <c r="Q758" s="5" t="n">
        <v>46205.4715277778</v>
      </c>
      <c r="R758" s="5" t="n">
        <v>46205.5701388889</v>
      </c>
      <c r="S758" s="3" t="s">
        <v>37</v>
      </c>
      <c r="T758" s="7" t="n">
        <f aca="false">ROUND(MIN(IF(OR(O758=TRUE(),O758="TRUE",O758="Yes"),59,100),(I758*Rubric!$C$2+J758*Rubric!$C$3+K758*Rubric!$C$4+L758*Rubric!$C$5+M758*Rubric!$C$6+N758*Rubric!$C$7)/5),1)</f>
        <v>69</v>
      </c>
      <c r="U758" s="8" t="str">
        <f aca="false">LOOKUP(T758,Bands!$A$2:$A$6,Bands!$B$2:$B$6)</f>
        <v>Needs Improvement</v>
      </c>
      <c r="V758" s="8" t="n">
        <f aca="false">IF(Q758="","",ROUND((Q758-B758)*24,1))</f>
        <v>72</v>
      </c>
    </row>
    <row r="759" customFormat="false" ht="15" hidden="false" customHeight="false" outlineLevel="0" collapsed="false">
      <c r="A759" s="3" t="s">
        <v>1651</v>
      </c>
      <c r="B759" s="5" t="n">
        <v>46202.6645833333</v>
      </c>
      <c r="C759" s="3" t="s">
        <v>39</v>
      </c>
      <c r="D759" s="3" t="s">
        <v>51</v>
      </c>
      <c r="E759" s="3" t="s">
        <v>52</v>
      </c>
      <c r="F759" s="3" t="s">
        <v>53</v>
      </c>
      <c r="G759" s="3" t="s">
        <v>54</v>
      </c>
      <c r="H759" s="3" t="s">
        <v>1652</v>
      </c>
      <c r="I759" s="3" t="n">
        <v>5</v>
      </c>
      <c r="J759" s="3" t="n">
        <v>4</v>
      </c>
      <c r="K759" s="3" t="n">
        <v>4</v>
      </c>
      <c r="L759" s="3" t="n">
        <v>4</v>
      </c>
      <c r="M759" s="3" t="n">
        <v>4</v>
      </c>
      <c r="N759" s="3" t="n">
        <v>3</v>
      </c>
      <c r="O759" s="6" t="b">
        <f aca="false">FALSE()</f>
        <v>0</v>
      </c>
      <c r="P759" s="3"/>
      <c r="Q759" s="5" t="n">
        <v>46205.6645833333</v>
      </c>
      <c r="R759" s="5" t="n">
        <v>46206.4444444445</v>
      </c>
      <c r="S759" s="3" t="s">
        <v>37</v>
      </c>
      <c r="T759" s="7" t="n">
        <f aca="false">ROUND(MIN(IF(OR(O759=TRUE(),O759="TRUE",O759="Yes"),59,100),(I759*Rubric!$C$2+J759*Rubric!$C$3+K759*Rubric!$C$4+L759*Rubric!$C$5+M759*Rubric!$C$6+N759*Rubric!$C$7)/5),1)</f>
        <v>80</v>
      </c>
      <c r="U759" s="8" t="str">
        <f aca="false">LOOKUP(T759,Bands!$A$2:$A$6,Bands!$B$2:$B$6)</f>
        <v>Solid Performance</v>
      </c>
      <c r="V759" s="8" t="n">
        <f aca="false">IF(Q759="","",ROUND((Q759-B759)*24,1))</f>
        <v>72</v>
      </c>
    </row>
    <row r="760" customFormat="false" ht="15" hidden="false" customHeight="false" outlineLevel="0" collapsed="false">
      <c r="A760" s="3" t="s">
        <v>1653</v>
      </c>
      <c r="B760" s="5" t="n">
        <v>46202.6409722222</v>
      </c>
      <c r="C760" s="3" t="s">
        <v>39</v>
      </c>
      <c r="D760" s="3" t="s">
        <v>228</v>
      </c>
      <c r="E760" s="3" t="s">
        <v>229</v>
      </c>
      <c r="F760" s="3" t="s">
        <v>65</v>
      </c>
      <c r="G760" s="3" t="s">
        <v>42</v>
      </c>
      <c r="H760" s="3" t="s">
        <v>415</v>
      </c>
      <c r="I760" s="3" t="n">
        <v>3</v>
      </c>
      <c r="J760" s="3" t="n">
        <v>3</v>
      </c>
      <c r="K760" s="3" t="n">
        <v>3</v>
      </c>
      <c r="L760" s="3" t="n">
        <v>4</v>
      </c>
      <c r="M760" s="3" t="n">
        <v>3</v>
      </c>
      <c r="N760" s="3" t="n">
        <v>3</v>
      </c>
      <c r="O760" s="6" t="b">
        <f aca="false">FALSE()</f>
        <v>0</v>
      </c>
      <c r="P760" s="3"/>
      <c r="Q760" s="5" t="n">
        <v>46209.6409722222</v>
      </c>
      <c r="R760" s="5" t="n">
        <v>46211.4034722222</v>
      </c>
      <c r="S760" s="3" t="s">
        <v>37</v>
      </c>
      <c r="T760" s="7" t="n">
        <f aca="false">ROUND(MIN(IF(OR(O760=TRUE(),O760="TRUE",O760="Yes"),59,100),(I760*Rubric!$C$2+J760*Rubric!$C$3+K760*Rubric!$C$4+L760*Rubric!$C$5+M760*Rubric!$C$6+N760*Rubric!$C$7)/5),1)</f>
        <v>63</v>
      </c>
      <c r="U760" s="8" t="str">
        <f aca="false">LOOKUP(T760,Bands!$A$2:$A$6,Bands!$B$2:$B$6)</f>
        <v>Needs Improvement</v>
      </c>
      <c r="V760" s="8" t="n">
        <f aca="false">IF(Q760="","",ROUND((Q760-B760)*24,1))</f>
        <v>168</v>
      </c>
    </row>
    <row r="761" customFormat="false" ht="15" hidden="false" customHeight="false" outlineLevel="0" collapsed="false">
      <c r="A761" s="3" t="s">
        <v>1654</v>
      </c>
      <c r="B761" s="5" t="n">
        <v>46202.6291666667</v>
      </c>
      <c r="C761" s="3" t="s">
        <v>39</v>
      </c>
      <c r="D761" s="3" t="s">
        <v>137</v>
      </c>
      <c r="E761" s="3" t="s">
        <v>138</v>
      </c>
      <c r="F761" s="3" t="s">
        <v>65</v>
      </c>
      <c r="G761" s="3" t="s">
        <v>42</v>
      </c>
      <c r="H761" s="3" t="s">
        <v>1655</v>
      </c>
      <c r="I761" s="3" t="n">
        <v>4</v>
      </c>
      <c r="J761" s="3" t="n">
        <v>5</v>
      </c>
      <c r="K761" s="3" t="n">
        <v>4</v>
      </c>
      <c r="L761" s="3" t="n">
        <v>4</v>
      </c>
      <c r="M761" s="3" t="n">
        <v>4</v>
      </c>
      <c r="N761" s="3" t="n">
        <v>4</v>
      </c>
      <c r="O761" s="6" t="b">
        <f aca="false">FALSE()</f>
        <v>0</v>
      </c>
      <c r="P761" s="3"/>
      <c r="Q761" s="5" t="n">
        <v>46208.6291666667</v>
      </c>
      <c r="R761" s="5" t="n">
        <v>46211.6361111111</v>
      </c>
      <c r="S761" s="3" t="s">
        <v>37</v>
      </c>
      <c r="T761" s="7" t="n">
        <f aca="false">ROUND(MIN(IF(OR(O761=TRUE(),O761="TRUE",O761="Yes"),59,100),(I761*Rubric!$C$2+J761*Rubric!$C$3+K761*Rubric!$C$4+L761*Rubric!$C$5+M761*Rubric!$C$6+N761*Rubric!$C$7)/5),1)</f>
        <v>85</v>
      </c>
      <c r="U761" s="8" t="str">
        <f aca="false">LOOKUP(T761,Bands!$A$2:$A$6,Bands!$B$2:$B$6)</f>
        <v>Solid Performance</v>
      </c>
      <c r="V761" s="8" t="n">
        <f aca="false">IF(Q761="","",ROUND((Q761-B761)*24,1))</f>
        <v>144</v>
      </c>
    </row>
    <row r="762" customFormat="false" ht="15" hidden="false" customHeight="false" outlineLevel="0" collapsed="false">
      <c r="A762" s="3" t="s">
        <v>1656</v>
      </c>
      <c r="B762" s="5" t="n">
        <v>46202.4138888889</v>
      </c>
      <c r="C762" s="3" t="s">
        <v>68</v>
      </c>
      <c r="D762" s="3" t="s">
        <v>167</v>
      </c>
      <c r="E762" s="3" t="s">
        <v>168</v>
      </c>
      <c r="F762" s="3" t="s">
        <v>33</v>
      </c>
      <c r="G762" s="3" t="s">
        <v>42</v>
      </c>
      <c r="H762" s="3" t="s">
        <v>1657</v>
      </c>
      <c r="I762" s="3" t="n">
        <v>2</v>
      </c>
      <c r="J762" s="3" t="n">
        <v>2</v>
      </c>
      <c r="K762" s="3" t="n">
        <v>3</v>
      </c>
      <c r="L762" s="3" t="n">
        <v>4</v>
      </c>
      <c r="M762" s="3" t="n">
        <v>3</v>
      </c>
      <c r="N762" s="3" t="n">
        <v>3</v>
      </c>
      <c r="O762" s="6" t="b">
        <f aca="false">FALSE()</f>
        <v>0</v>
      </c>
      <c r="P762" s="3" t="s">
        <v>1658</v>
      </c>
      <c r="Q762" s="5" t="n">
        <v>46206.4138888889</v>
      </c>
      <c r="R762" s="5" t="n">
        <v>46206.6618055556</v>
      </c>
      <c r="S762" s="3" t="s">
        <v>37</v>
      </c>
      <c r="T762" s="7" t="n">
        <f aca="false">ROUND(MIN(IF(OR(O762=TRUE(),O762="TRUE",O762="Yes"),59,100),(I762*Rubric!$C$2+J762*Rubric!$C$3+K762*Rubric!$C$4+L762*Rubric!$C$5+M762*Rubric!$C$6+N762*Rubric!$C$7)/5),1)</f>
        <v>55</v>
      </c>
      <c r="U762" s="8" t="str">
        <f aca="false">LOOKUP(T762,Bands!$A$2:$A$6,Bands!$B$2:$B$6)</f>
        <v>Critical</v>
      </c>
      <c r="V762" s="8" t="n">
        <f aca="false">IF(Q762="","",ROUND((Q762-B762)*24,1))</f>
        <v>96</v>
      </c>
    </row>
    <row r="763" customFormat="false" ht="15" hidden="false" customHeight="false" outlineLevel="0" collapsed="false">
      <c r="A763" s="3" t="s">
        <v>1659</v>
      </c>
      <c r="B763" s="5" t="n">
        <v>46202.6409722222</v>
      </c>
      <c r="C763" s="3" t="s">
        <v>30</v>
      </c>
      <c r="D763" s="3" t="s">
        <v>251</v>
      </c>
      <c r="E763" s="3" t="s">
        <v>252</v>
      </c>
      <c r="F763" s="3" t="s">
        <v>53</v>
      </c>
      <c r="G763" s="3" t="s">
        <v>42</v>
      </c>
      <c r="H763" s="3" t="s">
        <v>1660</v>
      </c>
      <c r="I763" s="3" t="n">
        <v>4</v>
      </c>
      <c r="J763" s="3" t="n">
        <v>4</v>
      </c>
      <c r="K763" s="3" t="n">
        <v>4</v>
      </c>
      <c r="L763" s="3" t="n">
        <v>4</v>
      </c>
      <c r="M763" s="3" t="n">
        <v>2</v>
      </c>
      <c r="N763" s="3" t="n">
        <v>4</v>
      </c>
      <c r="O763" s="6" t="b">
        <f aca="false">FALSE()</f>
        <v>0</v>
      </c>
      <c r="P763" s="3" t="s">
        <v>103</v>
      </c>
      <c r="Q763" s="5" t="n">
        <v>46208.6409722222</v>
      </c>
      <c r="R763" s="5" t="n">
        <v>46208.8888888889</v>
      </c>
      <c r="S763" s="3" t="s">
        <v>37</v>
      </c>
      <c r="T763" s="7" t="n">
        <f aca="false">ROUND(MIN(IF(OR(O763=TRUE(),O763="TRUE",O763="Yes"),59,100),(I763*Rubric!$C$2+J763*Rubric!$C$3+K763*Rubric!$C$4+L763*Rubric!$C$5+M763*Rubric!$C$6+N763*Rubric!$C$7)/5),1)</f>
        <v>76</v>
      </c>
      <c r="U763" s="8" t="str">
        <f aca="false">LOOKUP(T763,Bands!$A$2:$A$6,Bands!$B$2:$B$6)</f>
        <v>Meets Expectations</v>
      </c>
      <c r="V763" s="8" t="n">
        <f aca="false">IF(Q763="","",ROUND((Q763-B763)*24,1))</f>
        <v>144</v>
      </c>
    </row>
    <row r="764" customFormat="false" ht="15" hidden="false" customHeight="false" outlineLevel="0" collapsed="false">
      <c r="A764" s="3" t="s">
        <v>1661</v>
      </c>
      <c r="B764" s="5" t="n">
        <v>46202.6881944445</v>
      </c>
      <c r="C764" s="3" t="s">
        <v>68</v>
      </c>
      <c r="D764" s="3" t="s">
        <v>366</v>
      </c>
      <c r="E764" s="3" t="s">
        <v>367</v>
      </c>
      <c r="F764" s="3" t="s">
        <v>53</v>
      </c>
      <c r="G764" s="3" t="s">
        <v>54</v>
      </c>
      <c r="H764" s="3" t="s">
        <v>1662</v>
      </c>
      <c r="I764" s="3" t="n">
        <v>4</v>
      </c>
      <c r="J764" s="3" t="n">
        <v>4</v>
      </c>
      <c r="K764" s="3" t="n">
        <v>3</v>
      </c>
      <c r="L764" s="3" t="n">
        <v>4</v>
      </c>
      <c r="M764" s="3" t="n">
        <v>5</v>
      </c>
      <c r="N764" s="3" t="n">
        <v>4</v>
      </c>
      <c r="O764" s="6" t="b">
        <f aca="false">FALSE()</f>
        <v>0</v>
      </c>
      <c r="P764" s="3"/>
      <c r="Q764" s="5" t="n">
        <v>46206.6881944445</v>
      </c>
      <c r="R764" s="5" t="n">
        <v>46210.10625</v>
      </c>
      <c r="S764" s="3" t="s">
        <v>37</v>
      </c>
      <c r="T764" s="7" t="n">
        <f aca="false">ROUND(MIN(IF(OR(O764=TRUE(),O764="TRUE",O764="Yes"),59,100),(I764*Rubric!$C$2+J764*Rubric!$C$3+K764*Rubric!$C$4+L764*Rubric!$C$5+M764*Rubric!$C$6+N764*Rubric!$C$7)/5),1)</f>
        <v>78</v>
      </c>
      <c r="U764" s="8" t="str">
        <f aca="false">LOOKUP(T764,Bands!$A$2:$A$6,Bands!$B$2:$B$6)</f>
        <v>Meets Expectations</v>
      </c>
      <c r="V764" s="8" t="n">
        <f aca="false">IF(Q764="","",ROUND((Q764-B764)*24,1))</f>
        <v>96</v>
      </c>
    </row>
    <row r="765" customFormat="false" ht="15" hidden="false" customHeight="false" outlineLevel="0" collapsed="false">
      <c r="A765" s="3" t="s">
        <v>1663</v>
      </c>
      <c r="B765" s="5" t="n">
        <v>46202.3895833333</v>
      </c>
      <c r="C765" s="3" t="s">
        <v>68</v>
      </c>
      <c r="D765" s="3" t="s">
        <v>307</v>
      </c>
      <c r="E765" s="3" t="s">
        <v>308</v>
      </c>
      <c r="F765" s="3" t="s">
        <v>33</v>
      </c>
      <c r="G765" s="3" t="s">
        <v>54</v>
      </c>
      <c r="H765" s="3" t="s">
        <v>1664</v>
      </c>
      <c r="I765" s="3" t="n">
        <v>5</v>
      </c>
      <c r="J765" s="3" t="n">
        <v>3</v>
      </c>
      <c r="K765" s="3" t="n">
        <v>5</v>
      </c>
      <c r="L765" s="3" t="n">
        <v>5</v>
      </c>
      <c r="M765" s="3" t="n">
        <v>4</v>
      </c>
      <c r="N765" s="3" t="n">
        <v>5</v>
      </c>
      <c r="O765" s="6" t="b">
        <f aca="false">FALSE()</f>
        <v>0</v>
      </c>
      <c r="P765" s="3"/>
      <c r="Q765" s="5" t="n">
        <v>46207.3895833333</v>
      </c>
      <c r="R765" s="5" t="n">
        <v>46207.7493055556</v>
      </c>
      <c r="S765" s="3" t="s">
        <v>37</v>
      </c>
      <c r="T765" s="7" t="n">
        <f aca="false">ROUND(MIN(IF(OR(O765=TRUE(),O765="TRUE",O765="Yes"),59,100),(I765*Rubric!$C$2+J765*Rubric!$C$3+K765*Rubric!$C$4+L765*Rubric!$C$5+M765*Rubric!$C$6+N765*Rubric!$C$7)/5),1)</f>
        <v>88</v>
      </c>
      <c r="U765" s="8" t="str">
        <f aca="false">LOOKUP(T765,Bands!$A$2:$A$6,Bands!$B$2:$B$6)</f>
        <v>Solid Performance</v>
      </c>
      <c r="V765" s="8" t="n">
        <f aca="false">IF(Q765="","",ROUND((Q765-B765)*24,1))</f>
        <v>120</v>
      </c>
    </row>
    <row r="766" customFormat="false" ht="15" hidden="false" customHeight="false" outlineLevel="0" collapsed="false">
      <c r="A766" s="3" t="s">
        <v>1665</v>
      </c>
      <c r="B766" s="5" t="n">
        <v>46202.5638888889</v>
      </c>
      <c r="C766" s="3" t="s">
        <v>30</v>
      </c>
      <c r="D766" s="3" t="s">
        <v>96</v>
      </c>
      <c r="E766" s="3" t="s">
        <v>97</v>
      </c>
      <c r="F766" s="3" t="s">
        <v>33</v>
      </c>
      <c r="G766" s="3" t="s">
        <v>54</v>
      </c>
      <c r="H766" s="3" t="s">
        <v>1666</v>
      </c>
      <c r="I766" s="3" t="n">
        <v>4</v>
      </c>
      <c r="J766" s="3" t="n">
        <v>2</v>
      </c>
      <c r="K766" s="3" t="n">
        <v>5</v>
      </c>
      <c r="L766" s="3" t="n">
        <v>5</v>
      </c>
      <c r="M766" s="3" t="n">
        <v>4</v>
      </c>
      <c r="N766" s="3" t="n">
        <v>4</v>
      </c>
      <c r="O766" s="6" t="b">
        <f aca="false">FALSE()</f>
        <v>0</v>
      </c>
      <c r="P766" s="3" t="s">
        <v>56</v>
      </c>
      <c r="Q766" s="5" t="n">
        <v>46208.5638888889</v>
      </c>
      <c r="R766" s="5" t="n">
        <v>46209.6715277778</v>
      </c>
      <c r="S766" s="3" t="s">
        <v>37</v>
      </c>
      <c r="T766" s="7" t="n">
        <f aca="false">ROUND(MIN(IF(OR(O766=TRUE(),O766="TRUE",O766="Yes"),59,100),(I766*Rubric!$C$2+J766*Rubric!$C$3+K766*Rubric!$C$4+L766*Rubric!$C$5+M766*Rubric!$C$6+N766*Rubric!$C$7)/5),1)</f>
        <v>77</v>
      </c>
      <c r="U766" s="8" t="str">
        <f aca="false">LOOKUP(T766,Bands!$A$2:$A$6,Bands!$B$2:$B$6)</f>
        <v>Meets Expectations</v>
      </c>
      <c r="V766" s="8" t="n">
        <f aca="false">IF(Q766="","",ROUND((Q766-B766)*24,1))</f>
        <v>144</v>
      </c>
    </row>
    <row r="767" customFormat="false" ht="15" hidden="false" customHeight="false" outlineLevel="0" collapsed="false">
      <c r="A767" s="3" t="s">
        <v>1667</v>
      </c>
      <c r="B767" s="5" t="n">
        <v>46202.4902777778</v>
      </c>
      <c r="C767" s="3" t="s">
        <v>30</v>
      </c>
      <c r="D767" s="3" t="s">
        <v>293</v>
      </c>
      <c r="E767" s="3" t="s">
        <v>294</v>
      </c>
      <c r="F767" s="3" t="s">
        <v>65</v>
      </c>
      <c r="G767" s="3" t="s">
        <v>42</v>
      </c>
      <c r="H767" s="3" t="s">
        <v>1668</v>
      </c>
      <c r="I767" s="3" t="n">
        <v>5</v>
      </c>
      <c r="J767" s="3" t="n">
        <v>5</v>
      </c>
      <c r="K767" s="3" t="n">
        <v>5</v>
      </c>
      <c r="L767" s="3" t="n">
        <v>3</v>
      </c>
      <c r="M767" s="3" t="n">
        <v>5</v>
      </c>
      <c r="N767" s="3" t="n">
        <v>5</v>
      </c>
      <c r="O767" s="6" t="b">
        <f aca="false">FALSE()</f>
        <v>0</v>
      </c>
      <c r="P767" s="3"/>
      <c r="Q767" s="5" t="n">
        <v>46205.4902777778</v>
      </c>
      <c r="R767" s="5" t="n">
        <v>46207.1173611111</v>
      </c>
      <c r="S767" s="3" t="s">
        <v>37</v>
      </c>
      <c r="T767" s="7" t="n">
        <f aca="false">ROUND(MIN(IF(OR(O767=TRUE(),O767="TRUE",O767="Yes"),59,100),(I767*Rubric!$C$2+J767*Rubric!$C$3+K767*Rubric!$C$4+L767*Rubric!$C$5+M767*Rubric!$C$6+N767*Rubric!$C$7)/5),1)</f>
        <v>94</v>
      </c>
      <c r="U767" s="8" t="str">
        <f aca="false">LOOKUP(T767,Bands!$A$2:$A$6,Bands!$B$2:$B$6)</f>
        <v>Outstanding</v>
      </c>
      <c r="V767" s="8" t="n">
        <f aca="false">IF(Q767="","",ROUND((Q767-B767)*24,1))</f>
        <v>72</v>
      </c>
    </row>
    <row r="768" customFormat="false" ht="15" hidden="false" customHeight="false" outlineLevel="0" collapsed="false">
      <c r="A768" s="3" t="s">
        <v>1669</v>
      </c>
      <c r="B768" s="5" t="n">
        <v>46202.5840277778</v>
      </c>
      <c r="C768" s="3" t="s">
        <v>68</v>
      </c>
      <c r="D768" s="3" t="s">
        <v>198</v>
      </c>
      <c r="E768" s="3" t="s">
        <v>199</v>
      </c>
      <c r="F768" s="3" t="s">
        <v>33</v>
      </c>
      <c r="G768" s="3" t="s">
        <v>42</v>
      </c>
      <c r="H768" s="3" t="s">
        <v>1670</v>
      </c>
      <c r="I768" s="3" t="n">
        <v>4</v>
      </c>
      <c r="J768" s="3" t="n">
        <v>2</v>
      </c>
      <c r="K768" s="3" t="n">
        <v>4</v>
      </c>
      <c r="L768" s="3" t="n">
        <v>5</v>
      </c>
      <c r="M768" s="3" t="n">
        <v>5</v>
      </c>
      <c r="N768" s="3" t="n">
        <v>4</v>
      </c>
      <c r="O768" s="6" t="b">
        <f aca="false">FALSE()</f>
        <v>0</v>
      </c>
      <c r="P768" s="3" t="s">
        <v>56</v>
      </c>
      <c r="Q768" s="5" t="n">
        <v>46206.5840277778</v>
      </c>
      <c r="R768" s="5" t="n">
        <v>46210.2291666667</v>
      </c>
      <c r="S768" s="3" t="s">
        <v>37</v>
      </c>
      <c r="T768" s="7" t="n">
        <f aca="false">ROUND(MIN(IF(OR(O768=TRUE(),O768="TRUE",O768="Yes"),59,100),(I768*Rubric!$C$2+J768*Rubric!$C$3+K768*Rubric!$C$4+L768*Rubric!$C$5+M768*Rubric!$C$6+N768*Rubric!$C$7)/5),1)</f>
        <v>75</v>
      </c>
      <c r="U768" s="8" t="str">
        <f aca="false">LOOKUP(T768,Bands!$A$2:$A$6,Bands!$B$2:$B$6)</f>
        <v>Meets Expectations</v>
      </c>
      <c r="V768" s="8" t="n">
        <f aca="false">IF(Q768="","",ROUND((Q768-B768)*24,1))</f>
        <v>96</v>
      </c>
    </row>
    <row r="769" customFormat="false" ht="15" hidden="false" customHeight="false" outlineLevel="0" collapsed="false">
      <c r="A769" s="3" t="s">
        <v>1671</v>
      </c>
      <c r="B769" s="5" t="n">
        <v>46202.5777777778</v>
      </c>
      <c r="C769" s="3" t="s">
        <v>68</v>
      </c>
      <c r="D769" s="3" t="s">
        <v>73</v>
      </c>
      <c r="E769" s="3" t="s">
        <v>74</v>
      </c>
      <c r="F769" s="3" t="s">
        <v>33</v>
      </c>
      <c r="G769" s="3" t="s">
        <v>42</v>
      </c>
      <c r="H769" s="3" t="s">
        <v>1672</v>
      </c>
      <c r="I769" s="3" t="n">
        <v>4</v>
      </c>
      <c r="J769" s="3" t="n">
        <v>4</v>
      </c>
      <c r="K769" s="3" t="n">
        <v>4</v>
      </c>
      <c r="L769" s="3" t="n">
        <v>3</v>
      </c>
      <c r="M769" s="3" t="n">
        <v>5</v>
      </c>
      <c r="N769" s="3" t="n">
        <v>3</v>
      </c>
      <c r="O769" s="6" t="b">
        <f aca="false">FALSE()</f>
        <v>0</v>
      </c>
      <c r="P769" s="3"/>
      <c r="Q769" s="5" t="n">
        <v>46207.5777777778</v>
      </c>
      <c r="R769" s="5" t="n">
        <v>46207.9743055556</v>
      </c>
      <c r="S769" s="3" t="s">
        <v>37</v>
      </c>
      <c r="T769" s="7" t="n">
        <f aca="false">ROUND(MIN(IF(OR(O769=TRUE(),O769="TRUE",O769="Yes"),59,100),(I769*Rubric!$C$2+J769*Rubric!$C$3+K769*Rubric!$C$4+L769*Rubric!$C$5+M769*Rubric!$C$6+N769*Rubric!$C$7)/5),1)</f>
        <v>76</v>
      </c>
      <c r="U769" s="8" t="str">
        <f aca="false">LOOKUP(T769,Bands!$A$2:$A$6,Bands!$B$2:$B$6)</f>
        <v>Meets Expectations</v>
      </c>
      <c r="V769" s="8" t="n">
        <f aca="false">IF(Q769="","",ROUND((Q769-B769)*24,1))</f>
        <v>120</v>
      </c>
    </row>
    <row r="770" customFormat="false" ht="15" hidden="false" customHeight="false" outlineLevel="0" collapsed="false">
      <c r="A770" s="3" t="s">
        <v>1673</v>
      </c>
      <c r="B770" s="5" t="n">
        <v>46203.5298611111</v>
      </c>
      <c r="C770" s="3" t="s">
        <v>39</v>
      </c>
      <c r="D770" s="3" t="s">
        <v>125</v>
      </c>
      <c r="E770" s="3" t="s">
        <v>126</v>
      </c>
      <c r="F770" s="3" t="s">
        <v>53</v>
      </c>
      <c r="G770" s="3" t="s">
        <v>42</v>
      </c>
      <c r="H770" s="3" t="s">
        <v>1674</v>
      </c>
      <c r="I770" s="3" t="n">
        <v>5</v>
      </c>
      <c r="J770" s="3" t="n">
        <v>5</v>
      </c>
      <c r="K770" s="3" t="n">
        <v>5</v>
      </c>
      <c r="L770" s="3" t="n">
        <v>2</v>
      </c>
      <c r="M770" s="3" t="n">
        <v>3</v>
      </c>
      <c r="N770" s="3" t="n">
        <v>4</v>
      </c>
      <c r="O770" s="6" t="b">
        <f aca="false">FALSE()</f>
        <v>0</v>
      </c>
      <c r="P770" s="3" t="s">
        <v>44</v>
      </c>
      <c r="Q770" s="5" t="n">
        <v>46209.5298611111</v>
      </c>
      <c r="R770" s="5" t="n">
        <v>46210.9534722222</v>
      </c>
      <c r="S770" s="3" t="s">
        <v>37</v>
      </c>
      <c r="T770" s="7" t="n">
        <f aca="false">ROUND(MIN(IF(OR(O770=TRUE(),O770="TRUE",O770="Yes"),59,100),(I770*Rubric!$C$2+J770*Rubric!$C$3+K770*Rubric!$C$4+L770*Rubric!$C$5+M770*Rubric!$C$6+N770*Rubric!$C$7)/5),1)</f>
        <v>84</v>
      </c>
      <c r="U770" s="8" t="str">
        <f aca="false">LOOKUP(T770,Bands!$A$2:$A$6,Bands!$B$2:$B$6)</f>
        <v>Solid Performance</v>
      </c>
      <c r="V770" s="8" t="n">
        <f aca="false">IF(Q770="","",ROUND((Q770-B770)*24,1))</f>
        <v>144</v>
      </c>
    </row>
    <row r="771" customFormat="false" ht="15" hidden="false" customHeight="false" outlineLevel="0" collapsed="false">
      <c r="A771" s="3" t="s">
        <v>1675</v>
      </c>
      <c r="B771" s="5" t="n">
        <v>46203.6972222222</v>
      </c>
      <c r="C771" s="3" t="s">
        <v>30</v>
      </c>
      <c r="D771" s="3" t="s">
        <v>31</v>
      </c>
      <c r="E771" s="3" t="s">
        <v>32</v>
      </c>
      <c r="F771" s="3" t="s">
        <v>33</v>
      </c>
      <c r="G771" s="3" t="s">
        <v>42</v>
      </c>
      <c r="H771" s="3" t="s">
        <v>1676</v>
      </c>
      <c r="I771" s="3" t="n">
        <v>4</v>
      </c>
      <c r="J771" s="3" t="n">
        <v>4</v>
      </c>
      <c r="K771" s="3" t="n">
        <v>4</v>
      </c>
      <c r="L771" s="3" t="n">
        <v>4</v>
      </c>
      <c r="M771" s="3" t="n">
        <v>5</v>
      </c>
      <c r="N771" s="3" t="n">
        <v>3</v>
      </c>
      <c r="O771" s="6" t="b">
        <f aca="false">FALSE()</f>
        <v>0</v>
      </c>
      <c r="P771" s="3"/>
      <c r="Q771" s="5" t="n">
        <v>46207.6972222222</v>
      </c>
      <c r="R771" s="5" t="n">
        <v>46211.7076388889</v>
      </c>
      <c r="S771" s="3" t="s">
        <v>37</v>
      </c>
      <c r="T771" s="7" t="n">
        <f aca="false">ROUND(MIN(IF(OR(O771=TRUE(),O771="TRUE",O771="Yes"),59,100),(I771*Rubric!$C$2+J771*Rubric!$C$3+K771*Rubric!$C$4+L771*Rubric!$C$5+M771*Rubric!$C$6+N771*Rubric!$C$7)/5),1)</f>
        <v>79</v>
      </c>
      <c r="U771" s="8" t="str">
        <f aca="false">LOOKUP(T771,Bands!$A$2:$A$6,Bands!$B$2:$B$6)</f>
        <v>Meets Expectations</v>
      </c>
      <c r="V771" s="8" t="n">
        <f aca="false">IF(Q771="","",ROUND((Q771-B771)*24,1))</f>
        <v>96</v>
      </c>
    </row>
    <row r="772" customFormat="false" ht="15" hidden="false" customHeight="false" outlineLevel="0" collapsed="false">
      <c r="A772" s="3" t="s">
        <v>1677</v>
      </c>
      <c r="B772" s="5" t="n">
        <v>46203.6083333333</v>
      </c>
      <c r="C772" s="3" t="s">
        <v>39</v>
      </c>
      <c r="D772" s="3" t="s">
        <v>96</v>
      </c>
      <c r="E772" s="3" t="s">
        <v>97</v>
      </c>
      <c r="F772" s="3" t="s">
        <v>33</v>
      </c>
      <c r="G772" s="3" t="s">
        <v>42</v>
      </c>
      <c r="H772" s="3" t="s">
        <v>1678</v>
      </c>
      <c r="I772" s="3" t="n">
        <v>4</v>
      </c>
      <c r="J772" s="3" t="n">
        <v>3</v>
      </c>
      <c r="K772" s="3" t="n">
        <v>5</v>
      </c>
      <c r="L772" s="3" t="n">
        <v>5</v>
      </c>
      <c r="M772" s="3" t="n">
        <v>5</v>
      </c>
      <c r="N772" s="3" t="n">
        <v>4</v>
      </c>
      <c r="O772" s="6" t="b">
        <f aca="false">FALSE()</f>
        <v>0</v>
      </c>
      <c r="P772" s="3"/>
      <c r="Q772" s="5" t="n">
        <v>46208.6083333333</v>
      </c>
      <c r="R772" s="5" t="n">
        <v>46208.9347222222</v>
      </c>
      <c r="S772" s="3" t="s">
        <v>37</v>
      </c>
      <c r="T772" s="7" t="n">
        <f aca="false">ROUND(MIN(IF(OR(O772=TRUE(),O772="TRUE",O772="Yes"),59,100),(I772*Rubric!$C$2+J772*Rubric!$C$3+K772*Rubric!$C$4+L772*Rubric!$C$5+M772*Rubric!$C$6+N772*Rubric!$C$7)/5),1)</f>
        <v>84</v>
      </c>
      <c r="U772" s="8" t="str">
        <f aca="false">LOOKUP(T772,Bands!$A$2:$A$6,Bands!$B$2:$B$6)</f>
        <v>Solid Performance</v>
      </c>
      <c r="V772" s="8" t="n">
        <f aca="false">IF(Q772="","",ROUND((Q772-B772)*24,1))</f>
        <v>120</v>
      </c>
    </row>
    <row r="773" customFormat="false" ht="15" hidden="false" customHeight="false" outlineLevel="0" collapsed="false">
      <c r="A773" s="3" t="s">
        <v>1679</v>
      </c>
      <c r="B773" s="5" t="n">
        <v>46203.5458333333</v>
      </c>
      <c r="C773" s="3" t="s">
        <v>30</v>
      </c>
      <c r="D773" s="3" t="s">
        <v>293</v>
      </c>
      <c r="E773" s="3" t="s">
        <v>294</v>
      </c>
      <c r="F773" s="3" t="s">
        <v>65</v>
      </c>
      <c r="G773" s="3" t="s">
        <v>54</v>
      </c>
      <c r="H773" s="3" t="s">
        <v>1680</v>
      </c>
      <c r="I773" s="3" t="n">
        <v>4</v>
      </c>
      <c r="J773" s="3" t="n">
        <v>5</v>
      </c>
      <c r="K773" s="3" t="n">
        <v>5</v>
      </c>
      <c r="L773" s="3" t="n">
        <v>2</v>
      </c>
      <c r="M773" s="3" t="n">
        <v>5</v>
      </c>
      <c r="N773" s="3" t="n">
        <v>5</v>
      </c>
      <c r="O773" s="6" t="b">
        <f aca="false">FALSE()</f>
        <v>0</v>
      </c>
      <c r="P773" s="3" t="s">
        <v>44</v>
      </c>
      <c r="Q773" s="5" t="n">
        <v>46210.5458333333</v>
      </c>
      <c r="R773" s="5" t="n">
        <v>46214.2159722222</v>
      </c>
      <c r="S773" s="3" t="s">
        <v>37</v>
      </c>
      <c r="T773" s="7" t="n">
        <f aca="false">ROUND(MIN(IF(OR(O773=TRUE(),O773="TRUE",O773="Yes"),59,100),(I773*Rubric!$C$2+J773*Rubric!$C$3+K773*Rubric!$C$4+L773*Rubric!$C$5+M773*Rubric!$C$6+N773*Rubric!$C$7)/5),1)</f>
        <v>88</v>
      </c>
      <c r="U773" s="8" t="str">
        <f aca="false">LOOKUP(T773,Bands!$A$2:$A$6,Bands!$B$2:$B$6)</f>
        <v>Solid Performance</v>
      </c>
      <c r="V773" s="8" t="n">
        <f aca="false">IF(Q773="","",ROUND((Q773-B773)*24,1))</f>
        <v>168</v>
      </c>
    </row>
    <row r="774" customFormat="false" ht="15" hidden="false" customHeight="false" outlineLevel="0" collapsed="false">
      <c r="A774" s="3" t="s">
        <v>1681</v>
      </c>
      <c r="B774" s="5" t="n">
        <v>46203.6013888889</v>
      </c>
      <c r="C774" s="3" t="s">
        <v>30</v>
      </c>
      <c r="D774" s="3" t="s">
        <v>77</v>
      </c>
      <c r="E774" s="3" t="s">
        <v>78</v>
      </c>
      <c r="F774" s="3" t="s">
        <v>33</v>
      </c>
      <c r="G774" s="3" t="s">
        <v>34</v>
      </c>
      <c r="H774" s="3" t="s">
        <v>1682</v>
      </c>
      <c r="I774" s="3" t="n">
        <v>5</v>
      </c>
      <c r="J774" s="3" t="n">
        <v>5</v>
      </c>
      <c r="K774" s="3" t="n">
        <v>3</v>
      </c>
      <c r="L774" s="3" t="n">
        <v>5</v>
      </c>
      <c r="M774" s="3" t="n">
        <v>5</v>
      </c>
      <c r="N774" s="3" t="n">
        <v>4</v>
      </c>
      <c r="O774" s="6" t="b">
        <f aca="false">FALSE()</f>
        <v>0</v>
      </c>
      <c r="P774" s="3"/>
      <c r="Q774" s="5" t="n">
        <v>46207.6013888889</v>
      </c>
      <c r="R774" s="5" t="n">
        <v>46207.89375</v>
      </c>
      <c r="S774" s="3" t="s">
        <v>37</v>
      </c>
      <c r="T774" s="7" t="n">
        <f aca="false">ROUND(MIN(IF(OR(O774=TRUE(),O774="TRUE",O774="Yes"),59,100),(I774*Rubric!$C$2+J774*Rubric!$C$3+K774*Rubric!$C$4+L774*Rubric!$C$5+M774*Rubric!$C$6+N774*Rubric!$C$7)/5),1)</f>
        <v>89</v>
      </c>
      <c r="U774" s="8" t="str">
        <f aca="false">LOOKUP(T774,Bands!$A$2:$A$6,Bands!$B$2:$B$6)</f>
        <v>Solid Performance</v>
      </c>
      <c r="V774" s="8" t="n">
        <f aca="false">IF(Q774="","",ROUND((Q774-B774)*24,1))</f>
        <v>96</v>
      </c>
    </row>
    <row r="775" customFormat="false" ht="15" hidden="false" customHeight="false" outlineLevel="0" collapsed="false">
      <c r="A775" s="3" t="s">
        <v>1683</v>
      </c>
      <c r="B775" s="5" t="n">
        <v>46203.4354166667</v>
      </c>
      <c r="C775" s="3" t="s">
        <v>68</v>
      </c>
      <c r="D775" s="3" t="s">
        <v>251</v>
      </c>
      <c r="E775" s="3" t="s">
        <v>252</v>
      </c>
      <c r="F775" s="3" t="s">
        <v>53</v>
      </c>
      <c r="G775" s="3" t="s">
        <v>54</v>
      </c>
      <c r="H775" s="3" t="s">
        <v>1684</v>
      </c>
      <c r="I775" s="3" t="n">
        <v>4</v>
      </c>
      <c r="J775" s="3" t="n">
        <v>4</v>
      </c>
      <c r="K775" s="3" t="n">
        <v>4</v>
      </c>
      <c r="L775" s="3" t="n">
        <v>4</v>
      </c>
      <c r="M775" s="3" t="n">
        <v>3</v>
      </c>
      <c r="N775" s="3" t="n">
        <v>3</v>
      </c>
      <c r="O775" s="6" t="b">
        <f aca="false">FALSE()</f>
        <v>0</v>
      </c>
      <c r="P775" s="3"/>
      <c r="Q775" s="5" t="n">
        <v>46207.4354166667</v>
      </c>
      <c r="R775" s="5" t="n">
        <v>46209.6222222222</v>
      </c>
      <c r="S775" s="3" t="s">
        <v>37</v>
      </c>
      <c r="T775" s="7" t="n">
        <f aca="false">ROUND(MIN(IF(OR(O775=TRUE(),O775="TRUE",O775="Yes"),59,100),(I775*Rubric!$C$2+J775*Rubric!$C$3+K775*Rubric!$C$4+L775*Rubric!$C$5+M775*Rubric!$C$6+N775*Rubric!$C$7)/5),1)</f>
        <v>75</v>
      </c>
      <c r="U775" s="8" t="str">
        <f aca="false">LOOKUP(T775,Bands!$A$2:$A$6,Bands!$B$2:$B$6)</f>
        <v>Meets Expectations</v>
      </c>
      <c r="V775" s="8" t="n">
        <f aca="false">IF(Q775="","",ROUND((Q775-B775)*24,1))</f>
        <v>96</v>
      </c>
    </row>
    <row r="776" customFormat="false" ht="15" hidden="false" customHeight="false" outlineLevel="0" collapsed="false">
      <c r="A776" s="3" t="s">
        <v>1685</v>
      </c>
      <c r="B776" s="5" t="n">
        <v>46203.4430555556</v>
      </c>
      <c r="C776" s="3" t="s">
        <v>39</v>
      </c>
      <c r="D776" s="3" t="s">
        <v>259</v>
      </c>
      <c r="E776" s="3" t="s">
        <v>260</v>
      </c>
      <c r="F776" s="3" t="s">
        <v>33</v>
      </c>
      <c r="G776" s="3" t="s">
        <v>42</v>
      </c>
      <c r="H776" s="3" t="s">
        <v>1686</v>
      </c>
      <c r="I776" s="3" t="n">
        <v>5</v>
      </c>
      <c r="J776" s="3" t="n">
        <v>5</v>
      </c>
      <c r="K776" s="3" t="n">
        <v>2</v>
      </c>
      <c r="L776" s="3" t="n">
        <v>5</v>
      </c>
      <c r="M776" s="3" t="n">
        <v>5</v>
      </c>
      <c r="N776" s="3" t="n">
        <v>5</v>
      </c>
      <c r="O776" s="6" t="b">
        <f aca="false">FALSE()</f>
        <v>0</v>
      </c>
      <c r="P776" s="3" t="s">
        <v>49</v>
      </c>
      <c r="Q776" s="5" t="n">
        <v>46210.4430555556</v>
      </c>
      <c r="R776" s="5" t="n">
        <v>46211.25625</v>
      </c>
      <c r="S776" s="3" t="s">
        <v>37</v>
      </c>
      <c r="T776" s="7" t="n">
        <f aca="false">ROUND(MIN(IF(OR(O776=TRUE(),O776="TRUE",O776="Yes"),59,100),(I776*Rubric!$C$2+J776*Rubric!$C$3+K776*Rubric!$C$4+L776*Rubric!$C$5+M776*Rubric!$C$6+N776*Rubric!$C$7)/5),1)</f>
        <v>88</v>
      </c>
      <c r="U776" s="8" t="str">
        <f aca="false">LOOKUP(T776,Bands!$A$2:$A$6,Bands!$B$2:$B$6)</f>
        <v>Solid Performance</v>
      </c>
      <c r="V776" s="8" t="n">
        <f aca="false">IF(Q776="","",ROUND((Q776-B776)*24,1))</f>
        <v>168</v>
      </c>
    </row>
    <row r="777" customFormat="false" ht="15" hidden="false" customHeight="false" outlineLevel="0" collapsed="false">
      <c r="A777" s="3" t="s">
        <v>1687</v>
      </c>
      <c r="B777" s="5" t="n">
        <v>46203.6416666667</v>
      </c>
      <c r="C777" s="3" t="s">
        <v>68</v>
      </c>
      <c r="D777" s="3" t="s">
        <v>90</v>
      </c>
      <c r="E777" s="3" t="s">
        <v>91</v>
      </c>
      <c r="F777" s="3" t="s">
        <v>65</v>
      </c>
      <c r="G777" s="3" t="s">
        <v>54</v>
      </c>
      <c r="H777" s="3" t="s">
        <v>1688</v>
      </c>
      <c r="I777" s="3" t="n">
        <v>4</v>
      </c>
      <c r="J777" s="3" t="n">
        <v>5</v>
      </c>
      <c r="K777" s="3" t="n">
        <v>4</v>
      </c>
      <c r="L777" s="3" t="n">
        <v>3</v>
      </c>
      <c r="M777" s="3" t="n">
        <v>5</v>
      </c>
      <c r="N777" s="3" t="n">
        <v>5</v>
      </c>
      <c r="O777" s="6" t="b">
        <f aca="false">FALSE()</f>
        <v>0</v>
      </c>
      <c r="P777" s="3"/>
      <c r="Q777" s="5" t="n">
        <v>46208.6416666667</v>
      </c>
      <c r="R777" s="5" t="n">
        <v>46208.7645833333</v>
      </c>
      <c r="S777" s="3" t="s">
        <v>37</v>
      </c>
      <c r="T777" s="7" t="n">
        <f aca="false">ROUND(MIN(IF(OR(O777=TRUE(),O777="TRUE",O777="Yes"),59,100),(I777*Rubric!$C$2+J777*Rubric!$C$3+K777*Rubric!$C$4+L777*Rubric!$C$5+M777*Rubric!$C$6+N777*Rubric!$C$7)/5),1)</f>
        <v>87</v>
      </c>
      <c r="U777" s="8" t="str">
        <f aca="false">LOOKUP(T777,Bands!$A$2:$A$6,Bands!$B$2:$B$6)</f>
        <v>Solid Performance</v>
      </c>
      <c r="V777" s="8" t="n">
        <f aca="false">IF(Q777="","",ROUND((Q777-B777)*24,1))</f>
        <v>120</v>
      </c>
    </row>
    <row r="778" customFormat="false" ht="15" hidden="false" customHeight="false" outlineLevel="0" collapsed="false">
      <c r="A778" s="3" t="s">
        <v>1689</v>
      </c>
      <c r="B778" s="5" t="n">
        <v>46203.6638888889</v>
      </c>
      <c r="C778" s="3" t="s">
        <v>39</v>
      </c>
      <c r="D778" s="3" t="s">
        <v>58</v>
      </c>
      <c r="E778" s="3" t="s">
        <v>59</v>
      </c>
      <c r="F778" s="3" t="s">
        <v>53</v>
      </c>
      <c r="G778" s="3" t="s">
        <v>34</v>
      </c>
      <c r="H778" s="3" t="s">
        <v>1690</v>
      </c>
      <c r="I778" s="3" t="n">
        <v>2</v>
      </c>
      <c r="J778" s="3" t="n">
        <v>3</v>
      </c>
      <c r="K778" s="3" t="n">
        <v>3</v>
      </c>
      <c r="L778" s="3" t="n">
        <v>3</v>
      </c>
      <c r="M778" s="3" t="n">
        <v>3</v>
      </c>
      <c r="N778" s="3" t="n">
        <v>3</v>
      </c>
      <c r="O778" s="6" t="b">
        <f aca="false">FALSE()</f>
        <v>0</v>
      </c>
      <c r="P778" s="3" t="s">
        <v>88</v>
      </c>
      <c r="Q778" s="5" t="n">
        <v>46209.6638888889</v>
      </c>
      <c r="R778" s="5" t="n">
        <v>46210.6208333333</v>
      </c>
      <c r="S778" s="3" t="s">
        <v>37</v>
      </c>
      <c r="T778" s="7" t="n">
        <f aca="false">ROUND(MIN(IF(OR(O778=TRUE(),O778="TRUE",O778="Yes"),59,100),(I778*Rubric!$C$2+J778*Rubric!$C$3+K778*Rubric!$C$4+L778*Rubric!$C$5+M778*Rubric!$C$6+N778*Rubric!$C$7)/5),1)</f>
        <v>57</v>
      </c>
      <c r="U778" s="8" t="str">
        <f aca="false">LOOKUP(T778,Bands!$A$2:$A$6,Bands!$B$2:$B$6)</f>
        <v>Critical</v>
      </c>
      <c r="V778" s="8" t="n">
        <f aca="false">IF(Q778="","",ROUND((Q778-B778)*24,1))</f>
        <v>144</v>
      </c>
    </row>
    <row r="779" customFormat="false" ht="15" hidden="false" customHeight="false" outlineLevel="0" collapsed="false">
      <c r="A779" s="3" t="s">
        <v>1691</v>
      </c>
      <c r="B779" s="5" t="n">
        <v>46203.5965277778</v>
      </c>
      <c r="C779" s="3" t="s">
        <v>68</v>
      </c>
      <c r="D779" s="3" t="s">
        <v>111</v>
      </c>
      <c r="E779" s="3" t="s">
        <v>112</v>
      </c>
      <c r="F779" s="3" t="s">
        <v>33</v>
      </c>
      <c r="G779" s="3" t="s">
        <v>42</v>
      </c>
      <c r="H779" s="3" t="s">
        <v>1692</v>
      </c>
      <c r="I779" s="3" t="n">
        <v>3</v>
      </c>
      <c r="J779" s="3" t="n">
        <v>4</v>
      </c>
      <c r="K779" s="3" t="n">
        <v>4</v>
      </c>
      <c r="L779" s="3" t="n">
        <v>5</v>
      </c>
      <c r="M779" s="3" t="n">
        <v>4</v>
      </c>
      <c r="N779" s="3" t="n">
        <v>5</v>
      </c>
      <c r="O779" s="6" t="b">
        <f aca="false">FALSE()</f>
        <v>0</v>
      </c>
      <c r="P779" s="3"/>
      <c r="Q779" s="5" t="n">
        <v>46212.5965277778</v>
      </c>
      <c r="R779" s="5" t="n">
        <v>46216.2368055556</v>
      </c>
      <c r="S779" s="3" t="s">
        <v>37</v>
      </c>
      <c r="T779" s="7" t="n">
        <f aca="false">ROUND(MIN(IF(OR(O779=TRUE(),O779="TRUE",O779="Yes"),59,100),(I779*Rubric!$C$2+J779*Rubric!$C$3+K779*Rubric!$C$4+L779*Rubric!$C$5+M779*Rubric!$C$6+N779*Rubric!$C$7)/5),1)</f>
        <v>83</v>
      </c>
      <c r="U779" s="8" t="str">
        <f aca="false">LOOKUP(T779,Bands!$A$2:$A$6,Bands!$B$2:$B$6)</f>
        <v>Solid Performance</v>
      </c>
      <c r="V779" s="8" t="n">
        <f aca="false">IF(Q779="","",ROUND((Q779-B779)*24,1))</f>
        <v>216</v>
      </c>
    </row>
    <row r="780" customFormat="false" ht="15" hidden="false" customHeight="false" outlineLevel="0" collapsed="false">
      <c r="A780" s="3" t="s">
        <v>1693</v>
      </c>
      <c r="B780" s="5" t="n">
        <v>46203.5111111111</v>
      </c>
      <c r="C780" s="3" t="s">
        <v>68</v>
      </c>
      <c r="D780" s="3" t="s">
        <v>194</v>
      </c>
      <c r="E780" s="3" t="s">
        <v>195</v>
      </c>
      <c r="F780" s="3" t="s">
        <v>53</v>
      </c>
      <c r="G780" s="3" t="s">
        <v>54</v>
      </c>
      <c r="H780" s="3" t="s">
        <v>1694</v>
      </c>
      <c r="I780" s="3" t="n">
        <v>4</v>
      </c>
      <c r="J780" s="3" t="n">
        <v>4</v>
      </c>
      <c r="K780" s="3" t="n">
        <v>3</v>
      </c>
      <c r="L780" s="3" t="n">
        <v>4</v>
      </c>
      <c r="M780" s="3" t="n">
        <v>5</v>
      </c>
      <c r="N780" s="3" t="n">
        <v>4</v>
      </c>
      <c r="O780" s="6" t="b">
        <f aca="false">FALSE()</f>
        <v>0</v>
      </c>
      <c r="P780" s="3"/>
      <c r="Q780" s="5" t="n">
        <v>46210.5111111111</v>
      </c>
      <c r="R780" s="5" t="n">
        <v>46211.0861111111</v>
      </c>
      <c r="S780" s="3" t="s">
        <v>37</v>
      </c>
      <c r="T780" s="7" t="n">
        <f aca="false">ROUND(MIN(IF(OR(O780=TRUE(),O780="TRUE",O780="Yes"),59,100),(I780*Rubric!$C$2+J780*Rubric!$C$3+K780*Rubric!$C$4+L780*Rubric!$C$5+M780*Rubric!$C$6+N780*Rubric!$C$7)/5),1)</f>
        <v>78</v>
      </c>
      <c r="U780" s="8" t="str">
        <f aca="false">LOOKUP(T780,Bands!$A$2:$A$6,Bands!$B$2:$B$6)</f>
        <v>Meets Expectations</v>
      </c>
      <c r="V780" s="8" t="n">
        <f aca="false">IF(Q780="","",ROUND((Q780-B780)*24,1))</f>
        <v>168</v>
      </c>
    </row>
    <row r="781" customFormat="false" ht="15" hidden="false" customHeight="false" outlineLevel="0" collapsed="false">
      <c r="A781" s="3" t="s">
        <v>1695</v>
      </c>
      <c r="B781" s="5" t="n">
        <v>46203.4340277778</v>
      </c>
      <c r="C781" s="3" t="s">
        <v>30</v>
      </c>
      <c r="D781" s="3" t="s">
        <v>81</v>
      </c>
      <c r="E781" s="3" t="s">
        <v>82</v>
      </c>
      <c r="F781" s="3" t="s">
        <v>65</v>
      </c>
      <c r="G781" s="3" t="s">
        <v>42</v>
      </c>
      <c r="H781" s="3" t="s">
        <v>1696</v>
      </c>
      <c r="I781" s="3" t="n">
        <v>4</v>
      </c>
      <c r="J781" s="3" t="n">
        <v>3</v>
      </c>
      <c r="K781" s="3" t="n">
        <v>5</v>
      </c>
      <c r="L781" s="3" t="n">
        <v>4</v>
      </c>
      <c r="M781" s="3" t="n">
        <v>4</v>
      </c>
      <c r="N781" s="3" t="n">
        <v>4</v>
      </c>
      <c r="O781" s="6" t="b">
        <f aca="false">FALSE()</f>
        <v>0</v>
      </c>
      <c r="P781" s="3"/>
      <c r="Q781" s="5" t="n">
        <v>46206.4340277778</v>
      </c>
      <c r="R781" s="5" t="n">
        <v>46210.5527777778</v>
      </c>
      <c r="S781" s="3" t="s">
        <v>37</v>
      </c>
      <c r="T781" s="7" t="n">
        <f aca="false">ROUND(MIN(IF(OR(O781=TRUE(),O781="TRUE",O781="Yes"),59,100),(I781*Rubric!$C$2+J781*Rubric!$C$3+K781*Rubric!$C$4+L781*Rubric!$C$5+M781*Rubric!$C$6+N781*Rubric!$C$7)/5),1)</f>
        <v>79</v>
      </c>
      <c r="U781" s="8" t="str">
        <f aca="false">LOOKUP(T781,Bands!$A$2:$A$6,Bands!$B$2:$B$6)</f>
        <v>Meets Expectations</v>
      </c>
      <c r="V781" s="8" t="n">
        <f aca="false">IF(Q781="","",ROUND((Q781-B781)*24,1))</f>
        <v>72</v>
      </c>
    </row>
    <row r="782" customFormat="false" ht="15" hidden="false" customHeight="false" outlineLevel="0" collapsed="false">
      <c r="A782" s="3" t="s">
        <v>1697</v>
      </c>
      <c r="B782" s="5" t="n">
        <v>46204.3826388889</v>
      </c>
      <c r="C782" s="3" t="s">
        <v>68</v>
      </c>
      <c r="D782" s="3" t="s">
        <v>486</v>
      </c>
      <c r="E782" s="3" t="s">
        <v>487</v>
      </c>
      <c r="F782" s="3" t="s">
        <v>65</v>
      </c>
      <c r="G782" s="3" t="s">
        <v>34</v>
      </c>
      <c r="H782" s="3" t="s">
        <v>1698</v>
      </c>
      <c r="I782" s="3" t="n">
        <v>5</v>
      </c>
      <c r="J782" s="3" t="n">
        <v>2</v>
      </c>
      <c r="K782" s="3" t="n">
        <v>5</v>
      </c>
      <c r="L782" s="3" t="n">
        <v>5</v>
      </c>
      <c r="M782" s="3" t="n">
        <v>4</v>
      </c>
      <c r="N782" s="3" t="n">
        <v>5</v>
      </c>
      <c r="O782" s="6" t="b">
        <f aca="false">FALSE()</f>
        <v>0</v>
      </c>
      <c r="P782" s="3" t="s">
        <v>56</v>
      </c>
      <c r="Q782" s="5" t="n">
        <v>46204.3840277778</v>
      </c>
      <c r="R782" s="5" t="n">
        <v>46204.4680555556</v>
      </c>
      <c r="S782" s="3" t="s">
        <v>1699</v>
      </c>
      <c r="T782" s="7" t="n">
        <f aca="false">ROUND(MIN(IF(OR(O782=TRUE(),O782="TRUE",O782="Yes"),59,100),(I782*Rubric!$C$2+J782*Rubric!$C$3+K782*Rubric!$C$4+L782*Rubric!$C$5+M782*Rubric!$C$6+N782*Rubric!$C$7)/5),1)</f>
        <v>83</v>
      </c>
      <c r="U782" s="8" t="str">
        <f aca="false">LOOKUP(T782,Bands!$A$2:$A$6,Bands!$B$2:$B$6)</f>
        <v>Solid Performance</v>
      </c>
      <c r="V782" s="8" t="n">
        <f aca="false">IF(Q782="","",ROUND((Q782-B782)*24,1))</f>
        <v>0</v>
      </c>
    </row>
    <row r="783" customFormat="false" ht="15" hidden="false" customHeight="false" outlineLevel="0" collapsed="false">
      <c r="A783" s="3" t="s">
        <v>1700</v>
      </c>
      <c r="B783" s="5" t="n">
        <v>46204.6909722222</v>
      </c>
      <c r="C783" s="3" t="s">
        <v>30</v>
      </c>
      <c r="D783" s="3" t="s">
        <v>100</v>
      </c>
      <c r="E783" s="3" t="s">
        <v>101</v>
      </c>
      <c r="F783" s="3" t="s">
        <v>33</v>
      </c>
      <c r="G783" s="3" t="s">
        <v>34</v>
      </c>
      <c r="H783" s="3" t="s">
        <v>1701</v>
      </c>
      <c r="I783" s="3" t="n">
        <v>5</v>
      </c>
      <c r="J783" s="3" t="n">
        <v>4</v>
      </c>
      <c r="K783" s="3" t="n">
        <v>5</v>
      </c>
      <c r="L783" s="3" t="n">
        <v>4</v>
      </c>
      <c r="M783" s="3" t="n">
        <v>3</v>
      </c>
      <c r="N783" s="3" t="n">
        <v>5</v>
      </c>
      <c r="O783" s="6" t="b">
        <f aca="false">FALSE()</f>
        <v>0</v>
      </c>
      <c r="P783" s="3"/>
      <c r="Q783" s="5" t="n">
        <v>46204.6930555556</v>
      </c>
      <c r="R783" s="5" t="n">
        <v>46204.88125</v>
      </c>
      <c r="S783" s="3" t="s">
        <v>1699</v>
      </c>
      <c r="T783" s="7" t="n">
        <f aca="false">ROUND(MIN(IF(OR(O783=TRUE(),O783="TRUE",O783="Yes"),59,100),(I783*Rubric!$C$2+J783*Rubric!$C$3+K783*Rubric!$C$4+L783*Rubric!$C$5+M783*Rubric!$C$6+N783*Rubric!$C$7)/5),1)</f>
        <v>88</v>
      </c>
      <c r="U783" s="8" t="str">
        <f aca="false">LOOKUP(T783,Bands!$A$2:$A$6,Bands!$B$2:$B$6)</f>
        <v>Solid Performance</v>
      </c>
      <c r="V783" s="8" t="n">
        <f aca="false">IF(Q783="","",ROUND((Q783-B783)*24,1))</f>
        <v>0.1</v>
      </c>
    </row>
    <row r="784" customFormat="false" ht="15" hidden="false" customHeight="false" outlineLevel="0" collapsed="false">
      <c r="A784" s="3" t="s">
        <v>1702</v>
      </c>
      <c r="B784" s="5" t="n">
        <v>46204.5486111111</v>
      </c>
      <c r="C784" s="3" t="s">
        <v>30</v>
      </c>
      <c r="D784" s="3" t="s">
        <v>58</v>
      </c>
      <c r="E784" s="3" t="s">
        <v>59</v>
      </c>
      <c r="F784" s="3" t="s">
        <v>53</v>
      </c>
      <c r="G784" s="3" t="s">
        <v>42</v>
      </c>
      <c r="H784" s="3" t="s">
        <v>1703</v>
      </c>
      <c r="I784" s="3" t="n">
        <v>4</v>
      </c>
      <c r="J784" s="3" t="n">
        <v>3</v>
      </c>
      <c r="K784" s="3" t="n">
        <v>3</v>
      </c>
      <c r="L784" s="3" t="n">
        <v>4</v>
      </c>
      <c r="M784" s="3" t="n">
        <v>3</v>
      </c>
      <c r="N784" s="3" t="n">
        <v>3</v>
      </c>
      <c r="O784" s="6" t="b">
        <f aca="false">FALSE()</f>
        <v>0</v>
      </c>
      <c r="P784" s="3"/>
      <c r="Q784" s="5" t="n">
        <v>46204.55</v>
      </c>
      <c r="R784" s="5" t="n">
        <v>46204.5583333333</v>
      </c>
      <c r="S784" s="3" t="s">
        <v>1699</v>
      </c>
      <c r="T784" s="7" t="n">
        <f aca="false">ROUND(MIN(IF(OR(O784=TRUE(),O784="TRUE",O784="Yes"),59,100),(I784*Rubric!$C$2+J784*Rubric!$C$3+K784*Rubric!$C$4+L784*Rubric!$C$5+M784*Rubric!$C$6+N784*Rubric!$C$7)/5),1)</f>
        <v>66</v>
      </c>
      <c r="U784" s="8" t="str">
        <f aca="false">LOOKUP(T784,Bands!$A$2:$A$6,Bands!$B$2:$B$6)</f>
        <v>Needs Improvement</v>
      </c>
      <c r="V784" s="8" t="n">
        <f aca="false">IF(Q784="","",ROUND((Q784-B784)*24,1))</f>
        <v>0</v>
      </c>
    </row>
    <row r="785" customFormat="false" ht="15" hidden="false" customHeight="false" outlineLevel="0" collapsed="false">
      <c r="A785" s="3" t="s">
        <v>1704</v>
      </c>
      <c r="B785" s="5" t="n">
        <v>46204.5541666667</v>
      </c>
      <c r="C785" s="3" t="s">
        <v>30</v>
      </c>
      <c r="D785" s="3" t="s">
        <v>73</v>
      </c>
      <c r="E785" s="3" t="s">
        <v>74</v>
      </c>
      <c r="F785" s="3" t="s">
        <v>33</v>
      </c>
      <c r="G785" s="3" t="s">
        <v>34</v>
      </c>
      <c r="H785" s="3" t="s">
        <v>1705</v>
      </c>
      <c r="I785" s="3" t="n">
        <v>5</v>
      </c>
      <c r="J785" s="3" t="n">
        <v>5</v>
      </c>
      <c r="K785" s="3" t="n">
        <v>4</v>
      </c>
      <c r="L785" s="3" t="n">
        <v>4</v>
      </c>
      <c r="M785" s="3" t="n">
        <v>4</v>
      </c>
      <c r="N785" s="3" t="n">
        <v>3</v>
      </c>
      <c r="O785" s="6" t="b">
        <f aca="false">FALSE()</f>
        <v>0</v>
      </c>
      <c r="P785" s="3"/>
      <c r="Q785" s="5" t="n">
        <v>46204.5548611111</v>
      </c>
      <c r="R785" s="5" t="n">
        <v>46204.8069444444</v>
      </c>
      <c r="S785" s="3" t="s">
        <v>1699</v>
      </c>
      <c r="T785" s="7" t="n">
        <f aca="false">ROUND(MIN(IF(OR(O785=TRUE(),O785="TRUE",O785="Yes"),59,100),(I785*Rubric!$C$2+J785*Rubric!$C$3+K785*Rubric!$C$4+L785*Rubric!$C$5+M785*Rubric!$C$6+N785*Rubric!$C$7)/5),1)</f>
        <v>85</v>
      </c>
      <c r="U785" s="8" t="str">
        <f aca="false">LOOKUP(T785,Bands!$A$2:$A$6,Bands!$B$2:$B$6)</f>
        <v>Solid Performance</v>
      </c>
      <c r="V785" s="8" t="n">
        <f aca="false">IF(Q785="","",ROUND((Q785-B785)*24,1))</f>
        <v>0</v>
      </c>
    </row>
    <row r="786" customFormat="false" ht="15" hidden="false" customHeight="false" outlineLevel="0" collapsed="false">
      <c r="A786" s="3" t="s">
        <v>1706</v>
      </c>
      <c r="B786" s="5" t="n">
        <v>46204.6347222222</v>
      </c>
      <c r="C786" s="3" t="s">
        <v>39</v>
      </c>
      <c r="D786" s="3" t="s">
        <v>228</v>
      </c>
      <c r="E786" s="3" t="s">
        <v>229</v>
      </c>
      <c r="F786" s="3" t="s">
        <v>65</v>
      </c>
      <c r="G786" s="3" t="s">
        <v>42</v>
      </c>
      <c r="H786" s="3" t="s">
        <v>1707</v>
      </c>
      <c r="I786" s="3" t="n">
        <v>3</v>
      </c>
      <c r="J786" s="3" t="n">
        <v>3</v>
      </c>
      <c r="K786" s="3" t="n">
        <v>3</v>
      </c>
      <c r="L786" s="3" t="n">
        <v>3</v>
      </c>
      <c r="M786" s="3" t="n">
        <v>3</v>
      </c>
      <c r="N786" s="3" t="n">
        <v>3</v>
      </c>
      <c r="O786" s="6" t="b">
        <f aca="false">FALSE()</f>
        <v>0</v>
      </c>
      <c r="P786" s="3"/>
      <c r="Q786" s="5" t="n">
        <v>46204.6354166667</v>
      </c>
      <c r="R786" s="5" t="n">
        <v>46204.6527777778</v>
      </c>
      <c r="S786" s="3" t="s">
        <v>1699</v>
      </c>
      <c r="T786" s="7" t="n">
        <f aca="false">ROUND(MIN(IF(OR(O786=TRUE(),O786="TRUE",O786="Yes"),59,100),(I786*Rubric!$C$2+J786*Rubric!$C$3+K786*Rubric!$C$4+L786*Rubric!$C$5+M786*Rubric!$C$6+N786*Rubric!$C$7)/5),1)</f>
        <v>60</v>
      </c>
      <c r="U786" s="8" t="str">
        <f aca="false">LOOKUP(T786,Bands!$A$2:$A$6,Bands!$B$2:$B$6)</f>
        <v>Needs Improvement</v>
      </c>
      <c r="V786" s="8" t="n">
        <f aca="false">IF(Q786="","",ROUND((Q786-B786)*24,1))</f>
        <v>0</v>
      </c>
    </row>
    <row r="787" customFormat="false" ht="15" hidden="false" customHeight="false" outlineLevel="0" collapsed="false">
      <c r="A787" s="3" t="s">
        <v>1708</v>
      </c>
      <c r="B787" s="5" t="n">
        <v>46204.6680555556</v>
      </c>
      <c r="C787" s="3" t="s">
        <v>30</v>
      </c>
      <c r="D787" s="3" t="s">
        <v>293</v>
      </c>
      <c r="E787" s="3" t="s">
        <v>294</v>
      </c>
      <c r="F787" s="3" t="s">
        <v>65</v>
      </c>
      <c r="G787" s="3" t="s">
        <v>42</v>
      </c>
      <c r="H787" s="3" t="s">
        <v>1709</v>
      </c>
      <c r="I787" s="3" t="n">
        <v>4</v>
      </c>
      <c r="J787" s="3" t="n">
        <v>5</v>
      </c>
      <c r="K787" s="3" t="n">
        <v>5</v>
      </c>
      <c r="L787" s="3" t="n">
        <v>4</v>
      </c>
      <c r="M787" s="3" t="n">
        <v>5</v>
      </c>
      <c r="N787" s="3" t="n">
        <v>4</v>
      </c>
      <c r="O787" s="6" t="b">
        <f aca="false">FALSE()</f>
        <v>0</v>
      </c>
      <c r="P787" s="3"/>
      <c r="Q787" s="5" t="n">
        <v>46204.66875</v>
      </c>
      <c r="R787" s="5" t="n">
        <v>46204.9770833333</v>
      </c>
      <c r="S787" s="3" t="s">
        <v>1699</v>
      </c>
      <c r="T787" s="7" t="n">
        <f aca="false">ROUND(MIN(IF(OR(O787=TRUE(),O787="TRUE",O787="Yes"),59,100),(I787*Rubric!$C$2+J787*Rubric!$C$3+K787*Rubric!$C$4+L787*Rubric!$C$5+M787*Rubric!$C$6+N787*Rubric!$C$7)/5),1)</f>
        <v>91</v>
      </c>
      <c r="U787" s="8" t="str">
        <f aca="false">LOOKUP(T787,Bands!$A$2:$A$6,Bands!$B$2:$B$6)</f>
        <v>Outstanding</v>
      </c>
      <c r="V787" s="8" t="n">
        <f aca="false">IF(Q787="","",ROUND((Q787-B787)*24,1))</f>
        <v>0</v>
      </c>
    </row>
    <row r="788" customFormat="false" ht="15" hidden="false" customHeight="false" outlineLevel="0" collapsed="false">
      <c r="A788" s="3" t="s">
        <v>1710</v>
      </c>
      <c r="B788" s="5" t="n">
        <v>46204.5305555556</v>
      </c>
      <c r="C788" s="3" t="s">
        <v>39</v>
      </c>
      <c r="D788" s="3" t="s">
        <v>85</v>
      </c>
      <c r="E788" s="3" t="s">
        <v>86</v>
      </c>
      <c r="F788" s="3" t="s">
        <v>33</v>
      </c>
      <c r="G788" s="3" t="s">
        <v>42</v>
      </c>
      <c r="H788" s="3" t="s">
        <v>1711</v>
      </c>
      <c r="I788" s="3" t="n">
        <v>2</v>
      </c>
      <c r="J788" s="3" t="n">
        <v>4</v>
      </c>
      <c r="K788" s="3" t="n">
        <v>4</v>
      </c>
      <c r="L788" s="3" t="n">
        <v>5</v>
      </c>
      <c r="M788" s="3" t="n">
        <v>4</v>
      </c>
      <c r="N788" s="3" t="n">
        <v>4</v>
      </c>
      <c r="O788" s="6" t="b">
        <f aca="false">FALSE()</f>
        <v>0</v>
      </c>
      <c r="P788" s="3" t="s">
        <v>88</v>
      </c>
      <c r="Q788" s="5" t="n">
        <v>46204.53125</v>
      </c>
      <c r="R788" s="5" t="n">
        <v>46204.8743055556</v>
      </c>
      <c r="S788" s="3" t="s">
        <v>1699</v>
      </c>
      <c r="T788" s="7" t="n">
        <f aca="false">ROUND(MIN(IF(OR(O788=TRUE(),O788="TRUE",O788="Yes"),59,100),(I788*Rubric!$C$2+J788*Rubric!$C$3+K788*Rubric!$C$4+L788*Rubric!$C$5+M788*Rubric!$C$6+N788*Rubric!$C$7)/5),1)</f>
        <v>77</v>
      </c>
      <c r="U788" s="8" t="str">
        <f aca="false">LOOKUP(T788,Bands!$A$2:$A$6,Bands!$B$2:$B$6)</f>
        <v>Meets Expectations</v>
      </c>
      <c r="V788" s="8" t="n">
        <f aca="false">IF(Q788="","",ROUND((Q788-B788)*24,1))</f>
        <v>0</v>
      </c>
    </row>
    <row r="789" customFormat="false" ht="15" hidden="false" customHeight="false" outlineLevel="0" collapsed="false">
      <c r="A789" s="3" t="s">
        <v>1712</v>
      </c>
      <c r="B789" s="5" t="n">
        <v>46204.6041666667</v>
      </c>
      <c r="C789" s="3" t="s">
        <v>68</v>
      </c>
      <c r="D789" s="3" t="s">
        <v>161</v>
      </c>
      <c r="E789" s="3" t="s">
        <v>162</v>
      </c>
      <c r="F789" s="3" t="s">
        <v>33</v>
      </c>
      <c r="G789" s="3" t="s">
        <v>54</v>
      </c>
      <c r="H789" s="3" t="s">
        <v>1713</v>
      </c>
      <c r="I789" s="3" t="n">
        <v>5</v>
      </c>
      <c r="J789" s="3" t="n">
        <v>4</v>
      </c>
      <c r="K789" s="3" t="n">
        <v>4</v>
      </c>
      <c r="L789" s="3" t="n">
        <v>3</v>
      </c>
      <c r="M789" s="3" t="n">
        <v>3</v>
      </c>
      <c r="N789" s="3" t="n">
        <v>5</v>
      </c>
      <c r="O789" s="6" t="b">
        <f aca="false">FALSE()</f>
        <v>0</v>
      </c>
      <c r="P789" s="3"/>
      <c r="Q789" s="5" t="n">
        <v>46204.6048611111</v>
      </c>
      <c r="R789" s="5" t="n">
        <v>46204.7347222222</v>
      </c>
      <c r="S789" s="3" t="s">
        <v>1699</v>
      </c>
      <c r="T789" s="7" t="n">
        <f aca="false">ROUND(MIN(IF(OR(O789=TRUE(),O789="TRUE",O789="Yes"),59,100),(I789*Rubric!$C$2+J789*Rubric!$C$3+K789*Rubric!$C$4+L789*Rubric!$C$5+M789*Rubric!$C$6+N789*Rubric!$C$7)/5),1)</f>
        <v>81</v>
      </c>
      <c r="U789" s="8" t="str">
        <f aca="false">LOOKUP(T789,Bands!$A$2:$A$6,Bands!$B$2:$B$6)</f>
        <v>Solid Performance</v>
      </c>
      <c r="V789" s="8" t="n">
        <f aca="false">IF(Q789="","",ROUND((Q789-B789)*24,1))</f>
        <v>0</v>
      </c>
    </row>
    <row r="790" customFormat="false" ht="15" hidden="false" customHeight="false" outlineLevel="0" collapsed="false">
      <c r="A790" s="3" t="s">
        <v>1714</v>
      </c>
      <c r="B790" s="5" t="n">
        <v>46204.5569444444</v>
      </c>
      <c r="C790" s="3" t="s">
        <v>68</v>
      </c>
      <c r="D790" s="3" t="s">
        <v>155</v>
      </c>
      <c r="E790" s="3" t="s">
        <v>156</v>
      </c>
      <c r="F790" s="3" t="s">
        <v>65</v>
      </c>
      <c r="G790" s="3" t="s">
        <v>42</v>
      </c>
      <c r="H790" s="3" t="s">
        <v>1715</v>
      </c>
      <c r="I790" s="3" t="n">
        <v>3</v>
      </c>
      <c r="J790" s="3" t="n">
        <v>4</v>
      </c>
      <c r="K790" s="3" t="n">
        <v>5</v>
      </c>
      <c r="L790" s="3" t="n">
        <v>4</v>
      </c>
      <c r="M790" s="3" t="n">
        <v>4</v>
      </c>
      <c r="N790" s="3" t="n">
        <v>4</v>
      </c>
      <c r="O790" s="6" t="b">
        <f aca="false">FALSE()</f>
        <v>0</v>
      </c>
      <c r="P790" s="3"/>
      <c r="Q790" s="5" t="n">
        <v>46204.5590277778</v>
      </c>
      <c r="R790" s="5" t="n">
        <v>46204.5729166667</v>
      </c>
      <c r="S790" s="3" t="s">
        <v>1699</v>
      </c>
      <c r="T790" s="7" t="n">
        <f aca="false">ROUND(MIN(IF(OR(O790=TRUE(),O790="TRUE",O790="Yes"),59,100),(I790*Rubric!$C$2+J790*Rubric!$C$3+K790*Rubric!$C$4+L790*Rubric!$C$5+M790*Rubric!$C$6+N790*Rubric!$C$7)/5),1)</f>
        <v>81</v>
      </c>
      <c r="U790" s="8" t="str">
        <f aca="false">LOOKUP(T790,Bands!$A$2:$A$6,Bands!$B$2:$B$6)</f>
        <v>Solid Performance</v>
      </c>
      <c r="V790" s="8" t="n">
        <f aca="false">IF(Q790="","",ROUND((Q790-B790)*24,1))</f>
        <v>0.1</v>
      </c>
    </row>
    <row r="791" customFormat="false" ht="15" hidden="false" customHeight="false" outlineLevel="0" collapsed="false">
      <c r="A791" s="3" t="s">
        <v>1716</v>
      </c>
      <c r="B791" s="5" t="n">
        <v>46204.3868055556</v>
      </c>
      <c r="C791" s="3" t="s">
        <v>30</v>
      </c>
      <c r="D791" s="3" t="s">
        <v>265</v>
      </c>
      <c r="E791" s="3" t="s">
        <v>266</v>
      </c>
      <c r="F791" s="3" t="s">
        <v>33</v>
      </c>
      <c r="G791" s="3" t="s">
        <v>54</v>
      </c>
      <c r="H791" s="3" t="s">
        <v>1717</v>
      </c>
      <c r="I791" s="3" t="n">
        <v>3</v>
      </c>
      <c r="J791" s="3" t="n">
        <v>3</v>
      </c>
      <c r="K791" s="3" t="n">
        <v>2</v>
      </c>
      <c r="L791" s="3" t="n">
        <v>3</v>
      </c>
      <c r="M791" s="3" t="n">
        <v>5</v>
      </c>
      <c r="N791" s="3" t="n">
        <v>3</v>
      </c>
      <c r="O791" s="6" t="b">
        <f aca="false">FALSE()</f>
        <v>0</v>
      </c>
      <c r="P791" s="3" t="s">
        <v>49</v>
      </c>
      <c r="Q791" s="5" t="n">
        <v>46204.3888888889</v>
      </c>
      <c r="R791" s="5" t="n">
        <v>46204.5638888889</v>
      </c>
      <c r="S791" s="3" t="s">
        <v>1699</v>
      </c>
      <c r="T791" s="7" t="n">
        <f aca="false">ROUND(MIN(IF(OR(O791=TRUE(),O791="TRUE",O791="Yes"),59,100),(I791*Rubric!$C$2+J791*Rubric!$C$3+K791*Rubric!$C$4+L791*Rubric!$C$5+M791*Rubric!$C$6+N791*Rubric!$C$7)/5),1)</f>
        <v>60</v>
      </c>
      <c r="U791" s="8" t="str">
        <f aca="false">LOOKUP(T791,Bands!$A$2:$A$6,Bands!$B$2:$B$6)</f>
        <v>Needs Improvement</v>
      </c>
      <c r="V791" s="8" t="n">
        <f aca="false">IF(Q791="","",ROUND((Q791-B791)*24,1))</f>
        <v>0</v>
      </c>
    </row>
    <row r="792" customFormat="false" ht="15" hidden="false" customHeight="false" outlineLevel="0" collapsed="false">
      <c r="A792" s="3" t="s">
        <v>1718</v>
      </c>
      <c r="B792" s="5" t="n">
        <v>46204.5930555556</v>
      </c>
      <c r="C792" s="3" t="s">
        <v>68</v>
      </c>
      <c r="D792" s="3" t="s">
        <v>40</v>
      </c>
      <c r="E792" s="3" t="s">
        <v>41</v>
      </c>
      <c r="F792" s="3" t="s">
        <v>33</v>
      </c>
      <c r="G792" s="3" t="s">
        <v>42</v>
      </c>
      <c r="H792" s="3" t="s">
        <v>1719</v>
      </c>
      <c r="I792" s="3" t="n">
        <v>4</v>
      </c>
      <c r="J792" s="3" t="n">
        <v>5</v>
      </c>
      <c r="K792" s="3" t="n">
        <v>4</v>
      </c>
      <c r="L792" s="3" t="n">
        <v>3</v>
      </c>
      <c r="M792" s="3" t="n">
        <v>4</v>
      </c>
      <c r="N792" s="3" t="n">
        <v>3</v>
      </c>
      <c r="O792" s="6" t="b">
        <f aca="false">FALSE()</f>
        <v>0</v>
      </c>
      <c r="P792" s="3"/>
      <c r="Q792" s="5" t="n">
        <v>46204.59375</v>
      </c>
      <c r="R792" s="5" t="n">
        <v>46204.6659722222</v>
      </c>
      <c r="S792" s="3" t="s">
        <v>1699</v>
      </c>
      <c r="T792" s="7" t="n">
        <f aca="false">ROUND(MIN(IF(OR(O792=TRUE(),O792="TRUE",O792="Yes"),59,100),(I792*Rubric!$C$2+J792*Rubric!$C$3+K792*Rubric!$C$4+L792*Rubric!$C$5+M792*Rubric!$C$6+N792*Rubric!$C$7)/5),1)</f>
        <v>79</v>
      </c>
      <c r="U792" s="8" t="str">
        <f aca="false">LOOKUP(T792,Bands!$A$2:$A$6,Bands!$B$2:$B$6)</f>
        <v>Meets Expectations</v>
      </c>
      <c r="V792" s="8" t="n">
        <f aca="false">IF(Q792="","",ROUND((Q792-B792)*24,1))</f>
        <v>0</v>
      </c>
    </row>
    <row r="793" customFormat="false" ht="15" hidden="false" customHeight="false" outlineLevel="0" collapsed="false">
      <c r="A793" s="3" t="s">
        <v>1720</v>
      </c>
      <c r="B793" s="5" t="n">
        <v>46204.6194444444</v>
      </c>
      <c r="C793" s="3" t="s">
        <v>68</v>
      </c>
      <c r="D793" s="3" t="s">
        <v>31</v>
      </c>
      <c r="E793" s="3" t="s">
        <v>32</v>
      </c>
      <c r="F793" s="3" t="s">
        <v>33</v>
      </c>
      <c r="G793" s="3" t="s">
        <v>54</v>
      </c>
      <c r="H793" s="3" t="s">
        <v>1721</v>
      </c>
      <c r="I793" s="3" t="n">
        <v>5</v>
      </c>
      <c r="J793" s="3" t="n">
        <v>4</v>
      </c>
      <c r="K793" s="3" t="n">
        <v>5</v>
      </c>
      <c r="L793" s="3" t="n">
        <v>4</v>
      </c>
      <c r="M793" s="3" t="n">
        <v>3</v>
      </c>
      <c r="N793" s="3" t="n">
        <v>3</v>
      </c>
      <c r="O793" s="6" t="b">
        <f aca="false">FALSE()</f>
        <v>0</v>
      </c>
      <c r="P793" s="3"/>
      <c r="Q793" s="5" t="n">
        <v>46204.6215277778</v>
      </c>
      <c r="R793" s="5" t="n">
        <v>46205.2555555556</v>
      </c>
      <c r="S793" s="3" t="s">
        <v>1699</v>
      </c>
      <c r="T793" s="7" t="n">
        <f aca="false">ROUND(MIN(IF(OR(O793=TRUE(),O793="TRUE",O793="Yes"),59,100),(I793*Rubric!$C$2+J793*Rubric!$C$3+K793*Rubric!$C$4+L793*Rubric!$C$5+M793*Rubric!$C$6+N793*Rubric!$C$7)/5),1)</f>
        <v>82</v>
      </c>
      <c r="U793" s="8" t="str">
        <f aca="false">LOOKUP(T793,Bands!$A$2:$A$6,Bands!$B$2:$B$6)</f>
        <v>Solid Performance</v>
      </c>
      <c r="V793" s="8" t="n">
        <f aca="false">IF(Q793="","",ROUND((Q793-B793)*24,1))</f>
        <v>0.1</v>
      </c>
    </row>
    <row r="794" customFormat="false" ht="15" hidden="false" customHeight="false" outlineLevel="0" collapsed="false">
      <c r="A794" s="3" t="s">
        <v>1722</v>
      </c>
      <c r="B794" s="5" t="n">
        <v>46205.6777777778</v>
      </c>
      <c r="C794" s="3" t="s">
        <v>30</v>
      </c>
      <c r="D794" s="3" t="s">
        <v>100</v>
      </c>
      <c r="E794" s="3" t="s">
        <v>101</v>
      </c>
      <c r="F794" s="3" t="s">
        <v>33</v>
      </c>
      <c r="G794" s="3" t="s">
        <v>42</v>
      </c>
      <c r="H794" s="3" t="s">
        <v>1723</v>
      </c>
      <c r="I794" s="3" t="n">
        <v>4</v>
      </c>
      <c r="J794" s="3" t="n">
        <v>5</v>
      </c>
      <c r="K794" s="3" t="n">
        <v>4</v>
      </c>
      <c r="L794" s="3" t="n">
        <v>5</v>
      </c>
      <c r="M794" s="3" t="n">
        <v>3</v>
      </c>
      <c r="N794" s="3" t="n">
        <v>5</v>
      </c>
      <c r="O794" s="6" t="b">
        <f aca="false">FALSE()</f>
        <v>0</v>
      </c>
      <c r="P794" s="3"/>
      <c r="Q794" s="5" t="n">
        <v>46205.6798611111</v>
      </c>
      <c r="R794" s="5" t="n">
        <v>46205.9215277778</v>
      </c>
      <c r="S794" s="3" t="s">
        <v>1699</v>
      </c>
      <c r="T794" s="7" t="n">
        <f aca="false">ROUND(MIN(IF(OR(O794=TRUE(),O794="TRUE",O794="Yes"),59,100),(I794*Rubric!$C$2+J794*Rubric!$C$3+K794*Rubric!$C$4+L794*Rubric!$C$5+M794*Rubric!$C$6+N794*Rubric!$C$7)/5),1)</f>
        <v>89</v>
      </c>
      <c r="U794" s="8" t="str">
        <f aca="false">LOOKUP(T794,Bands!$A$2:$A$6,Bands!$B$2:$B$6)</f>
        <v>Solid Performance</v>
      </c>
      <c r="V794" s="8" t="n">
        <f aca="false">IF(Q794="","",ROUND((Q794-B794)*24,1))</f>
        <v>0</v>
      </c>
    </row>
    <row r="795" customFormat="false" ht="15" hidden="false" customHeight="false" outlineLevel="0" collapsed="false">
      <c r="A795" s="3" t="s">
        <v>1724</v>
      </c>
      <c r="B795" s="5" t="n">
        <v>46205.5465277778</v>
      </c>
      <c r="C795" s="3" t="s">
        <v>39</v>
      </c>
      <c r="D795" s="3" t="s">
        <v>105</v>
      </c>
      <c r="E795" s="3" t="s">
        <v>106</v>
      </c>
      <c r="F795" s="3" t="s">
        <v>65</v>
      </c>
      <c r="G795" s="3" t="s">
        <v>54</v>
      </c>
      <c r="H795" s="3" t="s">
        <v>1725</v>
      </c>
      <c r="I795" s="3" t="n">
        <v>4</v>
      </c>
      <c r="J795" s="3" t="n">
        <v>3</v>
      </c>
      <c r="K795" s="3" t="n">
        <v>4</v>
      </c>
      <c r="L795" s="3" t="n">
        <v>4</v>
      </c>
      <c r="M795" s="3" t="n">
        <v>4</v>
      </c>
      <c r="N795" s="3" t="n">
        <v>4</v>
      </c>
      <c r="O795" s="6" t="b">
        <f aca="false">FALSE()</f>
        <v>0</v>
      </c>
      <c r="P795" s="3"/>
      <c r="Q795" s="5" t="n">
        <v>46205.5472222222</v>
      </c>
      <c r="R795" s="5" t="n">
        <v>46205.7625</v>
      </c>
      <c r="S795" s="3" t="s">
        <v>1699</v>
      </c>
      <c r="T795" s="7" t="n">
        <f aca="false">ROUND(MIN(IF(OR(O795=TRUE(),O795="TRUE",O795="Yes"),59,100),(I795*Rubric!$C$2+J795*Rubric!$C$3+K795*Rubric!$C$4+L795*Rubric!$C$5+M795*Rubric!$C$6+N795*Rubric!$C$7)/5),1)</f>
        <v>75</v>
      </c>
      <c r="U795" s="8" t="str">
        <f aca="false">LOOKUP(T795,Bands!$A$2:$A$6,Bands!$B$2:$B$6)</f>
        <v>Meets Expectations</v>
      </c>
      <c r="V795" s="8" t="n">
        <f aca="false">IF(Q795="","",ROUND((Q795-B795)*24,1))</f>
        <v>0</v>
      </c>
    </row>
    <row r="796" customFormat="false" ht="15" hidden="false" customHeight="false" outlineLevel="0" collapsed="false">
      <c r="A796" s="3" t="s">
        <v>1726</v>
      </c>
      <c r="B796" s="5" t="n">
        <v>46205.4840277778</v>
      </c>
      <c r="C796" s="3" t="s">
        <v>68</v>
      </c>
      <c r="D796" s="3" t="s">
        <v>238</v>
      </c>
      <c r="E796" s="3" t="s">
        <v>239</v>
      </c>
      <c r="F796" s="3" t="s">
        <v>33</v>
      </c>
      <c r="G796" s="3" t="s">
        <v>54</v>
      </c>
      <c r="H796" s="3" t="s">
        <v>1727</v>
      </c>
      <c r="I796" s="3" t="n">
        <v>4</v>
      </c>
      <c r="J796" s="3" t="n">
        <v>4</v>
      </c>
      <c r="K796" s="3" t="n">
        <v>4</v>
      </c>
      <c r="L796" s="3" t="n">
        <v>5</v>
      </c>
      <c r="M796" s="3" t="n">
        <v>3</v>
      </c>
      <c r="N796" s="3" t="n">
        <v>4</v>
      </c>
      <c r="O796" s="6" t="b">
        <f aca="false">FALSE()</f>
        <v>0</v>
      </c>
      <c r="P796" s="3"/>
      <c r="Q796" s="5" t="n">
        <v>46205.4847222222</v>
      </c>
      <c r="R796" s="5" t="n">
        <v>46205.6361111111</v>
      </c>
      <c r="S796" s="3" t="s">
        <v>1699</v>
      </c>
      <c r="T796" s="7" t="n">
        <f aca="false">ROUND(MIN(IF(OR(O796=TRUE(),O796="TRUE",O796="Yes"),59,100),(I796*Rubric!$C$2+J796*Rubric!$C$3+K796*Rubric!$C$4+L796*Rubric!$C$5+M796*Rubric!$C$6+N796*Rubric!$C$7)/5),1)</f>
        <v>81</v>
      </c>
      <c r="U796" s="8" t="str">
        <f aca="false">LOOKUP(T796,Bands!$A$2:$A$6,Bands!$B$2:$B$6)</f>
        <v>Solid Performance</v>
      </c>
      <c r="V796" s="8" t="n">
        <f aca="false">IF(Q796="","",ROUND((Q796-B796)*24,1))</f>
        <v>0</v>
      </c>
    </row>
    <row r="797" customFormat="false" ht="15" hidden="false" customHeight="false" outlineLevel="0" collapsed="false">
      <c r="A797" s="3" t="s">
        <v>1728</v>
      </c>
      <c r="B797" s="5" t="n">
        <v>46205.46875</v>
      </c>
      <c r="C797" s="3" t="s">
        <v>68</v>
      </c>
      <c r="D797" s="3" t="s">
        <v>119</v>
      </c>
      <c r="E797" s="3" t="s">
        <v>120</v>
      </c>
      <c r="F797" s="3" t="s">
        <v>33</v>
      </c>
      <c r="G797" s="3" t="s">
        <v>54</v>
      </c>
      <c r="H797" s="3" t="s">
        <v>1729</v>
      </c>
      <c r="I797" s="3" t="n">
        <v>5</v>
      </c>
      <c r="J797" s="3" t="n">
        <v>5</v>
      </c>
      <c r="K797" s="3" t="n">
        <v>4</v>
      </c>
      <c r="L797" s="3" t="n">
        <v>3</v>
      </c>
      <c r="M797" s="3" t="n">
        <v>4</v>
      </c>
      <c r="N797" s="3" t="n">
        <v>3</v>
      </c>
      <c r="O797" s="6" t="b">
        <f aca="false">FALSE()</f>
        <v>0</v>
      </c>
      <c r="P797" s="3"/>
      <c r="Q797" s="5" t="n">
        <v>46205.4694444445</v>
      </c>
      <c r="R797" s="5" t="n">
        <v>46205.6395833333</v>
      </c>
      <c r="S797" s="3" t="s">
        <v>1699</v>
      </c>
      <c r="T797" s="7" t="n">
        <f aca="false">ROUND(MIN(IF(OR(O797=TRUE(),O797="TRUE",O797="Yes"),59,100),(I797*Rubric!$C$2+J797*Rubric!$C$3+K797*Rubric!$C$4+L797*Rubric!$C$5+M797*Rubric!$C$6+N797*Rubric!$C$7)/5),1)</f>
        <v>82</v>
      </c>
      <c r="U797" s="8" t="str">
        <f aca="false">LOOKUP(T797,Bands!$A$2:$A$6,Bands!$B$2:$B$6)</f>
        <v>Solid Performance</v>
      </c>
      <c r="V797" s="8" t="n">
        <f aca="false">IF(Q797="","",ROUND((Q797-B797)*24,1))</f>
        <v>0</v>
      </c>
    </row>
    <row r="798" customFormat="false" ht="15" hidden="false" customHeight="false" outlineLevel="0" collapsed="false">
      <c r="A798" s="3" t="s">
        <v>1730</v>
      </c>
      <c r="B798" s="5" t="n">
        <v>46205.4076388889</v>
      </c>
      <c r="C798" s="3" t="s">
        <v>30</v>
      </c>
      <c r="D798" s="3" t="s">
        <v>31</v>
      </c>
      <c r="E798" s="3" t="s">
        <v>32</v>
      </c>
      <c r="F798" s="3" t="s">
        <v>33</v>
      </c>
      <c r="G798" s="3" t="s">
        <v>42</v>
      </c>
      <c r="H798" s="3" t="s">
        <v>1731</v>
      </c>
      <c r="I798" s="3" t="n">
        <v>5</v>
      </c>
      <c r="J798" s="3" t="n">
        <v>3</v>
      </c>
      <c r="K798" s="3" t="n">
        <v>3</v>
      </c>
      <c r="L798" s="3" t="n">
        <v>4</v>
      </c>
      <c r="M798" s="3" t="n">
        <v>3</v>
      </c>
      <c r="N798" s="3" t="n">
        <v>3</v>
      </c>
      <c r="O798" s="6" t="b">
        <f aca="false">FALSE()</f>
        <v>0</v>
      </c>
      <c r="P798" s="3"/>
      <c r="Q798" s="5" t="n">
        <v>46205.4090277778</v>
      </c>
      <c r="R798" s="5" t="n">
        <v>46205.6111111111</v>
      </c>
      <c r="S798" s="3" t="s">
        <v>1699</v>
      </c>
      <c r="T798" s="7" t="n">
        <f aca="false">ROUND(MIN(IF(OR(O798=TRUE(),O798="TRUE",O798="Yes"),59,100),(I798*Rubric!$C$2+J798*Rubric!$C$3+K798*Rubric!$C$4+L798*Rubric!$C$5+M798*Rubric!$C$6+N798*Rubric!$C$7)/5),1)</f>
        <v>69</v>
      </c>
      <c r="U798" s="8" t="str">
        <f aca="false">LOOKUP(T798,Bands!$A$2:$A$6,Bands!$B$2:$B$6)</f>
        <v>Needs Improvement</v>
      </c>
      <c r="V798" s="8" t="n">
        <f aca="false">IF(Q798="","",ROUND((Q798-B798)*24,1))</f>
        <v>0</v>
      </c>
    </row>
    <row r="799" customFormat="false" ht="15" hidden="false" customHeight="false" outlineLevel="0" collapsed="false">
      <c r="A799" s="3" t="s">
        <v>1732</v>
      </c>
      <c r="B799" s="5" t="n">
        <v>46205.4402777778</v>
      </c>
      <c r="C799" s="3" t="s">
        <v>30</v>
      </c>
      <c r="D799" s="3" t="s">
        <v>212</v>
      </c>
      <c r="E799" s="3" t="s">
        <v>213</v>
      </c>
      <c r="F799" s="3" t="s">
        <v>33</v>
      </c>
      <c r="G799" s="3" t="s">
        <v>54</v>
      </c>
      <c r="H799" s="3" t="s">
        <v>1733</v>
      </c>
      <c r="I799" s="3" t="n">
        <v>3</v>
      </c>
      <c r="J799" s="3" t="n">
        <v>4</v>
      </c>
      <c r="K799" s="3" t="n">
        <v>2</v>
      </c>
      <c r="L799" s="3" t="n">
        <v>4</v>
      </c>
      <c r="M799" s="3" t="n">
        <v>4</v>
      </c>
      <c r="N799" s="3" t="n">
        <v>4</v>
      </c>
      <c r="O799" s="6" t="b">
        <f aca="false">FALSE()</f>
        <v>0</v>
      </c>
      <c r="P799" s="3" t="s">
        <v>49</v>
      </c>
      <c r="Q799" s="5" t="n">
        <v>46205.4409722222</v>
      </c>
      <c r="R799" s="5" t="n">
        <v>46205.5979166667</v>
      </c>
      <c r="S799" s="3" t="s">
        <v>1699</v>
      </c>
      <c r="T799" s="7" t="n">
        <f aca="false">ROUND(MIN(IF(OR(O799=TRUE(),O799="TRUE",O799="Yes"),59,100),(I799*Rubric!$C$2+J799*Rubric!$C$3+K799*Rubric!$C$4+L799*Rubric!$C$5+M799*Rubric!$C$6+N799*Rubric!$C$7)/5),1)</f>
        <v>69</v>
      </c>
      <c r="U799" s="8" t="str">
        <f aca="false">LOOKUP(T799,Bands!$A$2:$A$6,Bands!$B$2:$B$6)</f>
        <v>Needs Improvement</v>
      </c>
      <c r="V799" s="8" t="n">
        <f aca="false">IF(Q799="","",ROUND((Q799-B799)*24,1))</f>
        <v>0</v>
      </c>
    </row>
    <row r="800" customFormat="false" ht="15" hidden="false" customHeight="false" outlineLevel="0" collapsed="false">
      <c r="A800" s="3" t="s">
        <v>1734</v>
      </c>
      <c r="B800" s="5" t="n">
        <v>46205.4333333333</v>
      </c>
      <c r="C800" s="3" t="s">
        <v>68</v>
      </c>
      <c r="D800" s="3" t="s">
        <v>161</v>
      </c>
      <c r="E800" s="3" t="s">
        <v>162</v>
      </c>
      <c r="F800" s="3" t="s">
        <v>33</v>
      </c>
      <c r="G800" s="3" t="s">
        <v>54</v>
      </c>
      <c r="H800" s="3" t="s">
        <v>1735</v>
      </c>
      <c r="I800" s="3" t="n">
        <v>5</v>
      </c>
      <c r="J800" s="3" t="n">
        <v>3</v>
      </c>
      <c r="K800" s="3" t="n">
        <v>4</v>
      </c>
      <c r="L800" s="3" t="n">
        <v>4</v>
      </c>
      <c r="M800" s="3" t="n">
        <v>4</v>
      </c>
      <c r="N800" s="3" t="n">
        <v>4</v>
      </c>
      <c r="O800" s="6" t="b">
        <f aca="false">FALSE()</f>
        <v>0</v>
      </c>
      <c r="P800" s="3"/>
      <c r="Q800" s="5" t="n">
        <v>46205.4354166667</v>
      </c>
      <c r="R800" s="5" t="n">
        <v>46205.4395833333</v>
      </c>
      <c r="S800" s="3" t="s">
        <v>1699</v>
      </c>
      <c r="T800" s="7" t="n">
        <f aca="false">ROUND(MIN(IF(OR(O800=TRUE(),O800="TRUE",O800="Yes"),59,100),(I800*Rubric!$C$2+J800*Rubric!$C$3+K800*Rubric!$C$4+L800*Rubric!$C$5+M800*Rubric!$C$6+N800*Rubric!$C$7)/5),1)</f>
        <v>78</v>
      </c>
      <c r="U800" s="8" t="str">
        <f aca="false">LOOKUP(T800,Bands!$A$2:$A$6,Bands!$B$2:$B$6)</f>
        <v>Meets Expectations</v>
      </c>
      <c r="V800" s="8" t="n">
        <f aca="false">IF(Q800="","",ROUND((Q800-B800)*24,1))</f>
        <v>0.1</v>
      </c>
    </row>
    <row r="801" customFormat="false" ht="15" hidden="false" customHeight="false" outlineLevel="0" collapsed="false">
      <c r="A801" s="3" t="s">
        <v>1736</v>
      </c>
      <c r="B801" s="5" t="n">
        <v>46205.6625</v>
      </c>
      <c r="C801" s="3" t="s">
        <v>30</v>
      </c>
      <c r="D801" s="3" t="s">
        <v>145</v>
      </c>
      <c r="E801" s="3" t="s">
        <v>146</v>
      </c>
      <c r="F801" s="3" t="s">
        <v>33</v>
      </c>
      <c r="G801" s="3" t="s">
        <v>54</v>
      </c>
      <c r="H801" s="3" t="s">
        <v>1737</v>
      </c>
      <c r="I801" s="3" t="n">
        <v>4</v>
      </c>
      <c r="J801" s="3" t="n">
        <v>3</v>
      </c>
      <c r="K801" s="3" t="n">
        <v>3</v>
      </c>
      <c r="L801" s="3" t="n">
        <v>4</v>
      </c>
      <c r="M801" s="3" t="n">
        <v>4</v>
      </c>
      <c r="N801" s="3" t="n">
        <v>4</v>
      </c>
      <c r="O801" s="6" t="b">
        <f aca="false">FALSE()</f>
        <v>0</v>
      </c>
      <c r="P801" s="3"/>
      <c r="Q801" s="5" t="n">
        <v>46205.6645833333</v>
      </c>
      <c r="R801" s="5" t="n">
        <v>46205.8104166667</v>
      </c>
      <c r="S801" s="3" t="s">
        <v>1699</v>
      </c>
      <c r="T801" s="7" t="n">
        <f aca="false">ROUND(MIN(IF(OR(O801=TRUE(),O801="TRUE",O801="Yes"),59,100),(I801*Rubric!$C$2+J801*Rubric!$C$3+K801*Rubric!$C$4+L801*Rubric!$C$5+M801*Rubric!$C$6+N801*Rubric!$C$7)/5),1)</f>
        <v>71</v>
      </c>
      <c r="U801" s="8" t="str">
        <f aca="false">LOOKUP(T801,Bands!$A$2:$A$6,Bands!$B$2:$B$6)</f>
        <v>Meets Expectations</v>
      </c>
      <c r="V801" s="8" t="n">
        <f aca="false">IF(Q801="","",ROUND((Q801-B801)*24,1))</f>
        <v>0</v>
      </c>
    </row>
    <row r="802" customFormat="false" ht="15" hidden="false" customHeight="false" outlineLevel="0" collapsed="false">
      <c r="A802" s="3" t="s">
        <v>1738</v>
      </c>
      <c r="B802" s="5" t="n">
        <v>46205.6131944444</v>
      </c>
      <c r="C802" s="3" t="s">
        <v>68</v>
      </c>
      <c r="D802" s="3" t="s">
        <v>293</v>
      </c>
      <c r="E802" s="3" t="s">
        <v>294</v>
      </c>
      <c r="F802" s="3" t="s">
        <v>65</v>
      </c>
      <c r="G802" s="3" t="s">
        <v>54</v>
      </c>
      <c r="H802" s="3" t="s">
        <v>1739</v>
      </c>
      <c r="I802" s="3" t="n">
        <v>5</v>
      </c>
      <c r="J802" s="3" t="n">
        <v>5</v>
      </c>
      <c r="K802" s="3" t="n">
        <v>5</v>
      </c>
      <c r="L802" s="3" t="n">
        <v>3</v>
      </c>
      <c r="M802" s="3" t="n">
        <v>5</v>
      </c>
      <c r="N802" s="3" t="n">
        <v>5</v>
      </c>
      <c r="O802" s="6" t="b">
        <f aca="false">FALSE()</f>
        <v>0</v>
      </c>
      <c r="P802" s="3"/>
      <c r="Q802" s="5" t="n">
        <v>46205.6152777778</v>
      </c>
      <c r="R802" s="5" t="n">
        <v>46205.98125</v>
      </c>
      <c r="S802" s="3" t="s">
        <v>1699</v>
      </c>
      <c r="T802" s="7" t="n">
        <f aca="false">ROUND(MIN(IF(OR(O802=TRUE(),O802="TRUE",O802="Yes"),59,100),(I802*Rubric!$C$2+J802*Rubric!$C$3+K802*Rubric!$C$4+L802*Rubric!$C$5+M802*Rubric!$C$6+N802*Rubric!$C$7)/5),1)</f>
        <v>94</v>
      </c>
      <c r="U802" s="8" t="str">
        <f aca="false">LOOKUP(T802,Bands!$A$2:$A$6,Bands!$B$2:$B$6)</f>
        <v>Outstanding</v>
      </c>
      <c r="V802" s="8" t="n">
        <f aca="false">IF(Q802="","",ROUND((Q802-B802)*24,1))</f>
        <v>0.1</v>
      </c>
    </row>
    <row r="803" customFormat="false" ht="15" hidden="false" customHeight="false" outlineLevel="0" collapsed="false">
      <c r="A803" s="3" t="s">
        <v>1740</v>
      </c>
      <c r="B803" s="5" t="n">
        <v>46205.5388888889</v>
      </c>
      <c r="C803" s="3" t="s">
        <v>39</v>
      </c>
      <c r="D803" s="3" t="s">
        <v>259</v>
      </c>
      <c r="E803" s="3" t="s">
        <v>260</v>
      </c>
      <c r="F803" s="3" t="s">
        <v>33</v>
      </c>
      <c r="G803" s="3" t="s">
        <v>54</v>
      </c>
      <c r="H803" s="3" t="s">
        <v>1741</v>
      </c>
      <c r="I803" s="3" t="n">
        <v>5</v>
      </c>
      <c r="J803" s="3" t="n">
        <v>5</v>
      </c>
      <c r="K803" s="3" t="n">
        <v>3</v>
      </c>
      <c r="L803" s="3" t="n">
        <v>5</v>
      </c>
      <c r="M803" s="3" t="n">
        <v>3</v>
      </c>
      <c r="N803" s="3" t="n">
        <v>4</v>
      </c>
      <c r="O803" s="6" t="b">
        <f aca="false">FALSE()</f>
        <v>0</v>
      </c>
      <c r="P803" s="3"/>
      <c r="Q803" s="5" t="n">
        <v>46205.5409722222</v>
      </c>
      <c r="R803" s="5" t="n">
        <v>46205.8111111111</v>
      </c>
      <c r="S803" s="3" t="s">
        <v>1699</v>
      </c>
      <c r="T803" s="7" t="n">
        <f aca="false">ROUND(MIN(IF(OR(O803=TRUE(),O803="TRUE",O803="Yes"),59,100),(I803*Rubric!$C$2+J803*Rubric!$C$3+K803*Rubric!$C$4+L803*Rubric!$C$5+M803*Rubric!$C$6+N803*Rubric!$C$7)/5),1)</f>
        <v>85</v>
      </c>
      <c r="U803" s="8" t="str">
        <f aca="false">LOOKUP(T803,Bands!$A$2:$A$6,Bands!$B$2:$B$6)</f>
        <v>Solid Performance</v>
      </c>
      <c r="V803" s="8" t="n">
        <f aca="false">IF(Q803="","",ROUND((Q803-B803)*24,1))</f>
        <v>0</v>
      </c>
    </row>
    <row r="804" customFormat="false" ht="15" hidden="false" customHeight="false" outlineLevel="0" collapsed="false">
      <c r="A804" s="3" t="s">
        <v>1742</v>
      </c>
      <c r="B804" s="5" t="n">
        <v>46205.5506944444</v>
      </c>
      <c r="C804" s="3" t="s">
        <v>30</v>
      </c>
      <c r="D804" s="3" t="s">
        <v>222</v>
      </c>
      <c r="E804" s="3" t="s">
        <v>223</v>
      </c>
      <c r="F804" s="3" t="s">
        <v>53</v>
      </c>
      <c r="G804" s="3" t="s">
        <v>42</v>
      </c>
      <c r="H804" s="3" t="s">
        <v>1743</v>
      </c>
      <c r="I804" s="3" t="n">
        <v>4</v>
      </c>
      <c r="J804" s="3" t="n">
        <v>5</v>
      </c>
      <c r="K804" s="3" t="n">
        <v>4</v>
      </c>
      <c r="L804" s="3" t="n">
        <v>4</v>
      </c>
      <c r="M804" s="3" t="n">
        <v>5</v>
      </c>
      <c r="N804" s="3" t="n">
        <v>3</v>
      </c>
      <c r="O804" s="6" t="b">
        <f aca="false">FALSE()</f>
        <v>0</v>
      </c>
      <c r="P804" s="3"/>
      <c r="Q804" s="5" t="n">
        <v>46205.5513888889</v>
      </c>
      <c r="R804" s="5" t="n">
        <v>46205.6201388889</v>
      </c>
      <c r="S804" s="3" t="s">
        <v>1699</v>
      </c>
      <c r="T804" s="7" t="n">
        <f aca="false">ROUND(MIN(IF(OR(O804=TRUE(),O804="TRUE",O804="Yes"),59,100),(I804*Rubric!$C$2+J804*Rubric!$C$3+K804*Rubric!$C$4+L804*Rubric!$C$5+M804*Rubric!$C$6+N804*Rubric!$C$7)/5),1)</f>
        <v>84</v>
      </c>
      <c r="U804" s="8" t="str">
        <f aca="false">LOOKUP(T804,Bands!$A$2:$A$6,Bands!$B$2:$B$6)</f>
        <v>Solid Performance</v>
      </c>
      <c r="V804" s="8" t="n">
        <f aca="false">IF(Q804="","",ROUND((Q804-B804)*24,1))</f>
        <v>0</v>
      </c>
    </row>
    <row r="805" customFormat="false" ht="15" hidden="false" customHeight="false" outlineLevel="0" collapsed="false">
      <c r="A805" s="3" t="s">
        <v>1744</v>
      </c>
      <c r="B805" s="5" t="n">
        <v>46205.45625</v>
      </c>
      <c r="C805" s="3" t="s">
        <v>30</v>
      </c>
      <c r="D805" s="3" t="s">
        <v>151</v>
      </c>
      <c r="E805" s="3" t="s">
        <v>152</v>
      </c>
      <c r="F805" s="3" t="s">
        <v>33</v>
      </c>
      <c r="G805" s="3" t="s">
        <v>54</v>
      </c>
      <c r="H805" s="3" t="s">
        <v>1745</v>
      </c>
      <c r="I805" s="3" t="n">
        <v>4</v>
      </c>
      <c r="J805" s="3" t="n">
        <v>2</v>
      </c>
      <c r="K805" s="3" t="n">
        <v>5</v>
      </c>
      <c r="L805" s="3" t="n">
        <v>5</v>
      </c>
      <c r="M805" s="3" t="n">
        <v>4</v>
      </c>
      <c r="N805" s="3" t="n">
        <v>4</v>
      </c>
      <c r="O805" s="6" t="b">
        <f aca="false">FALSE()</f>
        <v>0</v>
      </c>
      <c r="P805" s="3" t="s">
        <v>56</v>
      </c>
      <c r="Q805" s="5" t="n">
        <v>46205.4583333333</v>
      </c>
      <c r="R805" s="5" t="n">
        <v>46205.49375</v>
      </c>
      <c r="S805" s="3" t="s">
        <v>1699</v>
      </c>
      <c r="T805" s="7" t="n">
        <f aca="false">ROUND(MIN(IF(OR(O805=TRUE(),O805="TRUE",O805="Yes"),59,100),(I805*Rubric!$C$2+J805*Rubric!$C$3+K805*Rubric!$C$4+L805*Rubric!$C$5+M805*Rubric!$C$6+N805*Rubric!$C$7)/5),1)</f>
        <v>77</v>
      </c>
      <c r="U805" s="8" t="str">
        <f aca="false">LOOKUP(T805,Bands!$A$2:$A$6,Bands!$B$2:$B$6)</f>
        <v>Meets Expectations</v>
      </c>
      <c r="V805" s="8" t="n">
        <f aca="false">IF(Q805="","",ROUND((Q805-B805)*24,1))</f>
        <v>0</v>
      </c>
    </row>
    <row r="806" customFormat="false" ht="15" hidden="false" customHeight="false" outlineLevel="0" collapsed="false">
      <c r="A806" s="3" t="s">
        <v>1746</v>
      </c>
      <c r="B806" s="5" t="n">
        <v>46206.5201388889</v>
      </c>
      <c r="C806" s="3" t="s">
        <v>68</v>
      </c>
      <c r="D806" s="3" t="s">
        <v>259</v>
      </c>
      <c r="E806" s="3" t="s">
        <v>260</v>
      </c>
      <c r="F806" s="3" t="s">
        <v>33</v>
      </c>
      <c r="G806" s="3" t="s">
        <v>42</v>
      </c>
      <c r="H806" s="3" t="s">
        <v>1747</v>
      </c>
      <c r="I806" s="3" t="n">
        <v>5</v>
      </c>
      <c r="J806" s="3" t="n">
        <v>5</v>
      </c>
      <c r="K806" s="3" t="n">
        <v>3</v>
      </c>
      <c r="L806" s="3" t="n">
        <v>5</v>
      </c>
      <c r="M806" s="3" t="n">
        <v>5</v>
      </c>
      <c r="N806" s="3" t="n">
        <v>5</v>
      </c>
      <c r="O806" s="6" t="b">
        <f aca="false">FALSE()</f>
        <v>0</v>
      </c>
      <c r="P806" s="3"/>
      <c r="Q806" s="5" t="n">
        <v>46206.5222222222</v>
      </c>
      <c r="R806" s="5" t="n">
        <v>46206.7458333333</v>
      </c>
      <c r="S806" s="3" t="s">
        <v>1699</v>
      </c>
      <c r="T806" s="7" t="n">
        <f aca="false">ROUND(MIN(IF(OR(O806=TRUE(),O806="TRUE",O806="Yes"),59,100),(I806*Rubric!$C$2+J806*Rubric!$C$3+K806*Rubric!$C$4+L806*Rubric!$C$5+M806*Rubric!$C$6+N806*Rubric!$C$7)/5),1)</f>
        <v>92</v>
      </c>
      <c r="U806" s="8" t="str">
        <f aca="false">LOOKUP(T806,Bands!$A$2:$A$6,Bands!$B$2:$B$6)</f>
        <v>Outstanding</v>
      </c>
      <c r="V806" s="8" t="n">
        <f aca="false">IF(Q806="","",ROUND((Q806-B806)*24,1))</f>
        <v>0</v>
      </c>
    </row>
    <row r="807" customFormat="false" ht="15" hidden="false" customHeight="false" outlineLevel="0" collapsed="false">
      <c r="A807" s="3" t="s">
        <v>1748</v>
      </c>
      <c r="B807" s="5" t="n">
        <v>46206.4590277778</v>
      </c>
      <c r="C807" s="3" t="s">
        <v>39</v>
      </c>
      <c r="D807" s="3" t="s">
        <v>85</v>
      </c>
      <c r="E807" s="3" t="s">
        <v>86</v>
      </c>
      <c r="F807" s="3" t="s">
        <v>33</v>
      </c>
      <c r="G807" s="3" t="s">
        <v>54</v>
      </c>
      <c r="H807" s="3" t="s">
        <v>1749</v>
      </c>
      <c r="I807" s="3" t="n">
        <v>3</v>
      </c>
      <c r="J807" s="3" t="n">
        <v>5</v>
      </c>
      <c r="K807" s="3" t="n">
        <v>5</v>
      </c>
      <c r="L807" s="3" t="n">
        <v>4</v>
      </c>
      <c r="M807" s="3" t="n">
        <v>5</v>
      </c>
      <c r="N807" s="3" t="n">
        <v>5</v>
      </c>
      <c r="O807" s="6" t="b">
        <f aca="false">FALSE()</f>
        <v>0</v>
      </c>
      <c r="P807" s="3"/>
      <c r="Q807" s="5" t="n">
        <v>46206.4611111111</v>
      </c>
      <c r="R807" s="5" t="n">
        <v>46206.5388888889</v>
      </c>
      <c r="S807" s="3" t="s">
        <v>1699</v>
      </c>
      <c r="T807" s="7" t="n">
        <f aca="false">ROUND(MIN(IF(OR(O807=TRUE(),O807="TRUE",O807="Yes"),59,100),(I807*Rubric!$C$2+J807*Rubric!$C$3+K807*Rubric!$C$4+L807*Rubric!$C$5+M807*Rubric!$C$6+N807*Rubric!$C$7)/5),1)</f>
        <v>91</v>
      </c>
      <c r="U807" s="8" t="str">
        <f aca="false">LOOKUP(T807,Bands!$A$2:$A$6,Bands!$B$2:$B$6)</f>
        <v>Outstanding</v>
      </c>
      <c r="V807" s="8" t="n">
        <f aca="false">IF(Q807="","",ROUND((Q807-B807)*24,1))</f>
        <v>0</v>
      </c>
    </row>
    <row r="808" customFormat="false" ht="15" hidden="false" customHeight="false" outlineLevel="0" collapsed="false">
      <c r="A808" s="3" t="s">
        <v>1750</v>
      </c>
      <c r="B808" s="5" t="n">
        <v>46206.6638888889</v>
      </c>
      <c r="C808" s="3" t="s">
        <v>39</v>
      </c>
      <c r="D808" s="3" t="s">
        <v>202</v>
      </c>
      <c r="E808" s="3" t="s">
        <v>203</v>
      </c>
      <c r="F808" s="3" t="s">
        <v>53</v>
      </c>
      <c r="G808" s="3" t="s">
        <v>54</v>
      </c>
      <c r="H808" s="3" t="s">
        <v>1751</v>
      </c>
      <c r="I808" s="3" t="n">
        <v>4</v>
      </c>
      <c r="J808" s="3" t="n">
        <v>3</v>
      </c>
      <c r="K808" s="3" t="n">
        <v>3</v>
      </c>
      <c r="L808" s="3" t="n">
        <v>2</v>
      </c>
      <c r="M808" s="3" t="n">
        <v>5</v>
      </c>
      <c r="N808" s="3" t="n">
        <v>4</v>
      </c>
      <c r="O808" s="6" t="b">
        <f aca="false">FALSE()</f>
        <v>0</v>
      </c>
      <c r="P808" s="3" t="s">
        <v>44</v>
      </c>
      <c r="Q808" s="5" t="n">
        <v>46206.6659722222</v>
      </c>
      <c r="R808" s="5" t="n">
        <v>46206.7986111111</v>
      </c>
      <c r="S808" s="3" t="s">
        <v>1699</v>
      </c>
      <c r="T808" s="7" t="n">
        <f aca="false">ROUND(MIN(IF(OR(O808=TRUE(),O808="TRUE",O808="Yes"),59,100),(I808*Rubric!$C$2+J808*Rubric!$C$3+K808*Rubric!$C$4+L808*Rubric!$C$5+M808*Rubric!$C$6+N808*Rubric!$C$7)/5),1)</f>
        <v>67</v>
      </c>
      <c r="U808" s="8" t="str">
        <f aca="false">LOOKUP(T808,Bands!$A$2:$A$6,Bands!$B$2:$B$6)</f>
        <v>Needs Improvement</v>
      </c>
      <c r="V808" s="8" t="n">
        <f aca="false">IF(Q808="","",ROUND((Q808-B808)*24,1))</f>
        <v>0</v>
      </c>
    </row>
    <row r="809" customFormat="false" ht="15" hidden="false" customHeight="false" outlineLevel="0" collapsed="false">
      <c r="A809" s="3" t="s">
        <v>1752</v>
      </c>
      <c r="B809" s="5" t="n">
        <v>46206.50625</v>
      </c>
      <c r="C809" s="3" t="s">
        <v>68</v>
      </c>
      <c r="D809" s="3" t="s">
        <v>151</v>
      </c>
      <c r="E809" s="3" t="s">
        <v>152</v>
      </c>
      <c r="F809" s="3" t="s">
        <v>33</v>
      </c>
      <c r="G809" s="3" t="s">
        <v>42</v>
      </c>
      <c r="H809" s="3" t="s">
        <v>1753</v>
      </c>
      <c r="I809" s="3" t="n">
        <v>5</v>
      </c>
      <c r="J809" s="3" t="n">
        <v>4</v>
      </c>
      <c r="K809" s="3" t="n">
        <v>4</v>
      </c>
      <c r="L809" s="3" t="n">
        <v>4</v>
      </c>
      <c r="M809" s="3" t="n">
        <v>4</v>
      </c>
      <c r="N809" s="3" t="n">
        <v>4</v>
      </c>
      <c r="O809" s="6" t="b">
        <f aca="false">FALSE()</f>
        <v>0</v>
      </c>
      <c r="P809" s="3"/>
      <c r="Q809" s="5" t="n">
        <v>46206.5076388889</v>
      </c>
      <c r="R809" s="5" t="n">
        <v>46206.8180555556</v>
      </c>
      <c r="S809" s="3" t="s">
        <v>1699</v>
      </c>
      <c r="T809" s="7" t="n">
        <f aca="false">ROUND(MIN(IF(OR(O809=TRUE(),O809="TRUE",O809="Yes"),59,100),(I809*Rubric!$C$2+J809*Rubric!$C$3+K809*Rubric!$C$4+L809*Rubric!$C$5+M809*Rubric!$C$6+N809*Rubric!$C$7)/5),1)</f>
        <v>83</v>
      </c>
      <c r="U809" s="8" t="str">
        <f aca="false">LOOKUP(T809,Bands!$A$2:$A$6,Bands!$B$2:$B$6)</f>
        <v>Solid Performance</v>
      </c>
      <c r="V809" s="8" t="n">
        <f aca="false">IF(Q809="","",ROUND((Q809-B809)*24,1))</f>
        <v>0</v>
      </c>
    </row>
    <row r="810" customFormat="false" ht="15" hidden="false" customHeight="false" outlineLevel="0" collapsed="false">
      <c r="A810" s="3" t="s">
        <v>1754</v>
      </c>
      <c r="B810" s="5" t="n">
        <v>46206.5680555556</v>
      </c>
      <c r="C810" s="3" t="s">
        <v>68</v>
      </c>
      <c r="D810" s="3" t="s">
        <v>69</v>
      </c>
      <c r="E810" s="3" t="s">
        <v>70</v>
      </c>
      <c r="F810" s="3" t="s">
        <v>65</v>
      </c>
      <c r="G810" s="3" t="s">
        <v>42</v>
      </c>
      <c r="H810" s="3" t="s">
        <v>1755</v>
      </c>
      <c r="I810" s="3" t="n">
        <v>4</v>
      </c>
      <c r="J810" s="3" t="n">
        <v>5</v>
      </c>
      <c r="K810" s="3" t="n">
        <v>4</v>
      </c>
      <c r="L810" s="3" t="n">
        <v>4</v>
      </c>
      <c r="M810" s="3" t="n">
        <v>5</v>
      </c>
      <c r="N810" s="3" t="n">
        <v>4</v>
      </c>
      <c r="O810" s="6" t="b">
        <f aca="false">FALSE()</f>
        <v>0</v>
      </c>
      <c r="P810" s="3"/>
      <c r="Q810" s="5" t="n">
        <v>46206.5701388889</v>
      </c>
      <c r="R810" s="5" t="n">
        <v>46206.6555555556</v>
      </c>
      <c r="S810" s="3" t="s">
        <v>1699</v>
      </c>
      <c r="T810" s="7" t="n">
        <f aca="false">ROUND(MIN(IF(OR(O810=TRUE(),O810="TRUE",O810="Yes"),59,100),(I810*Rubric!$C$2+J810*Rubric!$C$3+K810*Rubric!$C$4+L810*Rubric!$C$5+M810*Rubric!$C$6+N810*Rubric!$C$7)/5),1)</f>
        <v>87</v>
      </c>
      <c r="U810" s="8" t="str">
        <f aca="false">LOOKUP(T810,Bands!$A$2:$A$6,Bands!$B$2:$B$6)</f>
        <v>Solid Performance</v>
      </c>
      <c r="V810" s="8" t="n">
        <f aca="false">IF(Q810="","",ROUND((Q810-B810)*24,1))</f>
        <v>0</v>
      </c>
    </row>
    <row r="811" customFormat="false" ht="15" hidden="false" customHeight="false" outlineLevel="0" collapsed="false">
      <c r="A811" s="3" t="s">
        <v>1756</v>
      </c>
      <c r="B811" s="5" t="n">
        <v>46206.5222222222</v>
      </c>
      <c r="C811" s="3" t="s">
        <v>30</v>
      </c>
      <c r="D811" s="3" t="s">
        <v>119</v>
      </c>
      <c r="E811" s="3" t="s">
        <v>120</v>
      </c>
      <c r="F811" s="3" t="s">
        <v>33</v>
      </c>
      <c r="G811" s="3" t="s">
        <v>54</v>
      </c>
      <c r="H811" s="3" t="s">
        <v>1757</v>
      </c>
      <c r="I811" s="3" t="n">
        <v>5</v>
      </c>
      <c r="J811" s="3" t="n">
        <v>4</v>
      </c>
      <c r="K811" s="3" t="n">
        <v>3</v>
      </c>
      <c r="L811" s="3" t="n">
        <v>4</v>
      </c>
      <c r="M811" s="3" t="n">
        <v>4</v>
      </c>
      <c r="N811" s="3" t="n">
        <v>3</v>
      </c>
      <c r="O811" s="6" t="b">
        <f aca="false">FALSE()</f>
        <v>0</v>
      </c>
      <c r="P811" s="3"/>
      <c r="Q811" s="5" t="n">
        <v>46206.5236111111</v>
      </c>
      <c r="R811" s="5" t="n">
        <v>46206.9194444444</v>
      </c>
      <c r="S811" s="3" t="s">
        <v>1699</v>
      </c>
      <c r="T811" s="7" t="n">
        <f aca="false">ROUND(MIN(IF(OR(O811=TRUE(),O811="TRUE",O811="Yes"),59,100),(I811*Rubric!$C$2+J811*Rubric!$C$3+K811*Rubric!$C$4+L811*Rubric!$C$5+M811*Rubric!$C$6+N811*Rubric!$C$7)/5),1)</f>
        <v>76</v>
      </c>
      <c r="U811" s="8" t="str">
        <f aca="false">LOOKUP(T811,Bands!$A$2:$A$6,Bands!$B$2:$B$6)</f>
        <v>Meets Expectations</v>
      </c>
      <c r="V811" s="8" t="n">
        <f aca="false">IF(Q811="","",ROUND((Q811-B811)*24,1))</f>
        <v>0</v>
      </c>
    </row>
    <row r="812" customFormat="false" ht="15" hidden="false" customHeight="false" outlineLevel="0" collapsed="false">
      <c r="A812" s="3" t="s">
        <v>1758</v>
      </c>
      <c r="B812" s="5" t="n">
        <v>46206.5694444445</v>
      </c>
      <c r="C812" s="3" t="s">
        <v>68</v>
      </c>
      <c r="D812" s="3" t="s">
        <v>293</v>
      </c>
      <c r="E812" s="3" t="s">
        <v>294</v>
      </c>
      <c r="F812" s="3" t="s">
        <v>65</v>
      </c>
      <c r="G812" s="3" t="s">
        <v>54</v>
      </c>
      <c r="H812" s="3" t="s">
        <v>1759</v>
      </c>
      <c r="I812" s="3" t="n">
        <v>5</v>
      </c>
      <c r="J812" s="3" t="n">
        <v>5</v>
      </c>
      <c r="K812" s="3" t="n">
        <v>5</v>
      </c>
      <c r="L812" s="3" t="n">
        <v>3</v>
      </c>
      <c r="M812" s="3" t="n">
        <v>5</v>
      </c>
      <c r="N812" s="3" t="n">
        <v>5</v>
      </c>
      <c r="O812" s="6" t="b">
        <f aca="false">FALSE()</f>
        <v>0</v>
      </c>
      <c r="P812" s="3"/>
      <c r="Q812" s="5" t="n">
        <v>46206.5715277778</v>
      </c>
      <c r="R812" s="5" t="n">
        <v>46206.6027777778</v>
      </c>
      <c r="S812" s="3" t="s">
        <v>1699</v>
      </c>
      <c r="T812" s="7" t="n">
        <f aca="false">ROUND(MIN(IF(OR(O812=TRUE(),O812="TRUE",O812="Yes"),59,100),(I812*Rubric!$C$2+J812*Rubric!$C$3+K812*Rubric!$C$4+L812*Rubric!$C$5+M812*Rubric!$C$6+N812*Rubric!$C$7)/5),1)</f>
        <v>94</v>
      </c>
      <c r="U812" s="8" t="str">
        <f aca="false">LOOKUP(T812,Bands!$A$2:$A$6,Bands!$B$2:$B$6)</f>
        <v>Outstanding</v>
      </c>
      <c r="V812" s="8" t="n">
        <f aca="false">IF(Q812="","",ROUND((Q812-B812)*24,1))</f>
        <v>0</v>
      </c>
    </row>
    <row r="813" customFormat="false" ht="15" hidden="false" customHeight="false" outlineLevel="0" collapsed="false">
      <c r="A813" s="3" t="s">
        <v>1760</v>
      </c>
      <c r="B813" s="5" t="n">
        <v>46206.4881944444</v>
      </c>
      <c r="C813" s="3" t="s">
        <v>30</v>
      </c>
      <c r="D813" s="3" t="s">
        <v>125</v>
      </c>
      <c r="E813" s="3" t="s">
        <v>126</v>
      </c>
      <c r="F813" s="3" t="s">
        <v>53</v>
      </c>
      <c r="G813" s="3" t="s">
        <v>54</v>
      </c>
      <c r="H813" s="3" t="s">
        <v>1761</v>
      </c>
      <c r="I813" s="3" t="n">
        <v>5</v>
      </c>
      <c r="J813" s="3" t="n">
        <v>4</v>
      </c>
      <c r="K813" s="3" t="n">
        <v>4</v>
      </c>
      <c r="L813" s="3" t="n">
        <v>4</v>
      </c>
      <c r="M813" s="3" t="n">
        <v>4</v>
      </c>
      <c r="N813" s="3" t="n">
        <v>5</v>
      </c>
      <c r="O813" s="6" t="b">
        <f aca="false">FALSE()</f>
        <v>0</v>
      </c>
      <c r="P813" s="3"/>
      <c r="Q813" s="5" t="n">
        <v>46206.4902777778</v>
      </c>
      <c r="R813" s="5" t="n">
        <v>46206.5034722222</v>
      </c>
      <c r="S813" s="3" t="s">
        <v>1699</v>
      </c>
      <c r="T813" s="7" t="n">
        <f aca="false">ROUND(MIN(IF(OR(O813=TRUE(),O813="TRUE",O813="Yes"),59,100),(I813*Rubric!$C$2+J813*Rubric!$C$3+K813*Rubric!$C$4+L813*Rubric!$C$5+M813*Rubric!$C$6+N813*Rubric!$C$7)/5),1)</f>
        <v>86</v>
      </c>
      <c r="U813" s="8" t="str">
        <f aca="false">LOOKUP(T813,Bands!$A$2:$A$6,Bands!$B$2:$B$6)</f>
        <v>Solid Performance</v>
      </c>
      <c r="V813" s="8" t="n">
        <f aca="false">IF(Q813="","",ROUND((Q813-B813)*24,1))</f>
        <v>0.1</v>
      </c>
    </row>
    <row r="814" customFormat="false" ht="15" hidden="false" customHeight="false" outlineLevel="0" collapsed="false">
      <c r="A814" s="3" t="s">
        <v>1762</v>
      </c>
      <c r="B814" s="5" t="n">
        <v>46206.5263888889</v>
      </c>
      <c r="C814" s="3" t="s">
        <v>30</v>
      </c>
      <c r="D814" s="3" t="s">
        <v>111</v>
      </c>
      <c r="E814" s="3" t="s">
        <v>112</v>
      </c>
      <c r="F814" s="3" t="s">
        <v>33</v>
      </c>
      <c r="G814" s="3" t="s">
        <v>42</v>
      </c>
      <c r="H814" s="3" t="s">
        <v>1763</v>
      </c>
      <c r="I814" s="3" t="n">
        <v>3</v>
      </c>
      <c r="J814" s="3" t="n">
        <v>4</v>
      </c>
      <c r="K814" s="3" t="n">
        <v>3</v>
      </c>
      <c r="L814" s="3" t="n">
        <v>5</v>
      </c>
      <c r="M814" s="3" t="n">
        <v>3</v>
      </c>
      <c r="N814" s="3" t="n">
        <v>4</v>
      </c>
      <c r="O814" s="6" t="b">
        <f aca="false">FALSE()</f>
        <v>0</v>
      </c>
      <c r="P814" s="3"/>
      <c r="Q814" s="5" t="n">
        <v>46206.5277777778</v>
      </c>
      <c r="R814" s="5" t="n">
        <v>46206.7284722222</v>
      </c>
      <c r="S814" s="3" t="s">
        <v>1699</v>
      </c>
      <c r="T814" s="7" t="n">
        <f aca="false">ROUND(MIN(IF(OR(O814=TRUE(),O814="TRUE",O814="Yes"),59,100),(I814*Rubric!$C$2+J814*Rubric!$C$3+K814*Rubric!$C$4+L814*Rubric!$C$5+M814*Rubric!$C$6+N814*Rubric!$C$7)/5),1)</f>
        <v>74</v>
      </c>
      <c r="U814" s="8" t="str">
        <f aca="false">LOOKUP(T814,Bands!$A$2:$A$6,Bands!$B$2:$B$6)</f>
        <v>Meets Expectations</v>
      </c>
      <c r="V814" s="8" t="n">
        <f aca="false">IF(Q814="","",ROUND((Q814-B814)*24,1))</f>
        <v>0</v>
      </c>
    </row>
    <row r="815" customFormat="false" ht="15" hidden="false" customHeight="false" outlineLevel="0" collapsed="false">
      <c r="A815" s="3" t="s">
        <v>1764</v>
      </c>
      <c r="B815" s="5" t="n">
        <v>46206.5</v>
      </c>
      <c r="C815" s="3" t="s">
        <v>39</v>
      </c>
      <c r="D815" s="3" t="s">
        <v>167</v>
      </c>
      <c r="E815" s="3" t="s">
        <v>168</v>
      </c>
      <c r="F815" s="3" t="s">
        <v>33</v>
      </c>
      <c r="G815" s="3" t="s">
        <v>54</v>
      </c>
      <c r="H815" s="3" t="s">
        <v>1765</v>
      </c>
      <c r="I815" s="3" t="n">
        <v>4</v>
      </c>
      <c r="J815" s="3" t="n">
        <v>2</v>
      </c>
      <c r="K815" s="3" t="n">
        <v>4</v>
      </c>
      <c r="L815" s="3" t="n">
        <v>3</v>
      </c>
      <c r="M815" s="3" t="n">
        <v>3</v>
      </c>
      <c r="N815" s="3" t="n">
        <v>3</v>
      </c>
      <c r="O815" s="6" t="b">
        <f aca="false">FALSE()</f>
        <v>0</v>
      </c>
      <c r="P815" s="3" t="s">
        <v>56</v>
      </c>
      <c r="Q815" s="5" t="n">
        <v>46206.5006944445</v>
      </c>
      <c r="R815" s="5" t="n">
        <v>46206.5722222222</v>
      </c>
      <c r="S815" s="3" t="s">
        <v>1699</v>
      </c>
      <c r="T815" s="7" t="n">
        <f aca="false">ROUND(MIN(IF(OR(O815=TRUE(),O815="TRUE",O815="Yes"),59,100),(I815*Rubric!$C$2+J815*Rubric!$C$3+K815*Rubric!$C$4+L815*Rubric!$C$5+M815*Rubric!$C$6+N815*Rubric!$C$7)/5),1)</f>
        <v>62</v>
      </c>
      <c r="U815" s="8" t="str">
        <f aca="false">LOOKUP(T815,Bands!$A$2:$A$6,Bands!$B$2:$B$6)</f>
        <v>Needs Improvement</v>
      </c>
      <c r="V815" s="8" t="n">
        <f aca="false">IF(Q815="","",ROUND((Q815-B815)*24,1))</f>
        <v>0</v>
      </c>
    </row>
    <row r="816" customFormat="false" ht="15" hidden="false" customHeight="false" outlineLevel="0" collapsed="false">
      <c r="A816" s="3" t="s">
        <v>1766</v>
      </c>
      <c r="B816" s="5" t="n">
        <v>46206.5770833333</v>
      </c>
      <c r="C816" s="3" t="s">
        <v>30</v>
      </c>
      <c r="D816" s="3" t="s">
        <v>161</v>
      </c>
      <c r="E816" s="3" t="s">
        <v>162</v>
      </c>
      <c r="F816" s="3" t="s">
        <v>33</v>
      </c>
      <c r="G816" s="3" t="s">
        <v>54</v>
      </c>
      <c r="H816" s="3" t="s">
        <v>1767</v>
      </c>
      <c r="I816" s="3" t="n">
        <v>4</v>
      </c>
      <c r="J816" s="3" t="n">
        <v>5</v>
      </c>
      <c r="K816" s="3" t="n">
        <v>4</v>
      </c>
      <c r="L816" s="3" t="n">
        <v>4</v>
      </c>
      <c r="M816" s="3" t="n">
        <v>3</v>
      </c>
      <c r="N816" s="3" t="n">
        <v>4</v>
      </c>
      <c r="O816" s="6" t="b">
        <f aca="false">FALSE()</f>
        <v>0</v>
      </c>
      <c r="P816" s="3"/>
      <c r="Q816" s="5" t="n">
        <v>46206.5777777778</v>
      </c>
      <c r="R816" s="5" t="n">
        <v>46206.7145833333</v>
      </c>
      <c r="S816" s="3" t="s">
        <v>1699</v>
      </c>
      <c r="T816" s="7" t="n">
        <f aca="false">ROUND(MIN(IF(OR(O816=TRUE(),O816="TRUE",O816="Yes"),59,100),(I816*Rubric!$C$2+J816*Rubric!$C$3+K816*Rubric!$C$4+L816*Rubric!$C$5+M816*Rubric!$C$6+N816*Rubric!$C$7)/5),1)</f>
        <v>83</v>
      </c>
      <c r="U816" s="8" t="str">
        <f aca="false">LOOKUP(T816,Bands!$A$2:$A$6,Bands!$B$2:$B$6)</f>
        <v>Solid Performance</v>
      </c>
      <c r="V816" s="8" t="n">
        <f aca="false">IF(Q816="","",ROUND((Q816-B816)*24,1))</f>
        <v>0</v>
      </c>
    </row>
    <row r="817" customFormat="false" ht="15" hidden="false" customHeight="false" outlineLevel="0" collapsed="false">
      <c r="A817" s="3" t="s">
        <v>1768</v>
      </c>
      <c r="B817" s="5" t="n">
        <v>46206.6388888889</v>
      </c>
      <c r="C817" s="3" t="s">
        <v>39</v>
      </c>
      <c r="D817" s="3" t="s">
        <v>46</v>
      </c>
      <c r="E817" s="3" t="s">
        <v>47</v>
      </c>
      <c r="F817" s="3" t="s">
        <v>33</v>
      </c>
      <c r="G817" s="3" t="s">
        <v>54</v>
      </c>
      <c r="H817" s="3" t="s">
        <v>1769</v>
      </c>
      <c r="I817" s="3" t="n">
        <v>5</v>
      </c>
      <c r="J817" s="3" t="n">
        <v>4</v>
      </c>
      <c r="K817" s="3" t="n">
        <v>3</v>
      </c>
      <c r="L817" s="3" t="n">
        <v>4</v>
      </c>
      <c r="M817" s="3" t="n">
        <v>4</v>
      </c>
      <c r="N817" s="3" t="n">
        <v>4</v>
      </c>
      <c r="O817" s="6" t="b">
        <f aca="false">FALSE()</f>
        <v>0</v>
      </c>
      <c r="P817" s="3"/>
      <c r="Q817" s="5" t="n">
        <v>46206.6409722222</v>
      </c>
      <c r="R817" s="5" t="n">
        <v>46206.7972222222</v>
      </c>
      <c r="S817" s="3" t="s">
        <v>1699</v>
      </c>
      <c r="T817" s="7" t="n">
        <f aca="false">ROUND(MIN(IF(OR(O817=TRUE(),O817="TRUE",O817="Yes"),59,100),(I817*Rubric!$C$2+J817*Rubric!$C$3+K817*Rubric!$C$4+L817*Rubric!$C$5+M817*Rubric!$C$6+N817*Rubric!$C$7)/5),1)</f>
        <v>79</v>
      </c>
      <c r="U817" s="8" t="str">
        <f aca="false">LOOKUP(T817,Bands!$A$2:$A$6,Bands!$B$2:$B$6)</f>
        <v>Meets Expectations</v>
      </c>
      <c r="V817" s="8" t="n">
        <f aca="false">IF(Q817="","",ROUND((Q817-B817)*24,1))</f>
        <v>0</v>
      </c>
    </row>
    <row r="818" customFormat="false" ht="15" hidden="false" customHeight="false" outlineLevel="0" collapsed="false">
      <c r="A818" s="3" t="s">
        <v>1770</v>
      </c>
      <c r="B818" s="5" t="n">
        <v>46209.4465277778</v>
      </c>
      <c r="C818" s="3" t="s">
        <v>30</v>
      </c>
      <c r="D818" s="3" t="s">
        <v>73</v>
      </c>
      <c r="E818" s="3" t="s">
        <v>74</v>
      </c>
      <c r="F818" s="3" t="s">
        <v>33</v>
      </c>
      <c r="G818" s="3" t="s">
        <v>34</v>
      </c>
      <c r="H818" s="3" t="s">
        <v>1771</v>
      </c>
      <c r="I818" s="3" t="n">
        <v>5</v>
      </c>
      <c r="J818" s="3" t="n">
        <v>5</v>
      </c>
      <c r="K818" s="3" t="n">
        <v>5</v>
      </c>
      <c r="L818" s="3" t="n">
        <v>4</v>
      </c>
      <c r="M818" s="3" t="n">
        <v>5</v>
      </c>
      <c r="N818" s="3" t="n">
        <v>3</v>
      </c>
      <c r="O818" s="6" t="b">
        <f aca="false">FALSE()</f>
        <v>0</v>
      </c>
      <c r="P818" s="3"/>
      <c r="Q818" s="5" t="n">
        <v>46209.4472222222</v>
      </c>
      <c r="R818" s="5" t="n">
        <v>46209.4819444444</v>
      </c>
      <c r="S818" s="3" t="s">
        <v>1699</v>
      </c>
      <c r="T818" s="7" t="n">
        <f aca="false">ROUND(MIN(IF(OR(O818=TRUE(),O818="TRUE",O818="Yes"),59,100),(I818*Rubric!$C$2+J818*Rubric!$C$3+K818*Rubric!$C$4+L818*Rubric!$C$5+M818*Rubric!$C$6+N818*Rubric!$C$7)/5),1)</f>
        <v>91</v>
      </c>
      <c r="U818" s="8" t="str">
        <f aca="false">LOOKUP(T818,Bands!$A$2:$A$6,Bands!$B$2:$B$6)</f>
        <v>Outstanding</v>
      </c>
      <c r="V818" s="8" t="n">
        <f aca="false">IF(Q818="","",ROUND((Q818-B818)*24,1))</f>
        <v>0</v>
      </c>
    </row>
    <row r="819" customFormat="false" ht="15" hidden="false" customHeight="false" outlineLevel="0" collapsed="false">
      <c r="A819" s="3" t="s">
        <v>1772</v>
      </c>
      <c r="B819" s="5" t="n">
        <v>46209.6951388889</v>
      </c>
      <c r="C819" s="3" t="s">
        <v>68</v>
      </c>
      <c r="D819" s="3" t="s">
        <v>40</v>
      </c>
      <c r="E819" s="3" t="s">
        <v>41</v>
      </c>
      <c r="F819" s="3" t="s">
        <v>33</v>
      </c>
      <c r="G819" s="3" t="s">
        <v>42</v>
      </c>
      <c r="H819" s="3" t="s">
        <v>1773</v>
      </c>
      <c r="I819" s="3" t="n">
        <v>4</v>
      </c>
      <c r="J819" s="3" t="n">
        <v>4</v>
      </c>
      <c r="K819" s="3" t="n">
        <v>4</v>
      </c>
      <c r="L819" s="3" t="n">
        <v>3</v>
      </c>
      <c r="M819" s="3" t="n">
        <v>4</v>
      </c>
      <c r="N819" s="3" t="n">
        <v>5</v>
      </c>
      <c r="O819" s="6" t="b">
        <f aca="false">FALSE()</f>
        <v>0</v>
      </c>
      <c r="P819" s="3"/>
      <c r="Q819" s="5" t="n">
        <v>46209.6958333333</v>
      </c>
      <c r="R819" s="5" t="n">
        <v>46209.8472222222</v>
      </c>
      <c r="S819" s="3" t="s">
        <v>1699</v>
      </c>
      <c r="T819" s="7" t="n">
        <f aca="false">ROUND(MIN(IF(OR(O819=TRUE(),O819="TRUE",O819="Yes"),59,100),(I819*Rubric!$C$2+J819*Rubric!$C$3+K819*Rubric!$C$4+L819*Rubric!$C$5+M819*Rubric!$C$6+N819*Rubric!$C$7)/5),1)</f>
        <v>80</v>
      </c>
      <c r="U819" s="8" t="str">
        <f aca="false">LOOKUP(T819,Bands!$A$2:$A$6,Bands!$B$2:$B$6)</f>
        <v>Solid Performance</v>
      </c>
      <c r="V819" s="8" t="n">
        <f aca="false">IF(Q819="","",ROUND((Q819-B819)*24,1))</f>
        <v>0</v>
      </c>
    </row>
    <row r="820" customFormat="false" ht="15" hidden="false" customHeight="false" outlineLevel="0" collapsed="false">
      <c r="A820" s="3" t="s">
        <v>1774</v>
      </c>
      <c r="B820" s="5" t="n">
        <v>46209.6263888889</v>
      </c>
      <c r="C820" s="3" t="s">
        <v>30</v>
      </c>
      <c r="D820" s="3" t="s">
        <v>259</v>
      </c>
      <c r="E820" s="3" t="s">
        <v>260</v>
      </c>
      <c r="F820" s="3" t="s">
        <v>33</v>
      </c>
      <c r="G820" s="3" t="s">
        <v>42</v>
      </c>
      <c r="H820" s="3" t="s">
        <v>1775</v>
      </c>
      <c r="I820" s="3" t="n">
        <v>5</v>
      </c>
      <c r="J820" s="3" t="n">
        <v>5</v>
      </c>
      <c r="K820" s="3" t="n">
        <v>3</v>
      </c>
      <c r="L820" s="3" t="n">
        <v>5</v>
      </c>
      <c r="M820" s="3" t="n">
        <v>5</v>
      </c>
      <c r="N820" s="3" t="n">
        <v>5</v>
      </c>
      <c r="O820" s="6" t="b">
        <f aca="false">FALSE()</f>
        <v>0</v>
      </c>
      <c r="P820" s="3"/>
      <c r="Q820" s="5" t="n">
        <v>46209.6270833333</v>
      </c>
      <c r="R820" s="5" t="n">
        <v>46209.6333333333</v>
      </c>
      <c r="S820" s="3" t="s">
        <v>1699</v>
      </c>
      <c r="T820" s="7" t="n">
        <f aca="false">ROUND(MIN(IF(OR(O820=TRUE(),O820="TRUE",O820="Yes"),59,100),(I820*Rubric!$C$2+J820*Rubric!$C$3+K820*Rubric!$C$4+L820*Rubric!$C$5+M820*Rubric!$C$6+N820*Rubric!$C$7)/5),1)</f>
        <v>92</v>
      </c>
      <c r="U820" s="8" t="str">
        <f aca="false">LOOKUP(T820,Bands!$A$2:$A$6,Bands!$B$2:$B$6)</f>
        <v>Outstanding</v>
      </c>
      <c r="V820" s="8" t="n">
        <f aca="false">IF(Q820="","",ROUND((Q820-B820)*24,1))</f>
        <v>0</v>
      </c>
    </row>
    <row r="821" customFormat="false" ht="15" hidden="false" customHeight="false" outlineLevel="0" collapsed="false">
      <c r="A821" s="3" t="s">
        <v>1776</v>
      </c>
      <c r="B821" s="5" t="n">
        <v>46209.6986111111</v>
      </c>
      <c r="C821" s="3" t="s">
        <v>39</v>
      </c>
      <c r="D821" s="3" t="s">
        <v>222</v>
      </c>
      <c r="E821" s="3" t="s">
        <v>223</v>
      </c>
      <c r="F821" s="3" t="s">
        <v>53</v>
      </c>
      <c r="G821" s="3" t="s">
        <v>54</v>
      </c>
      <c r="H821" s="3" t="s">
        <v>1777</v>
      </c>
      <c r="I821" s="3" t="n">
        <v>5</v>
      </c>
      <c r="J821" s="3" t="n">
        <v>4</v>
      </c>
      <c r="K821" s="3" t="n">
        <v>4</v>
      </c>
      <c r="L821" s="3" t="n">
        <v>4</v>
      </c>
      <c r="M821" s="3" t="n">
        <v>5</v>
      </c>
      <c r="N821" s="3" t="n">
        <v>3</v>
      </c>
      <c r="O821" s="6" t="b">
        <f aca="false">FALSE()</f>
        <v>0</v>
      </c>
      <c r="P821" s="3"/>
      <c r="Q821" s="5" t="n">
        <v>46209.7006944444</v>
      </c>
      <c r="R821" s="5" t="n">
        <v>46209.7180555556</v>
      </c>
      <c r="S821" s="3" t="s">
        <v>1699</v>
      </c>
      <c r="T821" s="7" t="n">
        <f aca="false">ROUND(MIN(IF(OR(O821=TRUE(),O821="TRUE",O821="Yes"),59,100),(I821*Rubric!$C$2+J821*Rubric!$C$3+K821*Rubric!$C$4+L821*Rubric!$C$5+M821*Rubric!$C$6+N821*Rubric!$C$7)/5),1)</f>
        <v>82</v>
      </c>
      <c r="U821" s="8" t="str">
        <f aca="false">LOOKUP(T821,Bands!$A$2:$A$6,Bands!$B$2:$B$6)</f>
        <v>Solid Performance</v>
      </c>
      <c r="V821" s="8" t="n">
        <f aca="false">IF(Q821="","",ROUND((Q821-B821)*24,1))</f>
        <v>0</v>
      </c>
    </row>
    <row r="822" customFormat="false" ht="15" hidden="false" customHeight="false" outlineLevel="0" collapsed="false">
      <c r="A822" s="3" t="s">
        <v>1778</v>
      </c>
      <c r="B822" s="5" t="n">
        <v>46209.5333333333</v>
      </c>
      <c r="C822" s="3" t="s">
        <v>39</v>
      </c>
      <c r="D822" s="3" t="s">
        <v>100</v>
      </c>
      <c r="E822" s="3" t="s">
        <v>101</v>
      </c>
      <c r="F822" s="3" t="s">
        <v>33</v>
      </c>
      <c r="G822" s="3" t="s">
        <v>54</v>
      </c>
      <c r="H822" s="3" t="s">
        <v>1779</v>
      </c>
      <c r="I822" s="3" t="n">
        <v>5</v>
      </c>
      <c r="J822" s="3" t="n">
        <v>5</v>
      </c>
      <c r="K822" s="3" t="n">
        <v>3</v>
      </c>
      <c r="L822" s="3" t="n">
        <v>4</v>
      </c>
      <c r="M822" s="3" t="n">
        <v>3</v>
      </c>
      <c r="N822" s="3" t="n">
        <v>4</v>
      </c>
      <c r="O822" s="6" t="b">
        <f aca="false">FALSE()</f>
        <v>0</v>
      </c>
      <c r="P822" s="3"/>
      <c r="Q822" s="5" t="n">
        <v>46209.5354166667</v>
      </c>
      <c r="R822" s="5" t="n">
        <v>46209.5916666667</v>
      </c>
      <c r="S822" s="3" t="s">
        <v>1699</v>
      </c>
      <c r="T822" s="7" t="n">
        <f aca="false">ROUND(MIN(IF(OR(O822=TRUE(),O822="TRUE",O822="Yes"),59,100),(I822*Rubric!$C$2+J822*Rubric!$C$3+K822*Rubric!$C$4+L822*Rubric!$C$5+M822*Rubric!$C$6+N822*Rubric!$C$7)/5),1)</f>
        <v>82</v>
      </c>
      <c r="U822" s="8" t="str">
        <f aca="false">LOOKUP(T822,Bands!$A$2:$A$6,Bands!$B$2:$B$6)</f>
        <v>Solid Performance</v>
      </c>
      <c r="V822" s="8" t="n">
        <f aca="false">IF(Q822="","",ROUND((Q822-B822)*24,1))</f>
        <v>0.1</v>
      </c>
    </row>
    <row r="823" customFormat="false" ht="15" hidden="false" customHeight="false" outlineLevel="0" collapsed="false">
      <c r="A823" s="3" t="s">
        <v>1780</v>
      </c>
      <c r="B823" s="5" t="n">
        <v>46209.4326388889</v>
      </c>
      <c r="C823" s="3" t="s">
        <v>30</v>
      </c>
      <c r="D823" s="3" t="s">
        <v>137</v>
      </c>
      <c r="E823" s="3" t="s">
        <v>138</v>
      </c>
      <c r="F823" s="3" t="s">
        <v>65</v>
      </c>
      <c r="G823" s="3" t="s">
        <v>54</v>
      </c>
      <c r="H823" s="3" t="s">
        <v>1781</v>
      </c>
      <c r="I823" s="3" t="n">
        <v>4</v>
      </c>
      <c r="J823" s="3" t="n">
        <v>4</v>
      </c>
      <c r="K823" s="3" t="n">
        <v>4</v>
      </c>
      <c r="L823" s="3" t="n">
        <v>5</v>
      </c>
      <c r="M823" s="3" t="n">
        <v>5</v>
      </c>
      <c r="N823" s="3" t="n">
        <v>4</v>
      </c>
      <c r="O823" s="6" t="b">
        <f aca="false">FALSE()</f>
        <v>0</v>
      </c>
      <c r="P823" s="3"/>
      <c r="Q823" s="5" t="n">
        <v>46209.4347222222</v>
      </c>
      <c r="R823" s="5" t="n">
        <v>46209.6534722222</v>
      </c>
      <c r="S823" s="3" t="s">
        <v>1699</v>
      </c>
      <c r="T823" s="7" t="n">
        <f aca="false">ROUND(MIN(IF(OR(O823=TRUE(),O823="TRUE",O823="Yes"),59,100),(I823*Rubric!$C$2+J823*Rubric!$C$3+K823*Rubric!$C$4+L823*Rubric!$C$5+M823*Rubric!$C$6+N823*Rubric!$C$7)/5),1)</f>
        <v>85</v>
      </c>
      <c r="U823" s="8" t="str">
        <f aca="false">LOOKUP(T823,Bands!$A$2:$A$6,Bands!$B$2:$B$6)</f>
        <v>Solid Performance</v>
      </c>
      <c r="V823" s="8" t="n">
        <f aca="false">IF(Q823="","",ROUND((Q823-B823)*24,1))</f>
        <v>0</v>
      </c>
    </row>
    <row r="824" customFormat="false" ht="15" hidden="false" customHeight="false" outlineLevel="0" collapsed="false">
      <c r="A824" s="3" t="s">
        <v>1782</v>
      </c>
      <c r="B824" s="5" t="n">
        <v>46209.6263888889</v>
      </c>
      <c r="C824" s="3" t="s">
        <v>39</v>
      </c>
      <c r="D824" s="3" t="s">
        <v>119</v>
      </c>
      <c r="E824" s="3" t="s">
        <v>120</v>
      </c>
      <c r="F824" s="3" t="s">
        <v>33</v>
      </c>
      <c r="G824" s="3" t="s">
        <v>42</v>
      </c>
      <c r="H824" s="3" t="s">
        <v>1783</v>
      </c>
      <c r="I824" s="3" t="n">
        <v>4</v>
      </c>
      <c r="J824" s="3" t="n">
        <v>4</v>
      </c>
      <c r="K824" s="3" t="n">
        <v>4</v>
      </c>
      <c r="L824" s="3" t="n">
        <v>4</v>
      </c>
      <c r="M824" s="3" t="n">
        <v>4</v>
      </c>
      <c r="N824" s="3" t="n">
        <v>3</v>
      </c>
      <c r="O824" s="6" t="b">
        <f aca="false">FALSE()</f>
        <v>0</v>
      </c>
      <c r="P824" s="3"/>
      <c r="Q824" s="5" t="n">
        <v>46209.6270833333</v>
      </c>
      <c r="R824" s="5" t="n">
        <v>46209.6875</v>
      </c>
      <c r="S824" s="3" t="s">
        <v>1699</v>
      </c>
      <c r="T824" s="7" t="n">
        <f aca="false">ROUND(MIN(IF(OR(O824=TRUE(),O824="TRUE",O824="Yes"),59,100),(I824*Rubric!$C$2+J824*Rubric!$C$3+K824*Rubric!$C$4+L824*Rubric!$C$5+M824*Rubric!$C$6+N824*Rubric!$C$7)/5),1)</f>
        <v>77</v>
      </c>
      <c r="U824" s="8" t="str">
        <f aca="false">LOOKUP(T824,Bands!$A$2:$A$6,Bands!$B$2:$B$6)</f>
        <v>Meets Expectations</v>
      </c>
      <c r="V824" s="8" t="n">
        <f aca="false">IF(Q824="","",ROUND((Q824-B824)*24,1))</f>
        <v>0</v>
      </c>
    </row>
    <row r="825" customFormat="false" ht="15" hidden="false" customHeight="false" outlineLevel="0" collapsed="false">
      <c r="A825" s="3" t="s">
        <v>1784</v>
      </c>
      <c r="B825" s="5" t="n">
        <v>46209.45</v>
      </c>
      <c r="C825" s="3" t="s">
        <v>39</v>
      </c>
      <c r="D825" s="3" t="s">
        <v>167</v>
      </c>
      <c r="E825" s="3" t="s">
        <v>168</v>
      </c>
      <c r="F825" s="3" t="s">
        <v>33</v>
      </c>
      <c r="G825" s="3" t="s">
        <v>42</v>
      </c>
      <c r="H825" s="3" t="s">
        <v>1785</v>
      </c>
      <c r="I825" s="3" t="n">
        <v>4</v>
      </c>
      <c r="J825" s="3" t="n">
        <v>3</v>
      </c>
      <c r="K825" s="3" t="n">
        <v>4</v>
      </c>
      <c r="L825" s="3" t="n">
        <v>4</v>
      </c>
      <c r="M825" s="3" t="n">
        <v>3</v>
      </c>
      <c r="N825" s="3" t="n">
        <v>1</v>
      </c>
      <c r="O825" s="6" t="b">
        <f aca="false">TRUE()</f>
        <v>1</v>
      </c>
      <c r="P825" s="3" t="s">
        <v>36</v>
      </c>
      <c r="Q825" s="5" t="n">
        <v>46209.4520833333</v>
      </c>
      <c r="R825" s="5" t="n">
        <v>46209.4638888889</v>
      </c>
      <c r="S825" s="3" t="s">
        <v>1699</v>
      </c>
      <c r="T825" s="7" t="n">
        <f aca="false">ROUND(MIN(IF(OR(O825=TRUE(),O825="TRUE",O825="Yes"),59,100),(I825*Rubric!$C$2+J825*Rubric!$C$3+K825*Rubric!$C$4+L825*Rubric!$C$5+M825*Rubric!$C$6+N825*Rubric!$C$7)/5),1)</f>
        <v>59</v>
      </c>
      <c r="U825" s="8" t="str">
        <f aca="false">LOOKUP(T825,Bands!$A$2:$A$6,Bands!$B$2:$B$6)</f>
        <v>Critical</v>
      </c>
      <c r="V825" s="8" t="n">
        <f aca="false">IF(Q825="","",ROUND((Q825-B825)*24,1))</f>
        <v>0</v>
      </c>
    </row>
    <row r="826" customFormat="false" ht="15" hidden="false" customHeight="false" outlineLevel="0" collapsed="false">
      <c r="A826" s="3" t="s">
        <v>1786</v>
      </c>
      <c r="B826" s="5" t="n">
        <v>46209.5375</v>
      </c>
      <c r="C826" s="3" t="s">
        <v>39</v>
      </c>
      <c r="D826" s="3" t="s">
        <v>81</v>
      </c>
      <c r="E826" s="3" t="s">
        <v>82</v>
      </c>
      <c r="F826" s="3" t="s">
        <v>65</v>
      </c>
      <c r="G826" s="3" t="s">
        <v>54</v>
      </c>
      <c r="H826" s="3" t="s">
        <v>1787</v>
      </c>
      <c r="I826" s="3" t="n">
        <v>4</v>
      </c>
      <c r="J826" s="3" t="n">
        <v>2</v>
      </c>
      <c r="K826" s="3" t="n">
        <v>4</v>
      </c>
      <c r="L826" s="3" t="n">
        <v>4</v>
      </c>
      <c r="M826" s="3" t="n">
        <v>4</v>
      </c>
      <c r="N826" s="3" t="n">
        <v>5</v>
      </c>
      <c r="O826" s="6" t="b">
        <f aca="false">FALSE()</f>
        <v>0</v>
      </c>
      <c r="P826" s="3" t="s">
        <v>56</v>
      </c>
      <c r="Q826" s="5" t="n">
        <v>46209.5381944445</v>
      </c>
      <c r="R826" s="5" t="n">
        <v>46209.6451388889</v>
      </c>
      <c r="S826" s="3" t="s">
        <v>1699</v>
      </c>
      <c r="T826" s="7" t="n">
        <f aca="false">ROUND(MIN(IF(OR(O826=TRUE(),O826="TRUE",O826="Yes"),59,100),(I826*Rubric!$C$2+J826*Rubric!$C$3+K826*Rubric!$C$4+L826*Rubric!$C$5+M826*Rubric!$C$6+N826*Rubric!$C$7)/5),1)</f>
        <v>73</v>
      </c>
      <c r="U826" s="8" t="str">
        <f aca="false">LOOKUP(T826,Bands!$A$2:$A$6,Bands!$B$2:$B$6)</f>
        <v>Meets Expectations</v>
      </c>
      <c r="V826" s="8" t="n">
        <f aca="false">IF(Q826="","",ROUND((Q826-B826)*24,1))</f>
        <v>0</v>
      </c>
    </row>
    <row r="827" customFormat="false" ht="15" hidden="false" customHeight="false" outlineLevel="0" collapsed="false">
      <c r="A827" s="3" t="s">
        <v>1788</v>
      </c>
      <c r="B827" s="5" t="n">
        <v>46209.6409722222</v>
      </c>
      <c r="C827" s="3" t="s">
        <v>68</v>
      </c>
      <c r="D827" s="3" t="s">
        <v>145</v>
      </c>
      <c r="E827" s="3" t="s">
        <v>146</v>
      </c>
      <c r="F827" s="3" t="s">
        <v>33</v>
      </c>
      <c r="G827" s="3" t="s">
        <v>34</v>
      </c>
      <c r="H827" s="3" t="s">
        <v>1789</v>
      </c>
      <c r="I827" s="3" t="n">
        <v>4</v>
      </c>
      <c r="J827" s="3" t="n">
        <v>3</v>
      </c>
      <c r="K827" s="3" t="n">
        <v>4</v>
      </c>
      <c r="L827" s="3" t="n">
        <v>5</v>
      </c>
      <c r="M827" s="3" t="n">
        <v>3</v>
      </c>
      <c r="N827" s="3" t="n">
        <v>4</v>
      </c>
      <c r="O827" s="6" t="b">
        <f aca="false">FALSE()</f>
        <v>0</v>
      </c>
      <c r="P827" s="3"/>
      <c r="Q827" s="5" t="n">
        <v>46209.6416666667</v>
      </c>
      <c r="R827" s="5" t="n">
        <v>46209.6715277778</v>
      </c>
      <c r="S827" s="3" t="s">
        <v>1699</v>
      </c>
      <c r="T827" s="7" t="n">
        <f aca="false">ROUND(MIN(IF(OR(O827=TRUE(),O827="TRUE",O827="Yes"),59,100),(I827*Rubric!$C$2+J827*Rubric!$C$3+K827*Rubric!$C$4+L827*Rubric!$C$5+M827*Rubric!$C$6+N827*Rubric!$C$7)/5),1)</f>
        <v>76</v>
      </c>
      <c r="U827" s="8" t="str">
        <f aca="false">LOOKUP(T827,Bands!$A$2:$A$6,Bands!$B$2:$B$6)</f>
        <v>Meets Expectations</v>
      </c>
      <c r="V827" s="8" t="n">
        <f aca="false">IF(Q827="","",ROUND((Q827-B827)*24,1))</f>
        <v>0</v>
      </c>
    </row>
    <row r="828" customFormat="false" ht="15" hidden="false" customHeight="false" outlineLevel="0" collapsed="false">
      <c r="A828" s="3" t="s">
        <v>1790</v>
      </c>
      <c r="B828" s="5" t="n">
        <v>46209.6930555556</v>
      </c>
      <c r="C828" s="3" t="s">
        <v>68</v>
      </c>
      <c r="D828" s="3" t="s">
        <v>307</v>
      </c>
      <c r="E828" s="3" t="s">
        <v>308</v>
      </c>
      <c r="F828" s="3" t="s">
        <v>33</v>
      </c>
      <c r="G828" s="3" t="s">
        <v>42</v>
      </c>
      <c r="H828" s="3" t="s">
        <v>1791</v>
      </c>
      <c r="I828" s="3" t="n">
        <v>5</v>
      </c>
      <c r="J828" s="3" t="n">
        <v>3</v>
      </c>
      <c r="K828" s="3" t="n">
        <v>5</v>
      </c>
      <c r="L828" s="3" t="n">
        <v>5</v>
      </c>
      <c r="M828" s="3" t="n">
        <v>5</v>
      </c>
      <c r="N828" s="3" t="n">
        <v>5</v>
      </c>
      <c r="O828" s="6" t="b">
        <f aca="false">FALSE()</f>
        <v>0</v>
      </c>
      <c r="P828" s="3"/>
      <c r="Q828" s="5" t="n">
        <v>46209.6951388889</v>
      </c>
      <c r="R828" s="5" t="n">
        <v>46209.9847222222</v>
      </c>
      <c r="S828" s="3" t="s">
        <v>1699</v>
      </c>
      <c r="T828" s="7" t="n">
        <f aca="false">ROUND(MIN(IF(OR(O828=TRUE(),O828="TRUE",O828="Yes"),59,100),(I828*Rubric!$C$2+J828*Rubric!$C$3+K828*Rubric!$C$4+L828*Rubric!$C$5+M828*Rubric!$C$6+N828*Rubric!$C$7)/5),1)</f>
        <v>90</v>
      </c>
      <c r="U828" s="8" t="str">
        <f aca="false">LOOKUP(T828,Bands!$A$2:$A$6,Bands!$B$2:$B$6)</f>
        <v>Outstanding</v>
      </c>
      <c r="V828" s="8" t="n">
        <f aca="false">IF(Q828="","",ROUND((Q828-B828)*24,1))</f>
        <v>0</v>
      </c>
    </row>
    <row r="829" customFormat="false" ht="15" hidden="false" customHeight="false" outlineLevel="0" collapsed="false">
      <c r="A829" s="3" t="s">
        <v>1792</v>
      </c>
      <c r="B829" s="5" t="n">
        <v>46209.3819444445</v>
      </c>
      <c r="C829" s="3" t="s">
        <v>39</v>
      </c>
      <c r="D829" s="3" t="s">
        <v>63</v>
      </c>
      <c r="E829" s="3" t="s">
        <v>64</v>
      </c>
      <c r="F829" s="3" t="s">
        <v>65</v>
      </c>
      <c r="G829" s="3" t="s">
        <v>54</v>
      </c>
      <c r="H829" s="3" t="s">
        <v>1793</v>
      </c>
      <c r="I829" s="3" t="n">
        <v>4</v>
      </c>
      <c r="J829" s="3" t="n">
        <v>3</v>
      </c>
      <c r="K829" s="3" t="n">
        <v>2</v>
      </c>
      <c r="L829" s="3" t="n">
        <v>4</v>
      </c>
      <c r="M829" s="3" t="n">
        <v>4</v>
      </c>
      <c r="N829" s="3" t="n">
        <v>4</v>
      </c>
      <c r="O829" s="6" t="b">
        <f aca="false">FALSE()</f>
        <v>0</v>
      </c>
      <c r="P829" s="3" t="s">
        <v>49</v>
      </c>
      <c r="Q829" s="5" t="n">
        <v>46209.3833333333</v>
      </c>
      <c r="R829" s="5" t="n">
        <v>46209.7131944444</v>
      </c>
      <c r="S829" s="3" t="s">
        <v>1699</v>
      </c>
      <c r="T829" s="7" t="n">
        <f aca="false">ROUND(MIN(IF(OR(O829=TRUE(),O829="TRUE",O829="Yes"),59,100),(I829*Rubric!$C$2+J829*Rubric!$C$3+K829*Rubric!$C$4+L829*Rubric!$C$5+M829*Rubric!$C$6+N829*Rubric!$C$7)/5),1)</f>
        <v>67</v>
      </c>
      <c r="U829" s="8" t="str">
        <f aca="false">LOOKUP(T829,Bands!$A$2:$A$6,Bands!$B$2:$B$6)</f>
        <v>Needs Improvement</v>
      </c>
      <c r="V829" s="8" t="n">
        <f aca="false">IF(Q829="","",ROUND((Q829-B829)*24,1))</f>
        <v>0</v>
      </c>
    </row>
    <row r="830" customFormat="false" ht="15" hidden="false" customHeight="false" outlineLevel="0" collapsed="false">
      <c r="A830" s="3" t="s">
        <v>1794</v>
      </c>
      <c r="B830" s="5" t="n">
        <v>46210.5513888889</v>
      </c>
      <c r="C830" s="3" t="s">
        <v>39</v>
      </c>
      <c r="D830" s="3" t="s">
        <v>161</v>
      </c>
      <c r="E830" s="3" t="s">
        <v>162</v>
      </c>
      <c r="F830" s="3" t="s">
        <v>33</v>
      </c>
      <c r="G830" s="3" t="s">
        <v>54</v>
      </c>
      <c r="H830" s="3" t="s">
        <v>1795</v>
      </c>
      <c r="I830" s="3" t="n">
        <v>5</v>
      </c>
      <c r="J830" s="3" t="n">
        <v>4</v>
      </c>
      <c r="K830" s="3" t="n">
        <v>5</v>
      </c>
      <c r="L830" s="3" t="n">
        <v>4</v>
      </c>
      <c r="M830" s="3" t="n">
        <v>3</v>
      </c>
      <c r="N830" s="3" t="n">
        <v>4</v>
      </c>
      <c r="O830" s="6" t="b">
        <f aca="false">FALSE()</f>
        <v>0</v>
      </c>
      <c r="P830" s="3"/>
      <c r="Q830" s="5" t="n">
        <v>46210.5520833333</v>
      </c>
      <c r="R830" s="5" t="n">
        <v>46210.5930555556</v>
      </c>
      <c r="S830" s="3" t="s">
        <v>1699</v>
      </c>
      <c r="T830" s="7" t="n">
        <f aca="false">ROUND(MIN(IF(OR(O830=TRUE(),O830="TRUE",O830="Yes"),59,100),(I830*Rubric!$C$2+J830*Rubric!$C$3+K830*Rubric!$C$4+L830*Rubric!$C$5+M830*Rubric!$C$6+N830*Rubric!$C$7)/5),1)</f>
        <v>85</v>
      </c>
      <c r="U830" s="8" t="str">
        <f aca="false">LOOKUP(T830,Bands!$A$2:$A$6,Bands!$B$2:$B$6)</f>
        <v>Solid Performance</v>
      </c>
      <c r="V830" s="8" t="n">
        <f aca="false">IF(Q830="","",ROUND((Q830-B830)*24,1))</f>
        <v>0</v>
      </c>
    </row>
    <row r="831" customFormat="false" ht="15" hidden="false" customHeight="false" outlineLevel="0" collapsed="false">
      <c r="A831" s="3" t="s">
        <v>1796</v>
      </c>
      <c r="B831" s="5" t="n">
        <v>46210.5201388889</v>
      </c>
      <c r="C831" s="3" t="s">
        <v>68</v>
      </c>
      <c r="D831" s="3" t="s">
        <v>366</v>
      </c>
      <c r="E831" s="3" t="s">
        <v>367</v>
      </c>
      <c r="F831" s="3" t="s">
        <v>53</v>
      </c>
      <c r="G831" s="3" t="s">
        <v>54</v>
      </c>
      <c r="H831" s="3" t="s">
        <v>1797</v>
      </c>
      <c r="I831" s="3" t="n">
        <v>4</v>
      </c>
      <c r="J831" s="3" t="n">
        <v>5</v>
      </c>
      <c r="K831" s="3" t="n">
        <v>3</v>
      </c>
      <c r="L831" s="3" t="n">
        <v>4</v>
      </c>
      <c r="M831" s="3" t="n">
        <v>5</v>
      </c>
      <c r="N831" s="3" t="n">
        <v>4</v>
      </c>
      <c r="O831" s="6" t="b">
        <f aca="false">FALSE()</f>
        <v>0</v>
      </c>
      <c r="P831" s="3"/>
      <c r="Q831" s="5" t="n">
        <v>46210.5222222222</v>
      </c>
      <c r="R831" s="5" t="n">
        <v>46210.8868055556</v>
      </c>
      <c r="S831" s="3" t="s">
        <v>1699</v>
      </c>
      <c r="T831" s="7" t="n">
        <f aca="false">ROUND(MIN(IF(OR(O831=TRUE(),O831="TRUE",O831="Yes"),59,100),(I831*Rubric!$C$2+J831*Rubric!$C$3+K831*Rubric!$C$4+L831*Rubric!$C$5+M831*Rubric!$C$6+N831*Rubric!$C$7)/5),1)</f>
        <v>83</v>
      </c>
      <c r="U831" s="8" t="str">
        <f aca="false">LOOKUP(T831,Bands!$A$2:$A$6,Bands!$B$2:$B$6)</f>
        <v>Solid Performance</v>
      </c>
      <c r="V831" s="8" t="n">
        <f aca="false">IF(Q831="","",ROUND((Q831-B831)*24,1))</f>
        <v>0</v>
      </c>
    </row>
    <row r="832" customFormat="false" ht="15" hidden="false" customHeight="false" outlineLevel="0" collapsed="false">
      <c r="A832" s="3" t="s">
        <v>1798</v>
      </c>
      <c r="B832" s="5" t="n">
        <v>46210.66875</v>
      </c>
      <c r="C832" s="3" t="s">
        <v>68</v>
      </c>
      <c r="D832" s="3" t="s">
        <v>155</v>
      </c>
      <c r="E832" s="3" t="s">
        <v>156</v>
      </c>
      <c r="F832" s="3" t="s">
        <v>65</v>
      </c>
      <c r="G832" s="3" t="s">
        <v>42</v>
      </c>
      <c r="H832" s="3" t="s">
        <v>1799</v>
      </c>
      <c r="I832" s="3" t="n">
        <v>3</v>
      </c>
      <c r="J832" s="3" t="n">
        <v>5</v>
      </c>
      <c r="K832" s="3" t="n">
        <v>4</v>
      </c>
      <c r="L832" s="3" t="n">
        <v>5</v>
      </c>
      <c r="M832" s="3" t="n">
        <v>4</v>
      </c>
      <c r="N832" s="3" t="n">
        <v>4</v>
      </c>
      <c r="O832" s="6" t="b">
        <f aca="false">FALSE()</f>
        <v>0</v>
      </c>
      <c r="P832" s="3"/>
      <c r="Q832" s="5" t="n">
        <v>46210.6708333333</v>
      </c>
      <c r="R832" s="5" t="n">
        <v>46210.7361111111</v>
      </c>
      <c r="S832" s="3" t="s">
        <v>1699</v>
      </c>
      <c r="T832" s="7" t="n">
        <f aca="false">ROUND(MIN(IF(OR(O832=TRUE(),O832="TRUE",O832="Yes"),59,100),(I832*Rubric!$C$2+J832*Rubric!$C$3+K832*Rubric!$C$4+L832*Rubric!$C$5+M832*Rubric!$C$6+N832*Rubric!$C$7)/5),1)</f>
        <v>85</v>
      </c>
      <c r="U832" s="8" t="str">
        <f aca="false">LOOKUP(T832,Bands!$A$2:$A$6,Bands!$B$2:$B$6)</f>
        <v>Solid Performance</v>
      </c>
      <c r="V832" s="8" t="n">
        <f aca="false">IF(Q832="","",ROUND((Q832-B832)*24,1))</f>
        <v>0</v>
      </c>
    </row>
    <row r="833" customFormat="false" ht="15" hidden="false" customHeight="false" outlineLevel="0" collapsed="false">
      <c r="A833" s="3" t="s">
        <v>1800</v>
      </c>
      <c r="B833" s="5" t="n">
        <v>46210.6236111111</v>
      </c>
      <c r="C833" s="3" t="s">
        <v>68</v>
      </c>
      <c r="D833" s="3" t="s">
        <v>58</v>
      </c>
      <c r="E833" s="3" t="s">
        <v>59</v>
      </c>
      <c r="F833" s="3" t="s">
        <v>53</v>
      </c>
      <c r="G833" s="3" t="s">
        <v>54</v>
      </c>
      <c r="H833" s="3" t="s">
        <v>1801</v>
      </c>
      <c r="I833" s="3" t="n">
        <v>4</v>
      </c>
      <c r="J833" s="3" t="n">
        <v>4</v>
      </c>
      <c r="K833" s="3" t="n">
        <v>3</v>
      </c>
      <c r="L833" s="3" t="n">
        <v>3</v>
      </c>
      <c r="M833" s="3" t="n">
        <v>2</v>
      </c>
      <c r="N833" s="3" t="n">
        <v>3</v>
      </c>
      <c r="O833" s="6" t="b">
        <f aca="false">FALSE()</f>
        <v>0</v>
      </c>
      <c r="P833" s="3" t="s">
        <v>103</v>
      </c>
      <c r="Q833" s="5" t="n">
        <v>46210.6243055556</v>
      </c>
      <c r="R833" s="5" t="n">
        <v>46210.6298611111</v>
      </c>
      <c r="S833" s="3" t="s">
        <v>1699</v>
      </c>
      <c r="T833" s="7" t="n">
        <f aca="false">ROUND(MIN(IF(OR(O833=TRUE(),O833="TRUE",O833="Yes"),59,100),(I833*Rubric!$C$2+J833*Rubric!$C$3+K833*Rubric!$C$4+L833*Rubric!$C$5+M833*Rubric!$C$6+N833*Rubric!$C$7)/5),1)</f>
        <v>66</v>
      </c>
      <c r="U833" s="8" t="str">
        <f aca="false">LOOKUP(T833,Bands!$A$2:$A$6,Bands!$B$2:$B$6)</f>
        <v>Needs Improvement</v>
      </c>
      <c r="V833" s="8" t="n">
        <f aca="false">IF(Q833="","",ROUND((Q833-B833)*24,1))</f>
        <v>0</v>
      </c>
    </row>
    <row r="834" customFormat="false" ht="15" hidden="false" customHeight="false" outlineLevel="0" collapsed="false">
      <c r="A834" s="3" t="s">
        <v>1802</v>
      </c>
      <c r="B834" s="5" t="n">
        <v>46210.4090277778</v>
      </c>
      <c r="C834" s="3" t="s">
        <v>39</v>
      </c>
      <c r="D834" s="3" t="s">
        <v>77</v>
      </c>
      <c r="E834" s="3" t="s">
        <v>78</v>
      </c>
      <c r="F834" s="3" t="s">
        <v>33</v>
      </c>
      <c r="G834" s="3" t="s">
        <v>34</v>
      </c>
      <c r="H834" s="3" t="s">
        <v>1803</v>
      </c>
      <c r="I834" s="3" t="n">
        <v>5</v>
      </c>
      <c r="J834" s="3" t="n">
        <v>5</v>
      </c>
      <c r="K834" s="3" t="n">
        <v>3</v>
      </c>
      <c r="L834" s="3" t="n">
        <v>5</v>
      </c>
      <c r="M834" s="3" t="n">
        <v>4</v>
      </c>
      <c r="N834" s="3" t="n">
        <v>5</v>
      </c>
      <c r="O834" s="6" t="b">
        <f aca="false">FALSE()</f>
        <v>0</v>
      </c>
      <c r="P834" s="3"/>
      <c r="Q834" s="5" t="n">
        <v>46210.4097222222</v>
      </c>
      <c r="R834" s="5" t="n">
        <v>46210.5972222222</v>
      </c>
      <c r="S834" s="3" t="s">
        <v>1699</v>
      </c>
      <c r="T834" s="7" t="n">
        <f aca="false">ROUND(MIN(IF(OR(O834=TRUE(),O834="TRUE",O834="Yes"),59,100),(I834*Rubric!$C$2+J834*Rubric!$C$3+K834*Rubric!$C$4+L834*Rubric!$C$5+M834*Rubric!$C$6+N834*Rubric!$C$7)/5),1)</f>
        <v>90</v>
      </c>
      <c r="U834" s="8" t="str">
        <f aca="false">LOOKUP(T834,Bands!$A$2:$A$6,Bands!$B$2:$B$6)</f>
        <v>Outstanding</v>
      </c>
      <c r="V834" s="8" t="n">
        <f aca="false">IF(Q834="","",ROUND((Q834-B834)*24,1))</f>
        <v>0</v>
      </c>
    </row>
    <row r="835" customFormat="false" ht="15" hidden="false" customHeight="false" outlineLevel="0" collapsed="false">
      <c r="A835" s="3" t="s">
        <v>1804</v>
      </c>
      <c r="B835" s="5" t="n">
        <v>46210.5590277778</v>
      </c>
      <c r="C835" s="3" t="s">
        <v>39</v>
      </c>
      <c r="D835" s="3" t="s">
        <v>137</v>
      </c>
      <c r="E835" s="3" t="s">
        <v>138</v>
      </c>
      <c r="F835" s="3" t="s">
        <v>65</v>
      </c>
      <c r="G835" s="3" t="s">
        <v>42</v>
      </c>
      <c r="H835" s="3" t="s">
        <v>1805</v>
      </c>
      <c r="I835" s="3" t="n">
        <v>3</v>
      </c>
      <c r="J835" s="3" t="n">
        <v>5</v>
      </c>
      <c r="K835" s="3" t="n">
        <v>5</v>
      </c>
      <c r="L835" s="3" t="n">
        <v>5</v>
      </c>
      <c r="M835" s="3" t="n">
        <v>5</v>
      </c>
      <c r="N835" s="3" t="n">
        <v>4</v>
      </c>
      <c r="O835" s="6" t="b">
        <f aca="false">FALSE()</f>
        <v>0</v>
      </c>
      <c r="P835" s="3"/>
      <c r="Q835" s="5" t="n">
        <v>46210.5611111111</v>
      </c>
      <c r="R835" s="5" t="n">
        <v>46210.75</v>
      </c>
      <c r="S835" s="3" t="s">
        <v>1699</v>
      </c>
      <c r="T835" s="7" t="n">
        <f aca="false">ROUND(MIN(IF(OR(O835=TRUE(),O835="TRUE",O835="Yes"),59,100),(I835*Rubric!$C$2+J835*Rubric!$C$3+K835*Rubric!$C$4+L835*Rubric!$C$5+M835*Rubric!$C$6+N835*Rubric!$C$7)/5),1)</f>
        <v>91</v>
      </c>
      <c r="U835" s="8" t="str">
        <f aca="false">LOOKUP(T835,Bands!$A$2:$A$6,Bands!$B$2:$B$6)</f>
        <v>Outstanding</v>
      </c>
      <c r="V835" s="8" t="n">
        <f aca="false">IF(Q835="","",ROUND((Q835-B835)*24,1))</f>
        <v>0</v>
      </c>
    </row>
    <row r="836" customFormat="false" ht="15" hidden="false" customHeight="false" outlineLevel="0" collapsed="false">
      <c r="A836" s="3" t="s">
        <v>1806</v>
      </c>
      <c r="B836" s="5" t="n">
        <v>46210.5076388889</v>
      </c>
      <c r="C836" s="3" t="s">
        <v>30</v>
      </c>
      <c r="D836" s="3" t="s">
        <v>251</v>
      </c>
      <c r="E836" s="3" t="s">
        <v>252</v>
      </c>
      <c r="F836" s="3" t="s">
        <v>53</v>
      </c>
      <c r="G836" s="3" t="s">
        <v>54</v>
      </c>
      <c r="H836" s="3" t="s">
        <v>1807</v>
      </c>
      <c r="I836" s="3" t="n">
        <v>4</v>
      </c>
      <c r="J836" s="3" t="n">
        <v>3</v>
      </c>
      <c r="K836" s="3" t="n">
        <v>4</v>
      </c>
      <c r="L836" s="3" t="n">
        <v>4</v>
      </c>
      <c r="M836" s="3" t="n">
        <v>2</v>
      </c>
      <c r="N836" s="3" t="n">
        <v>5</v>
      </c>
      <c r="O836" s="6" t="b">
        <f aca="false">FALSE()</f>
        <v>0</v>
      </c>
      <c r="P836" s="3" t="s">
        <v>103</v>
      </c>
      <c r="Q836" s="5" t="n">
        <v>46210.5083333333</v>
      </c>
      <c r="R836" s="5" t="n">
        <v>46210.5645833333</v>
      </c>
      <c r="S836" s="3" t="s">
        <v>1699</v>
      </c>
      <c r="T836" s="7" t="n">
        <f aca="false">ROUND(MIN(IF(OR(O836=TRUE(),O836="TRUE",O836="Yes"),59,100),(I836*Rubric!$C$2+J836*Rubric!$C$3+K836*Rubric!$C$4+L836*Rubric!$C$5+M836*Rubric!$C$6+N836*Rubric!$C$7)/5),1)</f>
        <v>74</v>
      </c>
      <c r="U836" s="8" t="str">
        <f aca="false">LOOKUP(T836,Bands!$A$2:$A$6,Bands!$B$2:$B$6)</f>
        <v>Meets Expectations</v>
      </c>
      <c r="V836" s="8" t="n">
        <f aca="false">IF(Q836="","",ROUND((Q836-B836)*24,1))</f>
        <v>0</v>
      </c>
    </row>
    <row r="837" customFormat="false" ht="15" hidden="false" customHeight="false" outlineLevel="0" collapsed="false">
      <c r="A837" s="3" t="s">
        <v>1808</v>
      </c>
      <c r="B837" s="5" t="n">
        <v>46210.6854166667</v>
      </c>
      <c r="C837" s="3" t="s">
        <v>68</v>
      </c>
      <c r="D837" s="3" t="s">
        <v>73</v>
      </c>
      <c r="E837" s="3" t="s">
        <v>74</v>
      </c>
      <c r="F837" s="3" t="s">
        <v>33</v>
      </c>
      <c r="G837" s="3" t="s">
        <v>34</v>
      </c>
      <c r="H837" s="3" t="s">
        <v>1809</v>
      </c>
      <c r="I837" s="3" t="n">
        <v>5</v>
      </c>
      <c r="J837" s="3" t="n">
        <v>4</v>
      </c>
      <c r="K837" s="3" t="n">
        <v>4</v>
      </c>
      <c r="L837" s="3" t="n">
        <v>5</v>
      </c>
      <c r="M837" s="3" t="n">
        <v>4</v>
      </c>
      <c r="N837" s="3" t="n">
        <v>3</v>
      </c>
      <c r="O837" s="6" t="b">
        <f aca="false">FALSE()</f>
        <v>0</v>
      </c>
      <c r="P837" s="3"/>
      <c r="Q837" s="5" t="n">
        <v>46210.6861111111</v>
      </c>
      <c r="R837" s="5" t="n">
        <v>46210.7256944445</v>
      </c>
      <c r="S837" s="3" t="s">
        <v>1699</v>
      </c>
      <c r="T837" s="7" t="n">
        <f aca="false">ROUND(MIN(IF(OR(O837=TRUE(),O837="TRUE",O837="Yes"),59,100),(I837*Rubric!$C$2+J837*Rubric!$C$3+K837*Rubric!$C$4+L837*Rubric!$C$5+M837*Rubric!$C$6+N837*Rubric!$C$7)/5),1)</f>
        <v>83</v>
      </c>
      <c r="U837" s="8" t="str">
        <f aca="false">LOOKUP(T837,Bands!$A$2:$A$6,Bands!$B$2:$B$6)</f>
        <v>Solid Performance</v>
      </c>
      <c r="V837" s="8" t="n">
        <f aca="false">IF(Q837="","",ROUND((Q837-B837)*24,1))</f>
        <v>0</v>
      </c>
    </row>
    <row r="838" customFormat="false" ht="15" hidden="false" customHeight="false" outlineLevel="0" collapsed="false">
      <c r="A838" s="3" t="s">
        <v>1810</v>
      </c>
      <c r="B838" s="5" t="n">
        <v>46210.55625</v>
      </c>
      <c r="C838" s="3" t="s">
        <v>39</v>
      </c>
      <c r="D838" s="3" t="s">
        <v>145</v>
      </c>
      <c r="E838" s="3" t="s">
        <v>146</v>
      </c>
      <c r="F838" s="3" t="s">
        <v>33</v>
      </c>
      <c r="G838" s="3" t="s">
        <v>42</v>
      </c>
      <c r="H838" s="3" t="s">
        <v>1811</v>
      </c>
      <c r="I838" s="3" t="n">
        <v>4</v>
      </c>
      <c r="J838" s="3" t="n">
        <v>3</v>
      </c>
      <c r="K838" s="3" t="n">
        <v>4</v>
      </c>
      <c r="L838" s="3" t="n">
        <v>4</v>
      </c>
      <c r="M838" s="3" t="n">
        <v>4</v>
      </c>
      <c r="N838" s="3" t="n">
        <v>4</v>
      </c>
      <c r="O838" s="6" t="b">
        <f aca="false">FALSE()</f>
        <v>0</v>
      </c>
      <c r="P838" s="3"/>
      <c r="Q838" s="5" t="n">
        <v>46210.5583333333</v>
      </c>
      <c r="R838" s="5" t="n">
        <v>46210.6131944444</v>
      </c>
      <c r="S838" s="3" t="s">
        <v>1699</v>
      </c>
      <c r="T838" s="7" t="n">
        <f aca="false">ROUND(MIN(IF(OR(O838=TRUE(),O838="TRUE",O838="Yes"),59,100),(I838*Rubric!$C$2+J838*Rubric!$C$3+K838*Rubric!$C$4+L838*Rubric!$C$5+M838*Rubric!$C$6+N838*Rubric!$C$7)/5),1)</f>
        <v>75</v>
      </c>
      <c r="U838" s="8" t="str">
        <f aca="false">LOOKUP(T838,Bands!$A$2:$A$6,Bands!$B$2:$B$6)</f>
        <v>Meets Expectations</v>
      </c>
      <c r="V838" s="8" t="n">
        <f aca="false">IF(Q838="","",ROUND((Q838-B838)*24,1))</f>
        <v>0</v>
      </c>
    </row>
    <row r="839" customFormat="false" ht="15" hidden="false" customHeight="false" outlineLevel="0" collapsed="false">
      <c r="A839" s="3" t="s">
        <v>1812</v>
      </c>
      <c r="B839" s="5" t="n">
        <v>46210.3875</v>
      </c>
      <c r="C839" s="3" t="s">
        <v>30</v>
      </c>
      <c r="D839" s="3" t="s">
        <v>69</v>
      </c>
      <c r="E839" s="3" t="s">
        <v>70</v>
      </c>
      <c r="F839" s="3" t="s">
        <v>65</v>
      </c>
      <c r="G839" s="3" t="s">
        <v>42</v>
      </c>
      <c r="H839" s="3" t="s">
        <v>1813</v>
      </c>
      <c r="I839" s="3" t="n">
        <v>5</v>
      </c>
      <c r="J839" s="3" t="n">
        <v>5</v>
      </c>
      <c r="K839" s="3" t="n">
        <v>4</v>
      </c>
      <c r="L839" s="3" t="n">
        <v>4</v>
      </c>
      <c r="M839" s="3" t="n">
        <v>5</v>
      </c>
      <c r="N839" s="3" t="n">
        <v>2</v>
      </c>
      <c r="O839" s="6" t="b">
        <f aca="false">FALSE()</f>
        <v>0</v>
      </c>
      <c r="P839" s="3" t="s">
        <v>36</v>
      </c>
      <c r="Q839" s="5" t="n">
        <v>46210.3888888889</v>
      </c>
      <c r="R839" s="5" t="n">
        <v>46210.5229166667</v>
      </c>
      <c r="S839" s="3" t="s">
        <v>1699</v>
      </c>
      <c r="T839" s="7" t="n">
        <f aca="false">ROUND(MIN(IF(OR(O839=TRUE(),O839="TRUE",O839="Yes"),59,100),(I839*Rubric!$C$2+J839*Rubric!$C$3+K839*Rubric!$C$4+L839*Rubric!$C$5+M839*Rubric!$C$6+N839*Rubric!$C$7)/5),1)</f>
        <v>84</v>
      </c>
      <c r="U839" s="8" t="str">
        <f aca="false">LOOKUP(T839,Bands!$A$2:$A$6,Bands!$B$2:$B$6)</f>
        <v>Solid Performance</v>
      </c>
      <c r="V839" s="8" t="n">
        <f aca="false">IF(Q839="","",ROUND((Q839-B839)*24,1))</f>
        <v>0</v>
      </c>
    </row>
    <row r="840" customFormat="false" ht="15" hidden="false" customHeight="false" outlineLevel="0" collapsed="false">
      <c r="A840" s="3" t="s">
        <v>1814</v>
      </c>
      <c r="B840" s="5" t="n">
        <v>46210.7076388889</v>
      </c>
      <c r="C840" s="3" t="s">
        <v>30</v>
      </c>
      <c r="D840" s="3" t="s">
        <v>307</v>
      </c>
      <c r="E840" s="3" t="s">
        <v>308</v>
      </c>
      <c r="F840" s="3" t="s">
        <v>33</v>
      </c>
      <c r="G840" s="3" t="s">
        <v>54</v>
      </c>
      <c r="H840" s="3" t="s">
        <v>1815</v>
      </c>
      <c r="I840" s="3" t="n">
        <v>4</v>
      </c>
      <c r="J840" s="3" t="n">
        <v>3</v>
      </c>
      <c r="K840" s="3" t="n">
        <v>5</v>
      </c>
      <c r="L840" s="3" t="n">
        <v>5</v>
      </c>
      <c r="M840" s="3" t="n">
        <v>5</v>
      </c>
      <c r="N840" s="3" t="n">
        <v>5</v>
      </c>
      <c r="O840" s="6" t="b">
        <f aca="false">FALSE()</f>
        <v>0</v>
      </c>
      <c r="P840" s="3"/>
      <c r="Q840" s="5" t="n">
        <v>46210.7083333333</v>
      </c>
      <c r="R840" s="5" t="n">
        <v>46210.7638888889</v>
      </c>
      <c r="S840" s="3" t="s">
        <v>1699</v>
      </c>
      <c r="T840" s="7" t="n">
        <f aca="false">ROUND(MIN(IF(OR(O840=TRUE(),O840="TRUE",O840="Yes"),59,100),(I840*Rubric!$C$2+J840*Rubric!$C$3+K840*Rubric!$C$4+L840*Rubric!$C$5+M840*Rubric!$C$6+N840*Rubric!$C$7)/5),1)</f>
        <v>87</v>
      </c>
      <c r="U840" s="8" t="str">
        <f aca="false">LOOKUP(T840,Bands!$A$2:$A$6,Bands!$B$2:$B$6)</f>
        <v>Solid Performance</v>
      </c>
      <c r="V840" s="8" t="n">
        <f aca="false">IF(Q840="","",ROUND((Q840-B840)*24,1))</f>
        <v>0</v>
      </c>
    </row>
    <row r="841" customFormat="false" ht="15" hidden="false" customHeight="false" outlineLevel="0" collapsed="false">
      <c r="A841" s="3" t="s">
        <v>1816</v>
      </c>
      <c r="B841" s="5" t="n">
        <v>46210.4548611111</v>
      </c>
      <c r="C841" s="3" t="s">
        <v>39</v>
      </c>
      <c r="D841" s="3" t="s">
        <v>115</v>
      </c>
      <c r="E841" s="3" t="s">
        <v>116</v>
      </c>
      <c r="F841" s="3" t="s">
        <v>33</v>
      </c>
      <c r="G841" s="3" t="s">
        <v>34</v>
      </c>
      <c r="H841" s="3" t="s">
        <v>1817</v>
      </c>
      <c r="I841" s="3" t="n">
        <v>4</v>
      </c>
      <c r="J841" s="3" t="n">
        <v>5</v>
      </c>
      <c r="K841" s="3" t="n">
        <v>4</v>
      </c>
      <c r="L841" s="3" t="n">
        <v>5</v>
      </c>
      <c r="M841" s="3" t="n">
        <v>3</v>
      </c>
      <c r="N841" s="3" t="n">
        <v>4</v>
      </c>
      <c r="O841" s="6" t="b">
        <f aca="false">FALSE()</f>
        <v>0</v>
      </c>
      <c r="P841" s="3"/>
      <c r="Q841" s="5" t="n">
        <v>46210.4569444444</v>
      </c>
      <c r="R841" s="5" t="n">
        <v>46211.0770833333</v>
      </c>
      <c r="S841" s="3" t="s">
        <v>1699</v>
      </c>
      <c r="T841" s="7" t="n">
        <f aca="false">ROUND(MIN(IF(OR(O841=TRUE(),O841="TRUE",O841="Yes"),59,100),(I841*Rubric!$C$2+J841*Rubric!$C$3+K841*Rubric!$C$4+L841*Rubric!$C$5+M841*Rubric!$C$6+N841*Rubric!$C$7)/5),1)</f>
        <v>86</v>
      </c>
      <c r="U841" s="8" t="str">
        <f aca="false">LOOKUP(T841,Bands!$A$2:$A$6,Bands!$B$2:$B$6)</f>
        <v>Solid Performance</v>
      </c>
      <c r="V841" s="8" t="n">
        <f aca="false">IF(Q841="","",ROUND((Q841-B841)*24,1))</f>
        <v>0</v>
      </c>
    </row>
    <row r="842" customFormat="false" ht="15" hidden="false" customHeight="false" outlineLevel="0" collapsed="false">
      <c r="A842" s="3" t="s">
        <v>1818</v>
      </c>
      <c r="B842" s="5" t="n">
        <v>46211.6791666667</v>
      </c>
      <c r="C842" s="3" t="s">
        <v>30</v>
      </c>
      <c r="D842" s="3" t="s">
        <v>137</v>
      </c>
      <c r="E842" s="3" t="s">
        <v>138</v>
      </c>
      <c r="F842" s="3" t="s">
        <v>65</v>
      </c>
      <c r="G842" s="3" t="s">
        <v>34</v>
      </c>
      <c r="H842" s="3" t="s">
        <v>1819</v>
      </c>
      <c r="I842" s="3" t="n">
        <v>3</v>
      </c>
      <c r="J842" s="3" t="n">
        <v>4</v>
      </c>
      <c r="K842" s="3" t="n">
        <v>5</v>
      </c>
      <c r="L842" s="3" t="n">
        <v>5</v>
      </c>
      <c r="M842" s="3" t="n">
        <v>4</v>
      </c>
      <c r="N842" s="3" t="n">
        <v>5</v>
      </c>
      <c r="O842" s="6" t="b">
        <f aca="false">FALSE()</f>
        <v>0</v>
      </c>
      <c r="P842" s="3"/>
      <c r="Q842" s="5" t="n">
        <v>46211.68125</v>
      </c>
      <c r="R842" s="5" t="n">
        <v>46212.1847222222</v>
      </c>
      <c r="S842" s="3" t="s">
        <v>1699</v>
      </c>
      <c r="T842" s="7" t="n">
        <f aca="false">ROUND(MIN(IF(OR(O842=TRUE(),O842="TRUE",O842="Yes"),59,100),(I842*Rubric!$C$2+J842*Rubric!$C$3+K842*Rubric!$C$4+L842*Rubric!$C$5+M842*Rubric!$C$6+N842*Rubric!$C$7)/5),1)</f>
        <v>87</v>
      </c>
      <c r="U842" s="8" t="str">
        <f aca="false">LOOKUP(T842,Bands!$A$2:$A$6,Bands!$B$2:$B$6)</f>
        <v>Solid Performance</v>
      </c>
      <c r="V842" s="8" t="n">
        <f aca="false">IF(Q842="","",ROUND((Q842-B842)*24,1))</f>
        <v>0</v>
      </c>
    </row>
    <row r="843" customFormat="false" ht="15" hidden="false" customHeight="false" outlineLevel="0" collapsed="false">
      <c r="A843" s="3" t="s">
        <v>1820</v>
      </c>
      <c r="B843" s="5" t="n">
        <v>46211.4479166667</v>
      </c>
      <c r="C843" s="3" t="s">
        <v>39</v>
      </c>
      <c r="D843" s="3" t="s">
        <v>145</v>
      </c>
      <c r="E843" s="3" t="s">
        <v>146</v>
      </c>
      <c r="F843" s="3" t="s">
        <v>33</v>
      </c>
      <c r="G843" s="3" t="s">
        <v>54</v>
      </c>
      <c r="H843" s="3" t="s">
        <v>1821</v>
      </c>
      <c r="I843" s="3" t="n">
        <v>4</v>
      </c>
      <c r="J843" s="3" t="n">
        <v>2</v>
      </c>
      <c r="K843" s="3" t="n">
        <v>4</v>
      </c>
      <c r="L843" s="3" t="n">
        <v>5</v>
      </c>
      <c r="M843" s="3" t="n">
        <v>3</v>
      </c>
      <c r="N843" s="3" t="n">
        <v>4</v>
      </c>
      <c r="O843" s="6" t="b">
        <f aca="false">FALSE()</f>
        <v>0</v>
      </c>
      <c r="P843" s="3" t="s">
        <v>56</v>
      </c>
      <c r="Q843" s="5" t="n">
        <v>46211.4493055556</v>
      </c>
      <c r="R843" s="5" t="n">
        <v>46211.4902777778</v>
      </c>
      <c r="S843" s="3" t="s">
        <v>1699</v>
      </c>
      <c r="T843" s="7" t="n">
        <f aca="false">ROUND(MIN(IF(OR(O843=TRUE(),O843="TRUE",O843="Yes"),59,100),(I843*Rubric!$C$2+J843*Rubric!$C$3+K843*Rubric!$C$4+L843*Rubric!$C$5+M843*Rubric!$C$6+N843*Rubric!$C$7)/5),1)</f>
        <v>71</v>
      </c>
      <c r="U843" s="8" t="str">
        <f aca="false">LOOKUP(T843,Bands!$A$2:$A$6,Bands!$B$2:$B$6)</f>
        <v>Meets Expectations</v>
      </c>
      <c r="V843" s="8" t="n">
        <f aca="false">IF(Q843="","",ROUND((Q843-B843)*24,1))</f>
        <v>0</v>
      </c>
    </row>
    <row r="844" customFormat="false" ht="15" hidden="false" customHeight="false" outlineLevel="0" collapsed="false">
      <c r="A844" s="3" t="s">
        <v>1822</v>
      </c>
      <c r="B844" s="5" t="n">
        <v>46211.6208333333</v>
      </c>
      <c r="C844" s="3" t="s">
        <v>68</v>
      </c>
      <c r="D844" s="3" t="s">
        <v>161</v>
      </c>
      <c r="E844" s="3" t="s">
        <v>162</v>
      </c>
      <c r="F844" s="3" t="s">
        <v>33</v>
      </c>
      <c r="G844" s="3" t="s">
        <v>54</v>
      </c>
      <c r="H844" s="3" t="s">
        <v>1823</v>
      </c>
      <c r="I844" s="3" t="n">
        <v>5</v>
      </c>
      <c r="J844" s="3" t="n">
        <v>5</v>
      </c>
      <c r="K844" s="3" t="n">
        <v>4</v>
      </c>
      <c r="L844" s="3" t="n">
        <v>4</v>
      </c>
      <c r="M844" s="3" t="n">
        <v>3</v>
      </c>
      <c r="N844" s="3" t="n">
        <v>4</v>
      </c>
      <c r="O844" s="6" t="b">
        <f aca="false">FALSE()</f>
        <v>0</v>
      </c>
      <c r="P844" s="3"/>
      <c r="Q844" s="5" t="n">
        <v>46211.6222222222</v>
      </c>
      <c r="R844" s="5" t="n">
        <v>46211.6652777778</v>
      </c>
      <c r="S844" s="3" t="s">
        <v>1699</v>
      </c>
      <c r="T844" s="7" t="n">
        <f aca="false">ROUND(MIN(IF(OR(O844=TRUE(),O844="TRUE",O844="Yes"),59,100),(I844*Rubric!$C$2+J844*Rubric!$C$3+K844*Rubric!$C$4+L844*Rubric!$C$5+M844*Rubric!$C$6+N844*Rubric!$C$7)/5),1)</f>
        <v>86</v>
      </c>
      <c r="U844" s="8" t="str">
        <f aca="false">LOOKUP(T844,Bands!$A$2:$A$6,Bands!$B$2:$B$6)</f>
        <v>Solid Performance</v>
      </c>
      <c r="V844" s="8" t="n">
        <f aca="false">IF(Q844="","",ROUND((Q844-B844)*24,1))</f>
        <v>0</v>
      </c>
    </row>
    <row r="845" customFormat="false" ht="15" hidden="false" customHeight="false" outlineLevel="0" collapsed="false">
      <c r="A845" s="3" t="s">
        <v>1824</v>
      </c>
      <c r="B845" s="5" t="n">
        <v>46211.6208333333</v>
      </c>
      <c r="C845" s="3" t="s">
        <v>39</v>
      </c>
      <c r="D845" s="3" t="s">
        <v>133</v>
      </c>
      <c r="E845" s="3" t="s">
        <v>134</v>
      </c>
      <c r="F845" s="3" t="s">
        <v>33</v>
      </c>
      <c r="G845" s="3" t="s">
        <v>42</v>
      </c>
      <c r="H845" s="3" t="s">
        <v>1825</v>
      </c>
      <c r="I845" s="3" t="n">
        <v>4</v>
      </c>
      <c r="J845" s="3" t="n">
        <v>2</v>
      </c>
      <c r="K845" s="3" t="n">
        <v>4</v>
      </c>
      <c r="L845" s="3" t="n">
        <v>4</v>
      </c>
      <c r="M845" s="3" t="n">
        <v>4</v>
      </c>
      <c r="N845" s="3" t="n">
        <v>1</v>
      </c>
      <c r="O845" s="6" t="b">
        <f aca="false">TRUE()</f>
        <v>1</v>
      </c>
      <c r="P845" s="3" t="s">
        <v>438</v>
      </c>
      <c r="Q845" s="5" t="n">
        <v>46211.6222222222</v>
      </c>
      <c r="R845" s="5" t="n">
        <v>46211.6979166667</v>
      </c>
      <c r="S845" s="3" t="s">
        <v>1699</v>
      </c>
      <c r="T845" s="7" t="n">
        <f aca="false">ROUND(MIN(IF(OR(O845=TRUE(),O845="TRUE",O845="Yes"),59,100),(I845*Rubric!$C$2+J845*Rubric!$C$3+K845*Rubric!$C$4+L845*Rubric!$C$5+M845*Rubric!$C$6+N845*Rubric!$C$7)/5),1)</f>
        <v>59</v>
      </c>
      <c r="U845" s="8" t="str">
        <f aca="false">LOOKUP(T845,Bands!$A$2:$A$6,Bands!$B$2:$B$6)</f>
        <v>Critical</v>
      </c>
      <c r="V845" s="8" t="n">
        <f aca="false">IF(Q845="","",ROUND((Q845-B845)*24,1))</f>
        <v>0</v>
      </c>
    </row>
    <row r="846" customFormat="false" ht="15" hidden="false" customHeight="false" outlineLevel="0" collapsed="false">
      <c r="A846" s="3" t="s">
        <v>1826</v>
      </c>
      <c r="B846" s="5" t="n">
        <v>46211.6645833333</v>
      </c>
      <c r="C846" s="3" t="s">
        <v>68</v>
      </c>
      <c r="D846" s="3" t="s">
        <v>251</v>
      </c>
      <c r="E846" s="3" t="s">
        <v>252</v>
      </c>
      <c r="F846" s="3" t="s">
        <v>53</v>
      </c>
      <c r="G846" s="3" t="s">
        <v>42</v>
      </c>
      <c r="H846" s="3" t="s">
        <v>1827</v>
      </c>
      <c r="I846" s="3" t="n">
        <v>3</v>
      </c>
      <c r="J846" s="3" t="n">
        <v>3</v>
      </c>
      <c r="K846" s="3" t="n">
        <v>4</v>
      </c>
      <c r="L846" s="3" t="n">
        <v>4</v>
      </c>
      <c r="M846" s="3" t="n">
        <v>4</v>
      </c>
      <c r="N846" s="3" t="n">
        <v>4</v>
      </c>
      <c r="O846" s="6" t="b">
        <f aca="false">FALSE()</f>
        <v>0</v>
      </c>
      <c r="P846" s="3"/>
      <c r="Q846" s="5" t="n">
        <v>46211.6652777778</v>
      </c>
      <c r="R846" s="5" t="n">
        <v>46211.7131944444</v>
      </c>
      <c r="S846" s="3" t="s">
        <v>1699</v>
      </c>
      <c r="T846" s="7" t="n">
        <f aca="false">ROUND(MIN(IF(OR(O846=TRUE(),O846="TRUE",O846="Yes"),59,100),(I846*Rubric!$C$2+J846*Rubric!$C$3+K846*Rubric!$C$4+L846*Rubric!$C$5+M846*Rubric!$C$6+N846*Rubric!$C$7)/5),1)</f>
        <v>72</v>
      </c>
      <c r="U846" s="8" t="str">
        <f aca="false">LOOKUP(T846,Bands!$A$2:$A$6,Bands!$B$2:$B$6)</f>
        <v>Meets Expectations</v>
      </c>
      <c r="V846" s="8" t="n">
        <f aca="false">IF(Q846="","",ROUND((Q846-B846)*24,1))</f>
        <v>0</v>
      </c>
    </row>
    <row r="847" customFormat="false" ht="15" hidden="false" customHeight="false" outlineLevel="0" collapsed="false">
      <c r="A847" s="3" t="s">
        <v>1828</v>
      </c>
      <c r="B847" s="5" t="n">
        <v>46211.66875</v>
      </c>
      <c r="C847" s="3" t="s">
        <v>30</v>
      </c>
      <c r="D847" s="3" t="s">
        <v>81</v>
      </c>
      <c r="E847" s="3" t="s">
        <v>82</v>
      </c>
      <c r="F847" s="3" t="s">
        <v>65</v>
      </c>
      <c r="G847" s="3" t="s">
        <v>54</v>
      </c>
      <c r="H847" s="3" t="s">
        <v>1829</v>
      </c>
      <c r="I847" s="3" t="n">
        <v>4</v>
      </c>
      <c r="J847" s="3" t="n">
        <v>3</v>
      </c>
      <c r="K847" s="3" t="n">
        <v>4</v>
      </c>
      <c r="L847" s="3" t="n">
        <v>4</v>
      </c>
      <c r="M847" s="3" t="n">
        <v>4</v>
      </c>
      <c r="N847" s="3" t="n">
        <v>4</v>
      </c>
      <c r="O847" s="6" t="b">
        <f aca="false">FALSE()</f>
        <v>0</v>
      </c>
      <c r="P847" s="3"/>
      <c r="Q847" s="5" t="n">
        <v>46211.6701388889</v>
      </c>
      <c r="R847" s="5" t="n">
        <v>46212.2666666667</v>
      </c>
      <c r="S847" s="3" t="s">
        <v>1699</v>
      </c>
      <c r="T847" s="7" t="n">
        <f aca="false">ROUND(MIN(IF(OR(O847=TRUE(),O847="TRUE",O847="Yes"),59,100),(I847*Rubric!$C$2+J847*Rubric!$C$3+K847*Rubric!$C$4+L847*Rubric!$C$5+M847*Rubric!$C$6+N847*Rubric!$C$7)/5),1)</f>
        <v>75</v>
      </c>
      <c r="U847" s="8" t="str">
        <f aca="false">LOOKUP(T847,Bands!$A$2:$A$6,Bands!$B$2:$B$6)</f>
        <v>Meets Expectations</v>
      </c>
      <c r="V847" s="8" t="n">
        <f aca="false">IF(Q847="","",ROUND((Q847-B847)*24,1))</f>
        <v>0</v>
      </c>
    </row>
    <row r="848" customFormat="false" ht="15" hidden="false" customHeight="false" outlineLevel="0" collapsed="false">
      <c r="A848" s="3" t="s">
        <v>1830</v>
      </c>
      <c r="B848" s="5" t="n">
        <v>46211.43125</v>
      </c>
      <c r="C848" s="3" t="s">
        <v>68</v>
      </c>
      <c r="D848" s="3" t="s">
        <v>151</v>
      </c>
      <c r="E848" s="3" t="s">
        <v>152</v>
      </c>
      <c r="F848" s="3" t="s">
        <v>33</v>
      </c>
      <c r="G848" s="3" t="s">
        <v>54</v>
      </c>
      <c r="H848" s="3" t="s">
        <v>1831</v>
      </c>
      <c r="I848" s="3" t="n">
        <v>4</v>
      </c>
      <c r="J848" s="3" t="n">
        <v>3</v>
      </c>
      <c r="K848" s="3" t="n">
        <v>4</v>
      </c>
      <c r="L848" s="3" t="n">
        <v>4</v>
      </c>
      <c r="M848" s="3" t="n">
        <v>4</v>
      </c>
      <c r="N848" s="3" t="n">
        <v>5</v>
      </c>
      <c r="O848" s="6" t="b">
        <f aca="false">FALSE()</f>
        <v>0</v>
      </c>
      <c r="P848" s="3"/>
      <c r="Q848" s="5" t="n">
        <v>46211.4319444444</v>
      </c>
      <c r="R848" s="5" t="n">
        <v>46211.4361111111</v>
      </c>
      <c r="S848" s="3" t="s">
        <v>1699</v>
      </c>
      <c r="T848" s="7" t="n">
        <f aca="false">ROUND(MIN(IF(OR(O848=TRUE(),O848="TRUE",O848="Yes"),59,100),(I848*Rubric!$C$2+J848*Rubric!$C$3+K848*Rubric!$C$4+L848*Rubric!$C$5+M848*Rubric!$C$6+N848*Rubric!$C$7)/5),1)</f>
        <v>78</v>
      </c>
      <c r="U848" s="8" t="str">
        <f aca="false">LOOKUP(T848,Bands!$A$2:$A$6,Bands!$B$2:$B$6)</f>
        <v>Meets Expectations</v>
      </c>
      <c r="V848" s="8" t="n">
        <f aca="false">IF(Q848="","",ROUND((Q848-B848)*24,1))</f>
        <v>0</v>
      </c>
    </row>
    <row r="849" customFormat="false" ht="15" hidden="false" customHeight="false" outlineLevel="0" collapsed="false">
      <c r="A849" s="3" t="s">
        <v>1832</v>
      </c>
      <c r="B849" s="5" t="n">
        <v>46211.6548611111</v>
      </c>
      <c r="C849" s="3" t="s">
        <v>39</v>
      </c>
      <c r="D849" s="3" t="s">
        <v>293</v>
      </c>
      <c r="E849" s="3" t="s">
        <v>294</v>
      </c>
      <c r="F849" s="3" t="s">
        <v>65</v>
      </c>
      <c r="G849" s="3" t="s">
        <v>54</v>
      </c>
      <c r="H849" s="3" t="s">
        <v>1833</v>
      </c>
      <c r="I849" s="3" t="n">
        <v>5</v>
      </c>
      <c r="J849" s="3" t="n">
        <v>4</v>
      </c>
      <c r="K849" s="3" t="n">
        <v>4</v>
      </c>
      <c r="L849" s="3" t="n">
        <v>4</v>
      </c>
      <c r="M849" s="3" t="n">
        <v>4</v>
      </c>
      <c r="N849" s="3" t="n">
        <v>5</v>
      </c>
      <c r="O849" s="6" t="b">
        <f aca="false">FALSE()</f>
        <v>0</v>
      </c>
      <c r="P849" s="3"/>
      <c r="Q849" s="5" t="n">
        <v>46211.6569444445</v>
      </c>
      <c r="R849" s="5" t="n">
        <v>46212.0145833333</v>
      </c>
      <c r="S849" s="3" t="s">
        <v>1699</v>
      </c>
      <c r="T849" s="7" t="n">
        <f aca="false">ROUND(MIN(IF(OR(O849=TRUE(),O849="TRUE",O849="Yes"),59,100),(I849*Rubric!$C$2+J849*Rubric!$C$3+K849*Rubric!$C$4+L849*Rubric!$C$5+M849*Rubric!$C$6+N849*Rubric!$C$7)/5),1)</f>
        <v>86</v>
      </c>
      <c r="U849" s="8" t="str">
        <f aca="false">LOOKUP(T849,Bands!$A$2:$A$6,Bands!$B$2:$B$6)</f>
        <v>Solid Performance</v>
      </c>
      <c r="V849" s="8" t="n">
        <f aca="false">IF(Q849="","",ROUND((Q849-B849)*24,1))</f>
        <v>0.1</v>
      </c>
    </row>
    <row r="850" customFormat="false" ht="15" hidden="false" customHeight="false" outlineLevel="0" collapsed="false">
      <c r="A850" s="3" t="s">
        <v>1834</v>
      </c>
      <c r="B850" s="5" t="n">
        <v>46211.45</v>
      </c>
      <c r="C850" s="3" t="s">
        <v>39</v>
      </c>
      <c r="D850" s="3" t="s">
        <v>125</v>
      </c>
      <c r="E850" s="3" t="s">
        <v>126</v>
      </c>
      <c r="F850" s="3" t="s">
        <v>53</v>
      </c>
      <c r="G850" s="3" t="s">
        <v>54</v>
      </c>
      <c r="H850" s="3" t="s">
        <v>1835</v>
      </c>
      <c r="I850" s="3" t="n">
        <v>5</v>
      </c>
      <c r="J850" s="3" t="n">
        <v>4</v>
      </c>
      <c r="K850" s="3" t="n">
        <v>4</v>
      </c>
      <c r="L850" s="3" t="n">
        <v>2</v>
      </c>
      <c r="M850" s="3" t="n">
        <v>4</v>
      </c>
      <c r="N850" s="3" t="n">
        <v>5</v>
      </c>
      <c r="O850" s="6" t="b">
        <f aca="false">FALSE()</f>
        <v>0</v>
      </c>
      <c r="P850" s="3" t="s">
        <v>44</v>
      </c>
      <c r="Q850" s="5" t="n">
        <v>46211.4513888889</v>
      </c>
      <c r="R850" s="5" t="n">
        <v>46211.5125</v>
      </c>
      <c r="S850" s="3" t="s">
        <v>1699</v>
      </c>
      <c r="T850" s="7" t="n">
        <f aca="false">ROUND(MIN(IF(OR(O850=TRUE(),O850="TRUE",O850="Yes"),59,100),(I850*Rubric!$C$2+J850*Rubric!$C$3+K850*Rubric!$C$4+L850*Rubric!$C$5+M850*Rubric!$C$6+N850*Rubric!$C$7)/5),1)</f>
        <v>80</v>
      </c>
      <c r="U850" s="8" t="str">
        <f aca="false">LOOKUP(T850,Bands!$A$2:$A$6,Bands!$B$2:$B$6)</f>
        <v>Solid Performance</v>
      </c>
      <c r="V850" s="8" t="n">
        <f aca="false">IF(Q850="","",ROUND((Q850-B850)*24,1))</f>
        <v>0</v>
      </c>
    </row>
    <row r="851" customFormat="false" ht="15" hidden="false" customHeight="false" outlineLevel="0" collapsed="false">
      <c r="A851" s="3" t="s">
        <v>1836</v>
      </c>
      <c r="B851" s="5" t="n">
        <v>46211.6333333333</v>
      </c>
      <c r="C851" s="3" t="s">
        <v>30</v>
      </c>
      <c r="D851" s="3" t="s">
        <v>307</v>
      </c>
      <c r="E851" s="3" t="s">
        <v>308</v>
      </c>
      <c r="F851" s="3" t="s">
        <v>33</v>
      </c>
      <c r="G851" s="3" t="s">
        <v>54</v>
      </c>
      <c r="H851" s="3" t="s">
        <v>1837</v>
      </c>
      <c r="I851" s="3" t="n">
        <v>5</v>
      </c>
      <c r="J851" s="3" t="n">
        <v>3</v>
      </c>
      <c r="K851" s="3" t="n">
        <v>5</v>
      </c>
      <c r="L851" s="3" t="n">
        <v>5</v>
      </c>
      <c r="M851" s="3" t="n">
        <v>4</v>
      </c>
      <c r="N851" s="3" t="n">
        <v>5</v>
      </c>
      <c r="O851" s="6" t="b">
        <f aca="false">FALSE()</f>
        <v>0</v>
      </c>
      <c r="P851" s="3"/>
      <c r="Q851" s="5" t="n">
        <v>46211.6340277778</v>
      </c>
      <c r="R851" s="5" t="n">
        <v>46211.8215277778</v>
      </c>
      <c r="S851" s="3" t="s">
        <v>1699</v>
      </c>
      <c r="T851" s="7" t="n">
        <f aca="false">ROUND(MIN(IF(OR(O851=TRUE(),O851="TRUE",O851="Yes"),59,100),(I851*Rubric!$C$2+J851*Rubric!$C$3+K851*Rubric!$C$4+L851*Rubric!$C$5+M851*Rubric!$C$6+N851*Rubric!$C$7)/5),1)</f>
        <v>88</v>
      </c>
      <c r="U851" s="8" t="str">
        <f aca="false">LOOKUP(T851,Bands!$A$2:$A$6,Bands!$B$2:$B$6)</f>
        <v>Solid Performance</v>
      </c>
      <c r="V851" s="8" t="n">
        <f aca="false">IF(Q851="","",ROUND((Q851-B851)*24,1))</f>
        <v>0</v>
      </c>
    </row>
    <row r="852" customFormat="false" ht="15" hidden="false" customHeight="false" outlineLevel="0" collapsed="false">
      <c r="A852" s="3" t="s">
        <v>1838</v>
      </c>
      <c r="B852" s="5" t="n">
        <v>46211.6347222222</v>
      </c>
      <c r="C852" s="3" t="s">
        <v>68</v>
      </c>
      <c r="D852" s="3" t="s">
        <v>85</v>
      </c>
      <c r="E852" s="3" t="s">
        <v>86</v>
      </c>
      <c r="F852" s="3" t="s">
        <v>33</v>
      </c>
      <c r="G852" s="3" t="s">
        <v>42</v>
      </c>
      <c r="H852" s="3" t="s">
        <v>1839</v>
      </c>
      <c r="I852" s="3" t="n">
        <v>4</v>
      </c>
      <c r="J852" s="3" t="n">
        <v>4</v>
      </c>
      <c r="K852" s="3" t="n">
        <v>3</v>
      </c>
      <c r="L852" s="3" t="n">
        <v>5</v>
      </c>
      <c r="M852" s="3" t="n">
        <v>5</v>
      </c>
      <c r="N852" s="3" t="n">
        <v>3</v>
      </c>
      <c r="O852" s="6" t="b">
        <f aca="false">FALSE()</f>
        <v>0</v>
      </c>
      <c r="P852" s="3"/>
      <c r="Q852" s="5" t="n">
        <v>46211.6361111111</v>
      </c>
      <c r="R852" s="5" t="n">
        <v>46211.7659722222</v>
      </c>
      <c r="S852" s="3" t="s">
        <v>1699</v>
      </c>
      <c r="T852" s="7" t="n">
        <f aca="false">ROUND(MIN(IF(OR(O852=TRUE(),O852="TRUE",O852="Yes"),59,100),(I852*Rubric!$C$2+J852*Rubric!$C$3+K852*Rubric!$C$4+L852*Rubric!$C$5+M852*Rubric!$C$6+N852*Rubric!$C$7)/5),1)</f>
        <v>78</v>
      </c>
      <c r="U852" s="8" t="str">
        <f aca="false">LOOKUP(T852,Bands!$A$2:$A$6,Bands!$B$2:$B$6)</f>
        <v>Meets Expectations</v>
      </c>
      <c r="V852" s="8" t="n">
        <f aca="false">IF(Q852="","",ROUND((Q852-B852)*24,1))</f>
        <v>0</v>
      </c>
    </row>
    <row r="853" customFormat="false" ht="15" hidden="false" customHeight="false" outlineLevel="0" collapsed="false">
      <c r="A853" s="3" t="s">
        <v>1840</v>
      </c>
      <c r="B853" s="5" t="n">
        <v>46211.6395833333</v>
      </c>
      <c r="C853" s="3" t="s">
        <v>68</v>
      </c>
      <c r="D853" s="3" t="s">
        <v>212</v>
      </c>
      <c r="E853" s="3" t="s">
        <v>213</v>
      </c>
      <c r="F853" s="3" t="s">
        <v>33</v>
      </c>
      <c r="G853" s="3" t="s">
        <v>54</v>
      </c>
      <c r="H853" s="3" t="s">
        <v>1841</v>
      </c>
      <c r="I853" s="3" t="n">
        <v>4</v>
      </c>
      <c r="J853" s="3" t="n">
        <v>3</v>
      </c>
      <c r="K853" s="3" t="n">
        <v>3</v>
      </c>
      <c r="L853" s="3" t="n">
        <v>4</v>
      </c>
      <c r="M853" s="3" t="n">
        <v>4</v>
      </c>
      <c r="N853" s="3" t="n">
        <v>4</v>
      </c>
      <c r="O853" s="6" t="b">
        <f aca="false">FALSE()</f>
        <v>0</v>
      </c>
      <c r="P853" s="3"/>
      <c r="Q853" s="5" t="n">
        <v>46211.6402777778</v>
      </c>
      <c r="R853" s="5" t="n">
        <v>46211.7201388889</v>
      </c>
      <c r="S853" s="3" t="s">
        <v>1699</v>
      </c>
      <c r="T853" s="7" t="n">
        <f aca="false">ROUND(MIN(IF(OR(O853=TRUE(),O853="TRUE",O853="Yes"),59,100),(I853*Rubric!$C$2+J853*Rubric!$C$3+K853*Rubric!$C$4+L853*Rubric!$C$5+M853*Rubric!$C$6+N853*Rubric!$C$7)/5),1)</f>
        <v>71</v>
      </c>
      <c r="U853" s="8" t="str">
        <f aca="false">LOOKUP(T853,Bands!$A$2:$A$6,Bands!$B$2:$B$6)</f>
        <v>Meets Expectations</v>
      </c>
      <c r="V853" s="8" t="n">
        <f aca="false">IF(Q853="","",ROUND((Q853-B853)*24,1))</f>
        <v>0</v>
      </c>
    </row>
    <row r="854" customFormat="false" ht="15" hidden="false" customHeight="false" outlineLevel="0" collapsed="false">
      <c r="A854" s="3" t="s">
        <v>1842</v>
      </c>
      <c r="B854" s="5" t="n">
        <v>46212.4430555556</v>
      </c>
      <c r="C854" s="3" t="s">
        <v>39</v>
      </c>
      <c r="D854" s="3" t="s">
        <v>51</v>
      </c>
      <c r="E854" s="3" t="s">
        <v>52</v>
      </c>
      <c r="F854" s="3" t="s">
        <v>53</v>
      </c>
      <c r="G854" s="3" t="s">
        <v>54</v>
      </c>
      <c r="H854" s="3" t="s">
        <v>1843</v>
      </c>
      <c r="I854" s="3" t="n">
        <v>5</v>
      </c>
      <c r="J854" s="3" t="n">
        <v>2</v>
      </c>
      <c r="K854" s="3" t="n">
        <v>3</v>
      </c>
      <c r="L854" s="3" t="n">
        <v>5</v>
      </c>
      <c r="M854" s="3" t="n">
        <v>4</v>
      </c>
      <c r="N854" s="3" t="n">
        <v>4</v>
      </c>
      <c r="O854" s="6" t="b">
        <f aca="false">FALSE()</f>
        <v>0</v>
      </c>
      <c r="P854" s="3" t="s">
        <v>56</v>
      </c>
      <c r="Q854" s="5" t="n">
        <v>46212.4451388889</v>
      </c>
      <c r="R854" s="5" t="n">
        <v>46212.4645833333</v>
      </c>
      <c r="S854" s="3" t="s">
        <v>1699</v>
      </c>
      <c r="T854" s="7" t="n">
        <f aca="false">ROUND(MIN(IF(OR(O854=TRUE(),O854="TRUE",O854="Yes"),59,100),(I854*Rubric!$C$2+J854*Rubric!$C$3+K854*Rubric!$C$4+L854*Rubric!$C$5+M854*Rubric!$C$6+N854*Rubric!$C$7)/5),1)</f>
        <v>72</v>
      </c>
      <c r="U854" s="8" t="str">
        <f aca="false">LOOKUP(T854,Bands!$A$2:$A$6,Bands!$B$2:$B$6)</f>
        <v>Meets Expectations</v>
      </c>
      <c r="V854" s="8" t="n">
        <f aca="false">IF(Q854="","",ROUND((Q854-B854)*24,1))</f>
        <v>0</v>
      </c>
    </row>
    <row r="855" customFormat="false" ht="15" hidden="false" customHeight="false" outlineLevel="0" collapsed="false">
      <c r="A855" s="3" t="s">
        <v>1844</v>
      </c>
      <c r="B855" s="5" t="n">
        <v>46212.5458333333</v>
      </c>
      <c r="C855" s="3" t="s">
        <v>68</v>
      </c>
      <c r="D855" s="3" t="s">
        <v>90</v>
      </c>
      <c r="E855" s="3" t="s">
        <v>91</v>
      </c>
      <c r="F855" s="3" t="s">
        <v>65</v>
      </c>
      <c r="G855" s="3" t="s">
        <v>34</v>
      </c>
      <c r="H855" s="3" t="s">
        <v>1845</v>
      </c>
      <c r="I855" s="3" t="n">
        <v>4</v>
      </c>
      <c r="J855" s="3" t="n">
        <v>3</v>
      </c>
      <c r="K855" s="3" t="n">
        <v>4</v>
      </c>
      <c r="L855" s="3" t="n">
        <v>3</v>
      </c>
      <c r="M855" s="3" t="n">
        <v>4</v>
      </c>
      <c r="N855" s="3" t="n">
        <v>5</v>
      </c>
      <c r="O855" s="6" t="b">
        <f aca="false">FALSE()</f>
        <v>0</v>
      </c>
      <c r="P855" s="3"/>
      <c r="Q855" s="5" t="n">
        <v>46212.5479166667</v>
      </c>
      <c r="R855" s="5" t="n">
        <v>46212.8506944445</v>
      </c>
      <c r="S855" s="3" t="s">
        <v>1699</v>
      </c>
      <c r="T855" s="7" t="n">
        <f aca="false">ROUND(MIN(IF(OR(O855=TRUE(),O855="TRUE",O855="Yes"),59,100),(I855*Rubric!$C$2+J855*Rubric!$C$3+K855*Rubric!$C$4+L855*Rubric!$C$5+M855*Rubric!$C$6+N855*Rubric!$C$7)/5),1)</f>
        <v>75</v>
      </c>
      <c r="U855" s="8" t="str">
        <f aca="false">LOOKUP(T855,Bands!$A$2:$A$6,Bands!$B$2:$B$6)</f>
        <v>Meets Expectations</v>
      </c>
      <c r="V855" s="8" t="n">
        <f aca="false">IF(Q855="","",ROUND((Q855-B855)*24,1))</f>
        <v>0.1</v>
      </c>
    </row>
    <row r="856" customFormat="false" ht="15" hidden="false" customHeight="false" outlineLevel="0" collapsed="false">
      <c r="A856" s="3" t="s">
        <v>1846</v>
      </c>
      <c r="B856" s="5" t="n">
        <v>46212.69375</v>
      </c>
      <c r="C856" s="3" t="s">
        <v>68</v>
      </c>
      <c r="D856" s="3" t="s">
        <v>238</v>
      </c>
      <c r="E856" s="3" t="s">
        <v>239</v>
      </c>
      <c r="F856" s="3" t="s">
        <v>33</v>
      </c>
      <c r="G856" s="3" t="s">
        <v>42</v>
      </c>
      <c r="H856" s="3" t="s">
        <v>1847</v>
      </c>
      <c r="I856" s="3" t="n">
        <v>4</v>
      </c>
      <c r="J856" s="3" t="n">
        <v>5</v>
      </c>
      <c r="K856" s="3" t="n">
        <v>4</v>
      </c>
      <c r="L856" s="3" t="n">
        <v>5</v>
      </c>
      <c r="M856" s="3" t="n">
        <v>3</v>
      </c>
      <c r="N856" s="3" t="n">
        <v>4</v>
      </c>
      <c r="O856" s="6" t="b">
        <f aca="false">FALSE()</f>
        <v>0</v>
      </c>
      <c r="P856" s="3"/>
      <c r="Q856" s="5" t="n">
        <v>46212.6951388889</v>
      </c>
      <c r="R856" s="5" t="n">
        <v>46212.8090277778</v>
      </c>
      <c r="S856" s="3" t="s">
        <v>1699</v>
      </c>
      <c r="T856" s="7" t="n">
        <f aca="false">ROUND(MIN(IF(OR(O856=TRUE(),O856="TRUE",O856="Yes"),59,100),(I856*Rubric!$C$2+J856*Rubric!$C$3+K856*Rubric!$C$4+L856*Rubric!$C$5+M856*Rubric!$C$6+N856*Rubric!$C$7)/5),1)</f>
        <v>86</v>
      </c>
      <c r="U856" s="8" t="str">
        <f aca="false">LOOKUP(T856,Bands!$A$2:$A$6,Bands!$B$2:$B$6)</f>
        <v>Solid Performance</v>
      </c>
      <c r="V856" s="8" t="n">
        <f aca="false">IF(Q856="","",ROUND((Q856-B856)*24,1))</f>
        <v>0</v>
      </c>
    </row>
    <row r="857" customFormat="false" ht="15" hidden="false" customHeight="false" outlineLevel="0" collapsed="false">
      <c r="A857" s="3" t="s">
        <v>1848</v>
      </c>
      <c r="B857" s="5" t="n">
        <v>46212.5527777778</v>
      </c>
      <c r="C857" s="3" t="s">
        <v>39</v>
      </c>
      <c r="D857" s="3" t="s">
        <v>125</v>
      </c>
      <c r="E857" s="3" t="s">
        <v>126</v>
      </c>
      <c r="F857" s="3" t="s">
        <v>53</v>
      </c>
      <c r="G857" s="3" t="s">
        <v>42</v>
      </c>
      <c r="H857" s="3" t="s">
        <v>1849</v>
      </c>
      <c r="I857" s="3" t="n">
        <v>3</v>
      </c>
      <c r="J857" s="3" t="n">
        <v>4</v>
      </c>
      <c r="K857" s="3" t="n">
        <v>4</v>
      </c>
      <c r="L857" s="3" t="n">
        <v>3</v>
      </c>
      <c r="M857" s="3" t="n">
        <v>4</v>
      </c>
      <c r="N857" s="3" t="n">
        <v>4</v>
      </c>
      <c r="O857" s="6" t="b">
        <f aca="false">FALSE()</f>
        <v>0</v>
      </c>
      <c r="P857" s="3"/>
      <c r="Q857" s="5" t="n">
        <v>46212.5541666667</v>
      </c>
      <c r="R857" s="5" t="n">
        <v>46212.9513888889</v>
      </c>
      <c r="S857" s="3" t="s">
        <v>1699</v>
      </c>
      <c r="T857" s="7" t="n">
        <f aca="false">ROUND(MIN(IF(OR(O857=TRUE(),O857="TRUE",O857="Yes"),59,100),(I857*Rubric!$C$2+J857*Rubric!$C$3+K857*Rubric!$C$4+L857*Rubric!$C$5+M857*Rubric!$C$6+N857*Rubric!$C$7)/5),1)</f>
        <v>74</v>
      </c>
      <c r="U857" s="8" t="str">
        <f aca="false">LOOKUP(T857,Bands!$A$2:$A$6,Bands!$B$2:$B$6)</f>
        <v>Meets Expectations</v>
      </c>
      <c r="V857" s="8" t="n">
        <f aca="false">IF(Q857="","",ROUND((Q857-B857)*24,1))</f>
        <v>0</v>
      </c>
    </row>
    <row r="858" customFormat="false" ht="15" hidden="false" customHeight="false" outlineLevel="0" collapsed="false">
      <c r="A858" s="3" t="s">
        <v>1850</v>
      </c>
      <c r="B858" s="5" t="n">
        <v>46212.4923611111</v>
      </c>
      <c r="C858" s="3" t="s">
        <v>30</v>
      </c>
      <c r="D858" s="3" t="s">
        <v>137</v>
      </c>
      <c r="E858" s="3" t="s">
        <v>138</v>
      </c>
      <c r="F858" s="3" t="s">
        <v>65</v>
      </c>
      <c r="G858" s="3" t="s">
        <v>42</v>
      </c>
      <c r="H858" s="3" t="s">
        <v>1851</v>
      </c>
      <c r="I858" s="3" t="n">
        <v>4</v>
      </c>
      <c r="J858" s="3" t="n">
        <v>5</v>
      </c>
      <c r="K858" s="3" t="n">
        <v>4</v>
      </c>
      <c r="L858" s="3" t="n">
        <v>4</v>
      </c>
      <c r="M858" s="3" t="n">
        <v>5</v>
      </c>
      <c r="N858" s="3" t="n">
        <v>4</v>
      </c>
      <c r="O858" s="6" t="b">
        <f aca="false">FALSE()</f>
        <v>0</v>
      </c>
      <c r="P858" s="3"/>
      <c r="Q858" s="5" t="n">
        <v>46212.4944444444</v>
      </c>
      <c r="R858" s="5" t="n">
        <v>46212.5277777778</v>
      </c>
      <c r="S858" s="3" t="s">
        <v>1699</v>
      </c>
      <c r="T858" s="7" t="n">
        <f aca="false">ROUND(MIN(IF(OR(O858=TRUE(),O858="TRUE",O858="Yes"),59,100),(I858*Rubric!$C$2+J858*Rubric!$C$3+K858*Rubric!$C$4+L858*Rubric!$C$5+M858*Rubric!$C$6+N858*Rubric!$C$7)/5),1)</f>
        <v>87</v>
      </c>
      <c r="U858" s="8" t="str">
        <f aca="false">LOOKUP(T858,Bands!$A$2:$A$6,Bands!$B$2:$B$6)</f>
        <v>Solid Performance</v>
      </c>
      <c r="V858" s="8" t="n">
        <f aca="false">IF(Q858="","",ROUND((Q858-B858)*24,1))</f>
        <v>0</v>
      </c>
    </row>
    <row r="859" customFormat="false" ht="15" hidden="false" customHeight="false" outlineLevel="0" collapsed="false">
      <c r="A859" s="3" t="s">
        <v>1852</v>
      </c>
      <c r="B859" s="5" t="n">
        <v>46212.4368055556</v>
      </c>
      <c r="C859" s="3" t="s">
        <v>30</v>
      </c>
      <c r="D859" s="3" t="s">
        <v>265</v>
      </c>
      <c r="E859" s="3" t="s">
        <v>266</v>
      </c>
      <c r="F859" s="3" t="s">
        <v>33</v>
      </c>
      <c r="G859" s="3" t="s">
        <v>54</v>
      </c>
      <c r="H859" s="3" t="s">
        <v>1853</v>
      </c>
      <c r="I859" s="3" t="n">
        <v>2</v>
      </c>
      <c r="J859" s="3" t="n">
        <v>4</v>
      </c>
      <c r="K859" s="3" t="n">
        <v>4</v>
      </c>
      <c r="L859" s="3" t="n">
        <v>3</v>
      </c>
      <c r="M859" s="3" t="n">
        <v>4</v>
      </c>
      <c r="N859" s="3" t="n">
        <v>4</v>
      </c>
      <c r="O859" s="6" t="b">
        <f aca="false">FALSE()</f>
        <v>0</v>
      </c>
      <c r="P859" s="3" t="s">
        <v>88</v>
      </c>
      <c r="Q859" s="5" t="n">
        <v>46212.4381944445</v>
      </c>
      <c r="R859" s="5" t="n">
        <v>46212.6305555556</v>
      </c>
      <c r="S859" s="3" t="s">
        <v>1699</v>
      </c>
      <c r="T859" s="7" t="n">
        <f aca="false">ROUND(MIN(IF(OR(O859=TRUE(),O859="TRUE",O859="Yes"),59,100),(I859*Rubric!$C$2+J859*Rubric!$C$3+K859*Rubric!$C$4+L859*Rubric!$C$5+M859*Rubric!$C$6+N859*Rubric!$C$7)/5),1)</f>
        <v>71</v>
      </c>
      <c r="U859" s="8" t="str">
        <f aca="false">LOOKUP(T859,Bands!$A$2:$A$6,Bands!$B$2:$B$6)</f>
        <v>Meets Expectations</v>
      </c>
      <c r="V859" s="8" t="n">
        <f aca="false">IF(Q859="","",ROUND((Q859-B859)*24,1))</f>
        <v>0</v>
      </c>
    </row>
    <row r="860" customFormat="false" ht="15" hidden="false" customHeight="false" outlineLevel="0" collapsed="false">
      <c r="A860" s="3" t="s">
        <v>1854</v>
      </c>
      <c r="B860" s="5" t="n">
        <v>46212.5916666667</v>
      </c>
      <c r="C860" s="3" t="s">
        <v>30</v>
      </c>
      <c r="D860" s="3" t="s">
        <v>58</v>
      </c>
      <c r="E860" s="3" t="s">
        <v>59</v>
      </c>
      <c r="F860" s="3" t="s">
        <v>53</v>
      </c>
      <c r="G860" s="3" t="s">
        <v>54</v>
      </c>
      <c r="H860" s="3" t="s">
        <v>1855</v>
      </c>
      <c r="I860" s="3" t="n">
        <v>3</v>
      </c>
      <c r="J860" s="3" t="n">
        <v>3</v>
      </c>
      <c r="K860" s="3" t="n">
        <v>2</v>
      </c>
      <c r="L860" s="3" t="n">
        <v>3</v>
      </c>
      <c r="M860" s="3" t="n">
        <v>3</v>
      </c>
      <c r="N860" s="3" t="n">
        <v>3</v>
      </c>
      <c r="O860" s="6" t="b">
        <f aca="false">FALSE()</f>
        <v>0</v>
      </c>
      <c r="P860" s="3" t="s">
        <v>49</v>
      </c>
      <c r="Q860" s="5" t="n">
        <v>46212.5923611111</v>
      </c>
      <c r="R860" s="5" t="n">
        <v>46212.7458333333</v>
      </c>
      <c r="S860" s="3" t="s">
        <v>1699</v>
      </c>
      <c r="T860" s="7" t="n">
        <f aca="false">ROUND(MIN(IF(OR(O860=TRUE(),O860="TRUE",O860="Yes"),59,100),(I860*Rubric!$C$2+J860*Rubric!$C$3+K860*Rubric!$C$4+L860*Rubric!$C$5+M860*Rubric!$C$6+N860*Rubric!$C$7)/5),1)</f>
        <v>56</v>
      </c>
      <c r="U860" s="8" t="str">
        <f aca="false">LOOKUP(T860,Bands!$A$2:$A$6,Bands!$B$2:$B$6)</f>
        <v>Critical</v>
      </c>
      <c r="V860" s="8" t="n">
        <f aca="false">IF(Q860="","",ROUND((Q860-B860)*24,1))</f>
        <v>0</v>
      </c>
    </row>
    <row r="861" customFormat="false" ht="15" hidden="false" customHeight="false" outlineLevel="0" collapsed="false">
      <c r="A861" s="3" t="s">
        <v>1856</v>
      </c>
      <c r="B861" s="5" t="n">
        <v>46212.3923611111</v>
      </c>
      <c r="C861" s="3" t="s">
        <v>68</v>
      </c>
      <c r="D861" s="3" t="s">
        <v>212</v>
      </c>
      <c r="E861" s="3" t="s">
        <v>213</v>
      </c>
      <c r="F861" s="3" t="s">
        <v>33</v>
      </c>
      <c r="G861" s="3" t="s">
        <v>42</v>
      </c>
      <c r="H861" s="3" t="s">
        <v>1857</v>
      </c>
      <c r="I861" s="3" t="n">
        <v>4</v>
      </c>
      <c r="J861" s="3" t="n">
        <v>5</v>
      </c>
      <c r="K861" s="3" t="n">
        <v>3</v>
      </c>
      <c r="L861" s="3" t="n">
        <v>4</v>
      </c>
      <c r="M861" s="3" t="n">
        <v>5</v>
      </c>
      <c r="N861" s="3" t="n">
        <v>4</v>
      </c>
      <c r="O861" s="6" t="b">
        <f aca="false">FALSE()</f>
        <v>0</v>
      </c>
      <c r="P861" s="3"/>
      <c r="Q861" s="5" t="n">
        <v>46212.3930555556</v>
      </c>
      <c r="R861" s="5" t="n">
        <v>46212.6402777778</v>
      </c>
      <c r="S861" s="3" t="s">
        <v>1699</v>
      </c>
      <c r="T861" s="7" t="n">
        <f aca="false">ROUND(MIN(IF(OR(O861=TRUE(),O861="TRUE",O861="Yes"),59,100),(I861*Rubric!$C$2+J861*Rubric!$C$3+K861*Rubric!$C$4+L861*Rubric!$C$5+M861*Rubric!$C$6+N861*Rubric!$C$7)/5),1)</f>
        <v>83</v>
      </c>
      <c r="U861" s="8" t="str">
        <f aca="false">LOOKUP(T861,Bands!$A$2:$A$6,Bands!$B$2:$B$6)</f>
        <v>Solid Performance</v>
      </c>
      <c r="V861" s="8" t="n">
        <f aca="false">IF(Q861="","",ROUND((Q861-B861)*24,1))</f>
        <v>0</v>
      </c>
    </row>
    <row r="862" customFormat="false" ht="15" hidden="false" customHeight="false" outlineLevel="0" collapsed="false">
      <c r="A862" s="3" t="s">
        <v>1858</v>
      </c>
      <c r="B862" s="5" t="n">
        <v>46212.6548611111</v>
      </c>
      <c r="C862" s="3" t="s">
        <v>68</v>
      </c>
      <c r="D862" s="3" t="s">
        <v>77</v>
      </c>
      <c r="E862" s="3" t="s">
        <v>78</v>
      </c>
      <c r="F862" s="3" t="s">
        <v>33</v>
      </c>
      <c r="G862" s="3" t="s">
        <v>54</v>
      </c>
      <c r="H862" s="3" t="s">
        <v>1859</v>
      </c>
      <c r="I862" s="3" t="n">
        <v>5</v>
      </c>
      <c r="J862" s="3" t="n">
        <v>5</v>
      </c>
      <c r="K862" s="3" t="n">
        <v>4</v>
      </c>
      <c r="L862" s="3" t="n">
        <v>5</v>
      </c>
      <c r="M862" s="3" t="n">
        <v>5</v>
      </c>
      <c r="N862" s="3" t="n">
        <v>5</v>
      </c>
      <c r="O862" s="6" t="b">
        <f aca="false">FALSE()</f>
        <v>0</v>
      </c>
      <c r="P862" s="3"/>
      <c r="Q862" s="5" t="n">
        <v>46212.6555555556</v>
      </c>
      <c r="R862" s="5" t="n">
        <v>46212.9722222222</v>
      </c>
      <c r="S862" s="3" t="s">
        <v>1699</v>
      </c>
      <c r="T862" s="7" t="n">
        <f aca="false">ROUND(MIN(IF(OR(O862=TRUE(),O862="TRUE",O862="Yes"),59,100),(I862*Rubric!$C$2+J862*Rubric!$C$3+K862*Rubric!$C$4+L862*Rubric!$C$5+M862*Rubric!$C$6+N862*Rubric!$C$7)/5),1)</f>
        <v>96</v>
      </c>
      <c r="U862" s="8" t="str">
        <f aca="false">LOOKUP(T862,Bands!$A$2:$A$6,Bands!$B$2:$B$6)</f>
        <v>Outstanding</v>
      </c>
      <c r="V862" s="8" t="n">
        <f aca="false">IF(Q862="","",ROUND((Q862-B862)*24,1))</f>
        <v>0</v>
      </c>
    </row>
    <row r="863" customFormat="false" ht="15" hidden="false" customHeight="false" outlineLevel="0" collapsed="false">
      <c r="A863" s="3" t="s">
        <v>1860</v>
      </c>
      <c r="B863" s="5" t="n">
        <v>46212.6958333333</v>
      </c>
      <c r="C863" s="3" t="s">
        <v>30</v>
      </c>
      <c r="D863" s="3" t="s">
        <v>198</v>
      </c>
      <c r="E863" s="3" t="s">
        <v>199</v>
      </c>
      <c r="F863" s="3" t="s">
        <v>33</v>
      </c>
      <c r="G863" s="3" t="s">
        <v>42</v>
      </c>
      <c r="H863" s="3" t="s">
        <v>1861</v>
      </c>
      <c r="I863" s="3" t="n">
        <v>3</v>
      </c>
      <c r="J863" s="3" t="n">
        <v>3</v>
      </c>
      <c r="K863" s="3" t="n">
        <v>5</v>
      </c>
      <c r="L863" s="3" t="n">
        <v>3</v>
      </c>
      <c r="M863" s="3" t="n">
        <v>5</v>
      </c>
      <c r="N863" s="3" t="n">
        <v>3</v>
      </c>
      <c r="O863" s="6" t="b">
        <f aca="false">FALSE()</f>
        <v>0</v>
      </c>
      <c r="P863" s="3"/>
      <c r="Q863" s="5" t="n">
        <v>46212.6972222222</v>
      </c>
      <c r="R863" s="5" t="n">
        <v>46212.8180555556</v>
      </c>
      <c r="S863" s="3" t="s">
        <v>1699</v>
      </c>
      <c r="T863" s="7" t="n">
        <f aca="false">ROUND(MIN(IF(OR(O863=TRUE(),O863="TRUE",O863="Yes"),59,100),(I863*Rubric!$C$2+J863*Rubric!$C$3+K863*Rubric!$C$4+L863*Rubric!$C$5+M863*Rubric!$C$6+N863*Rubric!$C$7)/5),1)</f>
        <v>72</v>
      </c>
      <c r="U863" s="8" t="str">
        <f aca="false">LOOKUP(T863,Bands!$A$2:$A$6,Bands!$B$2:$B$6)</f>
        <v>Meets Expectations</v>
      </c>
      <c r="V863" s="8" t="n">
        <f aca="false">IF(Q863="","",ROUND((Q863-B863)*24,1))</f>
        <v>0</v>
      </c>
    </row>
    <row r="864" customFormat="false" ht="15" hidden="false" customHeight="false" outlineLevel="0" collapsed="false">
      <c r="A864" s="3" t="s">
        <v>1862</v>
      </c>
      <c r="B864" s="5" t="n">
        <v>46212.4381944445</v>
      </c>
      <c r="C864" s="3" t="s">
        <v>68</v>
      </c>
      <c r="D864" s="3" t="s">
        <v>73</v>
      </c>
      <c r="E864" s="3" t="s">
        <v>74</v>
      </c>
      <c r="F864" s="3" t="s">
        <v>33</v>
      </c>
      <c r="G864" s="3" t="s">
        <v>54</v>
      </c>
      <c r="H864" s="3" t="s">
        <v>1863</v>
      </c>
      <c r="I864" s="3" t="n">
        <v>4</v>
      </c>
      <c r="J864" s="3" t="n">
        <v>5</v>
      </c>
      <c r="K864" s="3" t="n">
        <v>4</v>
      </c>
      <c r="L864" s="3" t="n">
        <v>5</v>
      </c>
      <c r="M864" s="3" t="n">
        <v>5</v>
      </c>
      <c r="N864" s="3" t="n">
        <v>4</v>
      </c>
      <c r="O864" s="6" t="b">
        <f aca="false">FALSE()</f>
        <v>0</v>
      </c>
      <c r="P864" s="3"/>
      <c r="Q864" s="5" t="n">
        <v>46212.4388888889</v>
      </c>
      <c r="R864" s="5" t="n">
        <v>46212.4520833333</v>
      </c>
      <c r="S864" s="3" t="s">
        <v>1699</v>
      </c>
      <c r="T864" s="7" t="n">
        <f aca="false">ROUND(MIN(IF(OR(O864=TRUE(),O864="TRUE",O864="Yes"),59,100),(I864*Rubric!$C$2+J864*Rubric!$C$3+K864*Rubric!$C$4+L864*Rubric!$C$5+M864*Rubric!$C$6+N864*Rubric!$C$7)/5),1)</f>
        <v>90</v>
      </c>
      <c r="U864" s="8" t="str">
        <f aca="false">LOOKUP(T864,Bands!$A$2:$A$6,Bands!$B$2:$B$6)</f>
        <v>Outstanding</v>
      </c>
      <c r="V864" s="8" t="n">
        <f aca="false">IF(Q864="","",ROUND((Q864-B864)*24,1))</f>
        <v>0</v>
      </c>
    </row>
    <row r="865" customFormat="false" ht="15" hidden="false" customHeight="false" outlineLevel="0" collapsed="false">
      <c r="A865" s="3" t="s">
        <v>1864</v>
      </c>
      <c r="B865" s="5" t="n">
        <v>46212.6055555556</v>
      </c>
      <c r="C865" s="3" t="s">
        <v>30</v>
      </c>
      <c r="D865" s="3" t="s">
        <v>115</v>
      </c>
      <c r="E865" s="3" t="s">
        <v>116</v>
      </c>
      <c r="F865" s="3" t="s">
        <v>33</v>
      </c>
      <c r="G865" s="3" t="s">
        <v>54</v>
      </c>
      <c r="H865" s="3" t="s">
        <v>1865</v>
      </c>
      <c r="I865" s="3" t="n">
        <v>5</v>
      </c>
      <c r="J865" s="3" t="n">
        <v>5</v>
      </c>
      <c r="K865" s="3" t="n">
        <v>4</v>
      </c>
      <c r="L865" s="3" t="n">
        <v>5</v>
      </c>
      <c r="M865" s="3" t="n">
        <v>3</v>
      </c>
      <c r="N865" s="3" t="n">
        <v>5</v>
      </c>
      <c r="O865" s="6" t="b">
        <f aca="false">FALSE()</f>
        <v>0</v>
      </c>
      <c r="P865" s="3"/>
      <c r="Q865" s="5" t="n">
        <v>46212.60625</v>
      </c>
      <c r="R865" s="5" t="n">
        <v>46212.6979166667</v>
      </c>
      <c r="S865" s="3" t="s">
        <v>1699</v>
      </c>
      <c r="T865" s="7" t="n">
        <f aca="false">ROUND(MIN(IF(OR(O865=TRUE(),O865="TRUE",O865="Yes"),59,100),(I865*Rubric!$C$2+J865*Rubric!$C$3+K865*Rubric!$C$4+L865*Rubric!$C$5+M865*Rubric!$C$6+N865*Rubric!$C$7)/5),1)</f>
        <v>92</v>
      </c>
      <c r="U865" s="8" t="str">
        <f aca="false">LOOKUP(T865,Bands!$A$2:$A$6,Bands!$B$2:$B$6)</f>
        <v>Outstanding</v>
      </c>
      <c r="V865" s="8" t="n">
        <f aca="false">IF(Q865="","",ROUND((Q865-B865)*24,1))</f>
        <v>0</v>
      </c>
    </row>
    <row r="866" customFormat="false" ht="15" hidden="false" customHeight="false" outlineLevel="0" collapsed="false">
      <c r="A866" s="3" t="s">
        <v>1866</v>
      </c>
      <c r="B866" s="5" t="n">
        <v>46213.5875</v>
      </c>
      <c r="C866" s="3" t="s">
        <v>30</v>
      </c>
      <c r="D866" s="3" t="s">
        <v>307</v>
      </c>
      <c r="E866" s="3" t="s">
        <v>308</v>
      </c>
      <c r="F866" s="3" t="s">
        <v>33</v>
      </c>
      <c r="G866" s="3" t="s">
        <v>54</v>
      </c>
      <c r="H866" s="3" t="s">
        <v>1867</v>
      </c>
      <c r="I866" s="3" t="n">
        <v>5</v>
      </c>
      <c r="J866" s="3" t="n">
        <v>2</v>
      </c>
      <c r="K866" s="3" t="n">
        <v>5</v>
      </c>
      <c r="L866" s="3" t="n">
        <v>5</v>
      </c>
      <c r="M866" s="3" t="n">
        <v>5</v>
      </c>
      <c r="N866" s="3" t="n">
        <v>5</v>
      </c>
      <c r="O866" s="6" t="b">
        <f aca="false">FALSE()</f>
        <v>0</v>
      </c>
      <c r="P866" s="3" t="s">
        <v>56</v>
      </c>
      <c r="Q866" s="5" t="n">
        <v>46213.5895833333</v>
      </c>
      <c r="R866" s="5" t="n">
        <v>46213.7291666667</v>
      </c>
      <c r="S866" s="3" t="s">
        <v>1699</v>
      </c>
      <c r="T866" s="7" t="n">
        <f aca="false">ROUND(MIN(IF(OR(O866=TRUE(),O866="TRUE",O866="Yes"),59,100),(I866*Rubric!$C$2+J866*Rubric!$C$3+K866*Rubric!$C$4+L866*Rubric!$C$5+M866*Rubric!$C$6+N866*Rubric!$C$7)/5),1)</f>
        <v>85</v>
      </c>
      <c r="U866" s="8" t="str">
        <f aca="false">LOOKUP(T866,Bands!$A$2:$A$6,Bands!$B$2:$B$6)</f>
        <v>Solid Performance</v>
      </c>
      <c r="V866" s="8" t="n">
        <f aca="false">IF(Q866="","",ROUND((Q866-B866)*24,1))</f>
        <v>0</v>
      </c>
    </row>
    <row r="867" customFormat="false" ht="15" hidden="false" customHeight="false" outlineLevel="0" collapsed="false">
      <c r="A867" s="3" t="s">
        <v>1868</v>
      </c>
      <c r="B867" s="5" t="n">
        <v>46213.5847222222</v>
      </c>
      <c r="C867" s="3" t="s">
        <v>39</v>
      </c>
      <c r="D867" s="3" t="s">
        <v>259</v>
      </c>
      <c r="E867" s="3" t="s">
        <v>260</v>
      </c>
      <c r="F867" s="3" t="s">
        <v>33</v>
      </c>
      <c r="G867" s="3" t="s">
        <v>34</v>
      </c>
      <c r="H867" s="3" t="s">
        <v>1869</v>
      </c>
      <c r="I867" s="3" t="n">
        <v>5</v>
      </c>
      <c r="J867" s="3" t="n">
        <v>5</v>
      </c>
      <c r="K867" s="3" t="n">
        <v>3</v>
      </c>
      <c r="L867" s="3" t="n">
        <v>4</v>
      </c>
      <c r="M867" s="3" t="n">
        <v>5</v>
      </c>
      <c r="N867" s="3" t="n">
        <v>5</v>
      </c>
      <c r="O867" s="6" t="b">
        <f aca="false">FALSE()</f>
        <v>0</v>
      </c>
      <c r="P867" s="3"/>
      <c r="Q867" s="5" t="n">
        <v>46213.5868055556</v>
      </c>
      <c r="R867" s="5" t="n">
        <v>46213.9416666667</v>
      </c>
      <c r="S867" s="3" t="s">
        <v>1699</v>
      </c>
      <c r="T867" s="7" t="n">
        <f aca="false">ROUND(MIN(IF(OR(O867=TRUE(),O867="TRUE",O867="Yes"),59,100),(I867*Rubric!$C$2+J867*Rubric!$C$3+K867*Rubric!$C$4+L867*Rubric!$C$5+M867*Rubric!$C$6+N867*Rubric!$C$7)/5),1)</f>
        <v>89</v>
      </c>
      <c r="U867" s="8" t="str">
        <f aca="false">LOOKUP(T867,Bands!$A$2:$A$6,Bands!$B$2:$B$6)</f>
        <v>Solid Performance</v>
      </c>
      <c r="V867" s="8" t="n">
        <f aca="false">IF(Q867="","",ROUND((Q867-B867)*24,1))</f>
        <v>0.1</v>
      </c>
    </row>
    <row r="868" customFormat="false" ht="15" hidden="false" customHeight="false" outlineLevel="0" collapsed="false">
      <c r="A868" s="3" t="s">
        <v>1870</v>
      </c>
      <c r="B868" s="5" t="n">
        <v>46213.6125</v>
      </c>
      <c r="C868" s="3" t="s">
        <v>68</v>
      </c>
      <c r="D868" s="3" t="s">
        <v>151</v>
      </c>
      <c r="E868" s="3" t="s">
        <v>152</v>
      </c>
      <c r="F868" s="3" t="s">
        <v>33</v>
      </c>
      <c r="G868" s="3" t="s">
        <v>54</v>
      </c>
      <c r="H868" s="3" t="s">
        <v>1871</v>
      </c>
      <c r="I868" s="3" t="n">
        <v>5</v>
      </c>
      <c r="J868" s="3" t="n">
        <v>3</v>
      </c>
      <c r="K868" s="3" t="n">
        <v>4</v>
      </c>
      <c r="L868" s="3" t="n">
        <v>4</v>
      </c>
      <c r="M868" s="3" t="n">
        <v>4</v>
      </c>
      <c r="N868" s="3" t="n">
        <v>5</v>
      </c>
      <c r="O868" s="6" t="b">
        <f aca="false">FALSE()</f>
        <v>0</v>
      </c>
      <c r="P868" s="3"/>
      <c r="Q868" s="5" t="n">
        <v>46213.6145833333</v>
      </c>
      <c r="R868" s="5" t="n">
        <v>46213.7840277778</v>
      </c>
      <c r="S868" s="3" t="s">
        <v>1699</v>
      </c>
      <c r="T868" s="7" t="n">
        <f aca="false">ROUND(MIN(IF(OR(O868=TRUE(),O868="TRUE",O868="Yes"),59,100),(I868*Rubric!$C$2+J868*Rubric!$C$3+K868*Rubric!$C$4+L868*Rubric!$C$5+M868*Rubric!$C$6+N868*Rubric!$C$7)/5),1)</f>
        <v>81</v>
      </c>
      <c r="U868" s="8" t="str">
        <f aca="false">LOOKUP(T868,Bands!$A$2:$A$6,Bands!$B$2:$B$6)</f>
        <v>Solid Performance</v>
      </c>
      <c r="V868" s="8" t="n">
        <f aca="false">IF(Q868="","",ROUND((Q868-B868)*24,1))</f>
        <v>0</v>
      </c>
    </row>
    <row r="869" customFormat="false" ht="15" hidden="false" customHeight="false" outlineLevel="0" collapsed="false">
      <c r="A869" s="3" t="s">
        <v>1872</v>
      </c>
      <c r="B869" s="5" t="n">
        <v>46213.4548611111</v>
      </c>
      <c r="C869" s="3" t="s">
        <v>68</v>
      </c>
      <c r="D869" s="3" t="s">
        <v>69</v>
      </c>
      <c r="E869" s="3" t="s">
        <v>70</v>
      </c>
      <c r="F869" s="3" t="s">
        <v>65</v>
      </c>
      <c r="G869" s="3" t="s">
        <v>42</v>
      </c>
      <c r="H869" s="3" t="s">
        <v>1873</v>
      </c>
      <c r="I869" s="3" t="n">
        <v>4</v>
      </c>
      <c r="J869" s="3" t="n">
        <v>4</v>
      </c>
      <c r="K869" s="3" t="n">
        <v>5</v>
      </c>
      <c r="L869" s="3" t="n">
        <v>3</v>
      </c>
      <c r="M869" s="3" t="n">
        <v>4</v>
      </c>
      <c r="N869" s="3" t="n">
        <v>3</v>
      </c>
      <c r="O869" s="6" t="b">
        <f aca="false">FALSE()</f>
        <v>0</v>
      </c>
      <c r="P869" s="3"/>
      <c r="Q869" s="5" t="n">
        <v>46213.4569444444</v>
      </c>
      <c r="R869" s="5" t="n">
        <v>46213.8895833333</v>
      </c>
      <c r="S869" s="3" t="s">
        <v>1699</v>
      </c>
      <c r="T869" s="7" t="n">
        <f aca="false">ROUND(MIN(IF(OR(O869=TRUE(),O869="TRUE",O869="Yes"),59,100),(I869*Rubric!$C$2+J869*Rubric!$C$3+K869*Rubric!$C$4+L869*Rubric!$C$5+M869*Rubric!$C$6+N869*Rubric!$C$7)/5),1)</f>
        <v>78</v>
      </c>
      <c r="U869" s="8" t="str">
        <f aca="false">LOOKUP(T869,Bands!$A$2:$A$6,Bands!$B$2:$B$6)</f>
        <v>Meets Expectations</v>
      </c>
      <c r="V869" s="8" t="n">
        <f aca="false">IF(Q869="","",ROUND((Q869-B869)*24,1))</f>
        <v>0</v>
      </c>
    </row>
    <row r="870" customFormat="false" ht="15" hidden="false" customHeight="false" outlineLevel="0" collapsed="false">
      <c r="A870" s="3" t="s">
        <v>1874</v>
      </c>
      <c r="B870" s="5" t="n">
        <v>46213.6777777778</v>
      </c>
      <c r="C870" s="3" t="s">
        <v>30</v>
      </c>
      <c r="D870" s="3" t="s">
        <v>31</v>
      </c>
      <c r="E870" s="3" t="s">
        <v>32</v>
      </c>
      <c r="F870" s="3" t="s">
        <v>33</v>
      </c>
      <c r="G870" s="3" t="s">
        <v>42</v>
      </c>
      <c r="H870" s="3" t="s">
        <v>1875</v>
      </c>
      <c r="I870" s="3" t="n">
        <v>5</v>
      </c>
      <c r="J870" s="3" t="n">
        <v>5</v>
      </c>
      <c r="K870" s="3" t="n">
        <v>4</v>
      </c>
      <c r="L870" s="3" t="n">
        <v>4</v>
      </c>
      <c r="M870" s="3" t="n">
        <v>4</v>
      </c>
      <c r="N870" s="3" t="n">
        <v>3</v>
      </c>
      <c r="O870" s="6" t="b">
        <f aca="false">FALSE()</f>
        <v>0</v>
      </c>
      <c r="P870" s="3"/>
      <c r="Q870" s="5" t="n">
        <v>46213.6784722222</v>
      </c>
      <c r="R870" s="5" t="n">
        <v>46213.7451388889</v>
      </c>
      <c r="S870" s="3" t="s">
        <v>1699</v>
      </c>
      <c r="T870" s="7" t="n">
        <f aca="false">ROUND(MIN(IF(OR(O870=TRUE(),O870="TRUE",O870="Yes"),59,100),(I870*Rubric!$C$2+J870*Rubric!$C$3+K870*Rubric!$C$4+L870*Rubric!$C$5+M870*Rubric!$C$6+N870*Rubric!$C$7)/5),1)</f>
        <v>85</v>
      </c>
      <c r="U870" s="8" t="str">
        <f aca="false">LOOKUP(T870,Bands!$A$2:$A$6,Bands!$B$2:$B$6)</f>
        <v>Solid Performance</v>
      </c>
      <c r="V870" s="8" t="n">
        <f aca="false">IF(Q870="","",ROUND((Q870-B870)*24,1))</f>
        <v>0</v>
      </c>
    </row>
    <row r="871" customFormat="false" ht="15" hidden="false" customHeight="false" outlineLevel="0" collapsed="false">
      <c r="A871" s="3" t="s">
        <v>1876</v>
      </c>
      <c r="B871" s="5" t="n">
        <v>46213.4069444445</v>
      </c>
      <c r="C871" s="3" t="s">
        <v>30</v>
      </c>
      <c r="D871" s="3" t="s">
        <v>486</v>
      </c>
      <c r="E871" s="3" t="s">
        <v>487</v>
      </c>
      <c r="F871" s="3" t="s">
        <v>65</v>
      </c>
      <c r="G871" s="3" t="s">
        <v>42</v>
      </c>
      <c r="H871" s="3" t="s">
        <v>1877</v>
      </c>
      <c r="I871" s="3" t="n">
        <v>5</v>
      </c>
      <c r="J871" s="3" t="n">
        <v>4</v>
      </c>
      <c r="K871" s="3" t="n">
        <v>4</v>
      </c>
      <c r="L871" s="3" t="n">
        <v>5</v>
      </c>
      <c r="M871" s="3" t="n">
        <v>3</v>
      </c>
      <c r="N871" s="3" t="n">
        <v>5</v>
      </c>
      <c r="O871" s="6" t="b">
        <f aca="false">FALSE()</f>
        <v>0</v>
      </c>
      <c r="P871" s="3"/>
      <c r="Q871" s="5" t="n">
        <v>46213.4076388889</v>
      </c>
      <c r="R871" s="5" t="n">
        <v>46213.7041666667</v>
      </c>
      <c r="S871" s="3" t="s">
        <v>1699</v>
      </c>
      <c r="T871" s="7" t="n">
        <f aca="false">ROUND(MIN(IF(OR(O871=TRUE(),O871="TRUE",O871="Yes"),59,100),(I871*Rubric!$C$2+J871*Rubric!$C$3+K871*Rubric!$C$4+L871*Rubric!$C$5+M871*Rubric!$C$6+N871*Rubric!$C$7)/5),1)</f>
        <v>87</v>
      </c>
      <c r="U871" s="8" t="str">
        <f aca="false">LOOKUP(T871,Bands!$A$2:$A$6,Bands!$B$2:$B$6)</f>
        <v>Solid Performance</v>
      </c>
      <c r="V871" s="8" t="n">
        <f aca="false">IF(Q871="","",ROUND((Q871-B871)*24,1))</f>
        <v>0</v>
      </c>
    </row>
    <row r="872" customFormat="false" ht="15" hidden="false" customHeight="false" outlineLevel="0" collapsed="false">
      <c r="A872" s="3" t="s">
        <v>1878</v>
      </c>
      <c r="B872" s="5" t="n">
        <v>46213.5881944444</v>
      </c>
      <c r="C872" s="3" t="s">
        <v>68</v>
      </c>
      <c r="D872" s="3" t="s">
        <v>145</v>
      </c>
      <c r="E872" s="3" t="s">
        <v>146</v>
      </c>
      <c r="F872" s="3" t="s">
        <v>33</v>
      </c>
      <c r="G872" s="3" t="s">
        <v>42</v>
      </c>
      <c r="H872" s="3" t="s">
        <v>1879</v>
      </c>
      <c r="I872" s="3" t="n">
        <v>4</v>
      </c>
      <c r="J872" s="3" t="n">
        <v>3</v>
      </c>
      <c r="K872" s="3" t="n">
        <v>4</v>
      </c>
      <c r="L872" s="3" t="n">
        <v>4</v>
      </c>
      <c r="M872" s="3" t="n">
        <v>4</v>
      </c>
      <c r="N872" s="3" t="n">
        <v>4</v>
      </c>
      <c r="O872" s="6" t="b">
        <f aca="false">FALSE()</f>
        <v>0</v>
      </c>
      <c r="P872" s="3"/>
      <c r="Q872" s="5" t="n">
        <v>46213.5895833333</v>
      </c>
      <c r="R872" s="5" t="n">
        <v>46214.0180555556</v>
      </c>
      <c r="S872" s="3" t="s">
        <v>1699</v>
      </c>
      <c r="T872" s="7" t="n">
        <f aca="false">ROUND(MIN(IF(OR(O872=TRUE(),O872="TRUE",O872="Yes"),59,100),(I872*Rubric!$C$2+J872*Rubric!$C$3+K872*Rubric!$C$4+L872*Rubric!$C$5+M872*Rubric!$C$6+N872*Rubric!$C$7)/5),1)</f>
        <v>75</v>
      </c>
      <c r="U872" s="8" t="str">
        <f aca="false">LOOKUP(T872,Bands!$A$2:$A$6,Bands!$B$2:$B$6)</f>
        <v>Meets Expectations</v>
      </c>
      <c r="V872" s="8" t="n">
        <f aca="false">IF(Q872="","",ROUND((Q872-B872)*24,1))</f>
        <v>0</v>
      </c>
    </row>
    <row r="873" customFormat="false" ht="15" hidden="false" customHeight="false" outlineLevel="0" collapsed="false">
      <c r="A873" s="3" t="s">
        <v>1880</v>
      </c>
      <c r="B873" s="5" t="n">
        <v>46213.6854166667</v>
      </c>
      <c r="C873" s="3" t="s">
        <v>68</v>
      </c>
      <c r="D873" s="3" t="s">
        <v>58</v>
      </c>
      <c r="E873" s="3" t="s">
        <v>59</v>
      </c>
      <c r="F873" s="3" t="s">
        <v>53</v>
      </c>
      <c r="G873" s="3" t="s">
        <v>54</v>
      </c>
      <c r="H873" s="3" t="s">
        <v>1881</v>
      </c>
      <c r="I873" s="3" t="n">
        <v>4</v>
      </c>
      <c r="J873" s="3" t="n">
        <v>3</v>
      </c>
      <c r="K873" s="3" t="n">
        <v>3</v>
      </c>
      <c r="L873" s="3" t="n">
        <v>4</v>
      </c>
      <c r="M873" s="3" t="n">
        <v>4</v>
      </c>
      <c r="N873" s="3" t="n">
        <v>4</v>
      </c>
      <c r="O873" s="6" t="b">
        <f aca="false">FALSE()</f>
        <v>0</v>
      </c>
      <c r="P873" s="3"/>
      <c r="Q873" s="5" t="n">
        <v>46213.6861111111</v>
      </c>
      <c r="R873" s="5" t="n">
        <v>46213.7763888889</v>
      </c>
      <c r="S873" s="3" t="s">
        <v>1699</v>
      </c>
      <c r="T873" s="7" t="n">
        <f aca="false">ROUND(MIN(IF(OR(O873=TRUE(),O873="TRUE",O873="Yes"),59,100),(I873*Rubric!$C$2+J873*Rubric!$C$3+K873*Rubric!$C$4+L873*Rubric!$C$5+M873*Rubric!$C$6+N873*Rubric!$C$7)/5),1)</f>
        <v>71</v>
      </c>
      <c r="U873" s="8" t="str">
        <f aca="false">LOOKUP(T873,Bands!$A$2:$A$6,Bands!$B$2:$B$6)</f>
        <v>Meets Expectations</v>
      </c>
      <c r="V873" s="8" t="n">
        <f aca="false">IF(Q873="","",ROUND((Q873-B873)*24,1))</f>
        <v>0</v>
      </c>
    </row>
    <row r="874" customFormat="false" ht="15" hidden="false" customHeight="false" outlineLevel="0" collapsed="false">
      <c r="A874" s="3" t="s">
        <v>1882</v>
      </c>
      <c r="B874" s="5" t="n">
        <v>46213.6208333333</v>
      </c>
      <c r="C874" s="3" t="s">
        <v>68</v>
      </c>
      <c r="D874" s="3" t="s">
        <v>115</v>
      </c>
      <c r="E874" s="3" t="s">
        <v>116</v>
      </c>
      <c r="F874" s="3" t="s">
        <v>33</v>
      </c>
      <c r="G874" s="3" t="s">
        <v>54</v>
      </c>
      <c r="H874" s="3" t="s">
        <v>1883</v>
      </c>
      <c r="I874" s="3" t="n">
        <v>5</v>
      </c>
      <c r="J874" s="3" t="n">
        <v>5</v>
      </c>
      <c r="K874" s="3" t="n">
        <v>5</v>
      </c>
      <c r="L874" s="3" t="n">
        <v>5</v>
      </c>
      <c r="M874" s="3" t="n">
        <v>3</v>
      </c>
      <c r="N874" s="3" t="n">
        <v>5</v>
      </c>
      <c r="O874" s="6" t="b">
        <f aca="false">FALSE()</f>
        <v>0</v>
      </c>
      <c r="P874" s="3"/>
      <c r="Q874" s="5" t="n">
        <v>46213.6215277778</v>
      </c>
      <c r="R874" s="5" t="n">
        <v>46213.8819444445</v>
      </c>
      <c r="S874" s="3" t="s">
        <v>1699</v>
      </c>
      <c r="T874" s="7" t="n">
        <f aca="false">ROUND(MIN(IF(OR(O874=TRUE(),O874="TRUE",O874="Yes"),59,100),(I874*Rubric!$C$2+J874*Rubric!$C$3+K874*Rubric!$C$4+L874*Rubric!$C$5+M874*Rubric!$C$6+N874*Rubric!$C$7)/5),1)</f>
        <v>96</v>
      </c>
      <c r="U874" s="8" t="str">
        <f aca="false">LOOKUP(T874,Bands!$A$2:$A$6,Bands!$B$2:$B$6)</f>
        <v>Outstanding</v>
      </c>
      <c r="V874" s="8" t="n">
        <f aca="false">IF(Q874="","",ROUND((Q874-B874)*24,1))</f>
        <v>0</v>
      </c>
    </row>
    <row r="875" customFormat="false" ht="15" hidden="false" customHeight="false" outlineLevel="0" collapsed="false">
      <c r="A875" s="3" t="s">
        <v>1884</v>
      </c>
      <c r="B875" s="5" t="n">
        <v>46213.5423611111</v>
      </c>
      <c r="C875" s="3" t="s">
        <v>39</v>
      </c>
      <c r="D875" s="3" t="s">
        <v>105</v>
      </c>
      <c r="E875" s="3" t="s">
        <v>106</v>
      </c>
      <c r="F875" s="3" t="s">
        <v>65</v>
      </c>
      <c r="G875" s="3" t="s">
        <v>42</v>
      </c>
      <c r="H875" s="3" t="s">
        <v>1885</v>
      </c>
      <c r="I875" s="3" t="n">
        <v>5</v>
      </c>
      <c r="J875" s="3" t="n">
        <v>3</v>
      </c>
      <c r="K875" s="3" t="n">
        <v>5</v>
      </c>
      <c r="L875" s="3" t="n">
        <v>4</v>
      </c>
      <c r="M875" s="3" t="n">
        <v>4</v>
      </c>
      <c r="N875" s="3" t="n">
        <v>4</v>
      </c>
      <c r="O875" s="6" t="b">
        <f aca="false">FALSE()</f>
        <v>0</v>
      </c>
      <c r="P875" s="3"/>
      <c r="Q875" s="5" t="n">
        <v>46213.5430555556</v>
      </c>
      <c r="R875" s="5" t="n">
        <v>46213.6</v>
      </c>
      <c r="S875" s="3" t="s">
        <v>1699</v>
      </c>
      <c r="T875" s="7" t="n">
        <f aca="false">ROUND(MIN(IF(OR(O875=TRUE(),O875="TRUE",O875="Yes"),59,100),(I875*Rubric!$C$2+J875*Rubric!$C$3+K875*Rubric!$C$4+L875*Rubric!$C$5+M875*Rubric!$C$6+N875*Rubric!$C$7)/5),1)</f>
        <v>82</v>
      </c>
      <c r="U875" s="8" t="str">
        <f aca="false">LOOKUP(T875,Bands!$A$2:$A$6,Bands!$B$2:$B$6)</f>
        <v>Solid Performance</v>
      </c>
      <c r="V875" s="8" t="n">
        <f aca="false">IF(Q875="","",ROUND((Q875-B875)*24,1))</f>
        <v>0</v>
      </c>
    </row>
    <row r="876" customFormat="false" ht="15" hidden="false" customHeight="false" outlineLevel="0" collapsed="false">
      <c r="A876" s="3" t="s">
        <v>1886</v>
      </c>
      <c r="B876" s="5" t="n">
        <v>46213.6708333333</v>
      </c>
      <c r="C876" s="3" t="s">
        <v>39</v>
      </c>
      <c r="D876" s="3" t="s">
        <v>137</v>
      </c>
      <c r="E876" s="3" t="s">
        <v>138</v>
      </c>
      <c r="F876" s="3" t="s">
        <v>65</v>
      </c>
      <c r="G876" s="3" t="s">
        <v>42</v>
      </c>
      <c r="H876" s="3" t="s">
        <v>1887</v>
      </c>
      <c r="I876" s="3" t="n">
        <v>3</v>
      </c>
      <c r="J876" s="3" t="n">
        <v>4</v>
      </c>
      <c r="K876" s="3" t="n">
        <v>4</v>
      </c>
      <c r="L876" s="3" t="n">
        <v>5</v>
      </c>
      <c r="M876" s="3" t="n">
        <v>5</v>
      </c>
      <c r="N876" s="3" t="n">
        <v>5</v>
      </c>
      <c r="O876" s="6" t="b">
        <f aca="false">FALSE()</f>
        <v>0</v>
      </c>
      <c r="P876" s="3"/>
      <c r="Q876" s="5" t="n">
        <v>46213.6722222222</v>
      </c>
      <c r="R876" s="5" t="n">
        <v>46213.7145833333</v>
      </c>
      <c r="S876" s="3" t="s">
        <v>1699</v>
      </c>
      <c r="T876" s="7" t="n">
        <f aca="false">ROUND(MIN(IF(OR(O876=TRUE(),O876="TRUE",O876="Yes"),59,100),(I876*Rubric!$C$2+J876*Rubric!$C$3+K876*Rubric!$C$4+L876*Rubric!$C$5+M876*Rubric!$C$6+N876*Rubric!$C$7)/5),1)</f>
        <v>85</v>
      </c>
      <c r="U876" s="8" t="str">
        <f aca="false">LOOKUP(T876,Bands!$A$2:$A$6,Bands!$B$2:$B$6)</f>
        <v>Solid Performance</v>
      </c>
      <c r="V876" s="8" t="n">
        <f aca="false">IF(Q876="","",ROUND((Q876-B876)*24,1))</f>
        <v>0</v>
      </c>
    </row>
    <row r="877" customFormat="false" ht="15" hidden="false" customHeight="false" outlineLevel="0" collapsed="false">
      <c r="A877" s="3" t="s">
        <v>1888</v>
      </c>
      <c r="B877" s="5" t="n">
        <v>46213.4333333333</v>
      </c>
      <c r="C877" s="3" t="s">
        <v>39</v>
      </c>
      <c r="D877" s="3" t="s">
        <v>265</v>
      </c>
      <c r="E877" s="3" t="s">
        <v>266</v>
      </c>
      <c r="F877" s="3" t="s">
        <v>33</v>
      </c>
      <c r="G877" s="3" t="s">
        <v>54</v>
      </c>
      <c r="H877" s="3" t="s">
        <v>1889</v>
      </c>
      <c r="I877" s="3" t="n">
        <v>4</v>
      </c>
      <c r="J877" s="3" t="n">
        <v>3</v>
      </c>
      <c r="K877" s="3" t="n">
        <v>4</v>
      </c>
      <c r="L877" s="3" t="n">
        <v>4</v>
      </c>
      <c r="M877" s="3" t="n">
        <v>3</v>
      </c>
      <c r="N877" s="3" t="n">
        <v>4</v>
      </c>
      <c r="O877" s="6" t="b">
        <f aca="false">FALSE()</f>
        <v>0</v>
      </c>
      <c r="P877" s="3"/>
      <c r="Q877" s="5" t="n">
        <v>46213.4354166667</v>
      </c>
      <c r="R877" s="5" t="n">
        <v>46213.7645833333</v>
      </c>
      <c r="S877" s="3" t="s">
        <v>1699</v>
      </c>
      <c r="T877" s="7" t="n">
        <f aca="false">ROUND(MIN(IF(OR(O877=TRUE(),O877="TRUE",O877="Yes"),59,100),(I877*Rubric!$C$2+J877*Rubric!$C$3+K877*Rubric!$C$4+L877*Rubric!$C$5+M877*Rubric!$C$6+N877*Rubric!$C$7)/5),1)</f>
        <v>73</v>
      </c>
      <c r="U877" s="8" t="str">
        <f aca="false">LOOKUP(T877,Bands!$A$2:$A$6,Bands!$B$2:$B$6)</f>
        <v>Meets Expectations</v>
      </c>
      <c r="V877" s="8" t="n">
        <f aca="false">IF(Q877="","",ROUND((Q877-B877)*24,1))</f>
        <v>0.1</v>
      </c>
    </row>
    <row r="878" customFormat="false" ht="15" hidden="false" customHeight="false" outlineLevel="0" collapsed="false">
      <c r="A878" s="3" t="s">
        <v>1890</v>
      </c>
      <c r="B878" s="5" t="n">
        <v>46216.6875</v>
      </c>
      <c r="C878" s="3" t="s">
        <v>68</v>
      </c>
      <c r="D878" s="3" t="s">
        <v>265</v>
      </c>
      <c r="E878" s="3" t="s">
        <v>266</v>
      </c>
      <c r="F878" s="3" t="s">
        <v>33</v>
      </c>
      <c r="G878" s="3" t="s">
        <v>34</v>
      </c>
      <c r="H878" s="3" t="s">
        <v>1891</v>
      </c>
      <c r="I878" s="3" t="n">
        <v>2</v>
      </c>
      <c r="J878" s="3" t="n">
        <v>3</v>
      </c>
      <c r="K878" s="3" t="n">
        <v>4</v>
      </c>
      <c r="L878" s="3" t="n">
        <v>3</v>
      </c>
      <c r="M878" s="3" t="n">
        <v>4</v>
      </c>
      <c r="N878" s="3" t="n">
        <v>3</v>
      </c>
      <c r="O878" s="6" t="b">
        <f aca="false">FALSE()</f>
        <v>0</v>
      </c>
      <c r="P878" s="3" t="s">
        <v>88</v>
      </c>
      <c r="Q878" s="5" t="n">
        <v>46216.6888888889</v>
      </c>
      <c r="R878" s="5" t="n">
        <v>46216.8805555556</v>
      </c>
      <c r="S878" s="3" t="s">
        <v>1699</v>
      </c>
      <c r="T878" s="7" t="n">
        <f aca="false">ROUND(MIN(IF(OR(O878=TRUE(),O878="TRUE",O878="Yes"),59,100),(I878*Rubric!$C$2+J878*Rubric!$C$3+K878*Rubric!$C$4+L878*Rubric!$C$5+M878*Rubric!$C$6+N878*Rubric!$C$7)/5),1)</f>
        <v>63</v>
      </c>
      <c r="U878" s="8" t="str">
        <f aca="false">LOOKUP(T878,Bands!$A$2:$A$6,Bands!$B$2:$B$6)</f>
        <v>Needs Improvement</v>
      </c>
      <c r="V878" s="8" t="n">
        <f aca="false">IF(Q878="","",ROUND((Q878-B878)*24,1))</f>
        <v>0</v>
      </c>
    </row>
    <row r="879" customFormat="false" ht="15" hidden="false" customHeight="false" outlineLevel="0" collapsed="false">
      <c r="A879" s="3" t="s">
        <v>1892</v>
      </c>
      <c r="B879" s="5" t="n">
        <v>46216.575</v>
      </c>
      <c r="C879" s="3" t="s">
        <v>30</v>
      </c>
      <c r="D879" s="3" t="s">
        <v>69</v>
      </c>
      <c r="E879" s="3" t="s">
        <v>70</v>
      </c>
      <c r="F879" s="3" t="s">
        <v>65</v>
      </c>
      <c r="G879" s="3" t="s">
        <v>54</v>
      </c>
      <c r="H879" s="3" t="s">
        <v>1893</v>
      </c>
      <c r="I879" s="3" t="n">
        <v>4</v>
      </c>
      <c r="J879" s="3" t="n">
        <v>4</v>
      </c>
      <c r="K879" s="3" t="n">
        <v>5</v>
      </c>
      <c r="L879" s="3" t="n">
        <v>5</v>
      </c>
      <c r="M879" s="3" t="n">
        <v>4</v>
      </c>
      <c r="N879" s="3" t="n">
        <v>3</v>
      </c>
      <c r="O879" s="6" t="b">
        <f aca="false">FALSE()</f>
        <v>0</v>
      </c>
      <c r="P879" s="3"/>
      <c r="Q879" s="5" t="n">
        <v>46216.5756944444</v>
      </c>
      <c r="R879" s="5" t="n">
        <v>46216.7541666667</v>
      </c>
      <c r="S879" s="3" t="s">
        <v>1699</v>
      </c>
      <c r="T879" s="7" t="n">
        <f aca="false">ROUND(MIN(IF(OR(O879=TRUE(),O879="TRUE",O879="Yes"),59,100),(I879*Rubric!$C$2+J879*Rubric!$C$3+K879*Rubric!$C$4+L879*Rubric!$C$5+M879*Rubric!$C$6+N879*Rubric!$C$7)/5),1)</f>
        <v>84</v>
      </c>
      <c r="U879" s="8" t="str">
        <f aca="false">LOOKUP(T879,Bands!$A$2:$A$6,Bands!$B$2:$B$6)</f>
        <v>Solid Performance</v>
      </c>
      <c r="V879" s="8" t="n">
        <f aca="false">IF(Q879="","",ROUND((Q879-B879)*24,1))</f>
        <v>0</v>
      </c>
    </row>
    <row r="880" customFormat="false" ht="15" hidden="false" customHeight="false" outlineLevel="0" collapsed="false">
      <c r="A880" s="3" t="s">
        <v>1894</v>
      </c>
      <c r="B880" s="5" t="n">
        <v>46216.4125</v>
      </c>
      <c r="C880" s="3" t="s">
        <v>39</v>
      </c>
      <c r="D880" s="3" t="s">
        <v>115</v>
      </c>
      <c r="E880" s="3" t="s">
        <v>116</v>
      </c>
      <c r="F880" s="3" t="s">
        <v>33</v>
      </c>
      <c r="G880" s="3" t="s">
        <v>54</v>
      </c>
      <c r="H880" s="3" t="s">
        <v>1895</v>
      </c>
      <c r="I880" s="3" t="n">
        <v>3</v>
      </c>
      <c r="J880" s="3" t="n">
        <v>5</v>
      </c>
      <c r="K880" s="3" t="n">
        <v>5</v>
      </c>
      <c r="L880" s="3" t="n">
        <v>4</v>
      </c>
      <c r="M880" s="3" t="n">
        <v>3</v>
      </c>
      <c r="N880" s="3" t="n">
        <v>4</v>
      </c>
      <c r="O880" s="6" t="b">
        <f aca="false">FALSE()</f>
        <v>0</v>
      </c>
      <c r="P880" s="3"/>
      <c r="Q880" s="5" t="n">
        <v>46216.4138888889</v>
      </c>
      <c r="R880" s="5" t="n">
        <v>46216.7465277778</v>
      </c>
      <c r="S880" s="3" t="s">
        <v>1699</v>
      </c>
      <c r="T880" s="7" t="n">
        <f aca="false">ROUND(MIN(IF(OR(O880=TRUE(),O880="TRUE",O880="Yes"),59,100),(I880*Rubric!$C$2+J880*Rubric!$C$3+K880*Rubric!$C$4+L880*Rubric!$C$5+M880*Rubric!$C$6+N880*Rubric!$C$7)/5),1)</f>
        <v>84</v>
      </c>
      <c r="U880" s="8" t="str">
        <f aca="false">LOOKUP(T880,Bands!$A$2:$A$6,Bands!$B$2:$B$6)</f>
        <v>Solid Performance</v>
      </c>
      <c r="V880" s="8" t="n">
        <f aca="false">IF(Q880="","",ROUND((Q880-B880)*24,1))</f>
        <v>0</v>
      </c>
    </row>
    <row r="881" customFormat="false" ht="15" hidden="false" customHeight="false" outlineLevel="0" collapsed="false">
      <c r="A881" s="3" t="s">
        <v>1896</v>
      </c>
      <c r="B881" s="5" t="n">
        <v>46216.5229166667</v>
      </c>
      <c r="C881" s="3" t="s">
        <v>68</v>
      </c>
      <c r="D881" s="3" t="s">
        <v>73</v>
      </c>
      <c r="E881" s="3" t="s">
        <v>74</v>
      </c>
      <c r="F881" s="3" t="s">
        <v>33</v>
      </c>
      <c r="G881" s="3" t="s">
        <v>42</v>
      </c>
      <c r="H881" s="3" t="s">
        <v>1897</v>
      </c>
      <c r="I881" s="3" t="n">
        <v>4</v>
      </c>
      <c r="J881" s="3" t="n">
        <v>4</v>
      </c>
      <c r="K881" s="3" t="n">
        <v>4</v>
      </c>
      <c r="L881" s="3" t="n">
        <v>4</v>
      </c>
      <c r="M881" s="3" t="n">
        <v>5</v>
      </c>
      <c r="N881" s="3" t="n">
        <v>3</v>
      </c>
      <c r="O881" s="6" t="b">
        <f aca="false">FALSE()</f>
        <v>0</v>
      </c>
      <c r="P881" s="3"/>
      <c r="Q881" s="5" t="n">
        <v>46216.525</v>
      </c>
      <c r="R881" s="5" t="n">
        <v>46216.5256944444</v>
      </c>
      <c r="S881" s="3" t="s">
        <v>1699</v>
      </c>
      <c r="T881" s="7" t="n">
        <f aca="false">ROUND(MIN(IF(OR(O881=TRUE(),O881="TRUE",O881="Yes"),59,100),(I881*Rubric!$C$2+J881*Rubric!$C$3+K881*Rubric!$C$4+L881*Rubric!$C$5+M881*Rubric!$C$6+N881*Rubric!$C$7)/5),1)</f>
        <v>79</v>
      </c>
      <c r="U881" s="8" t="str">
        <f aca="false">LOOKUP(T881,Bands!$A$2:$A$6,Bands!$B$2:$B$6)</f>
        <v>Meets Expectations</v>
      </c>
      <c r="V881" s="8" t="n">
        <f aca="false">IF(Q881="","",ROUND((Q881-B881)*24,1))</f>
        <v>0</v>
      </c>
    </row>
    <row r="882" customFormat="false" ht="15" hidden="false" customHeight="false" outlineLevel="0" collapsed="false">
      <c r="A882" s="3" t="s">
        <v>1898</v>
      </c>
      <c r="B882" s="5" t="n">
        <v>46216.3784722222</v>
      </c>
      <c r="C882" s="3" t="s">
        <v>30</v>
      </c>
      <c r="D882" s="3" t="s">
        <v>90</v>
      </c>
      <c r="E882" s="3" t="s">
        <v>91</v>
      </c>
      <c r="F882" s="3" t="s">
        <v>65</v>
      </c>
      <c r="G882" s="3" t="s">
        <v>54</v>
      </c>
      <c r="H882" s="3" t="s">
        <v>1899</v>
      </c>
      <c r="I882" s="3" t="n">
        <v>5</v>
      </c>
      <c r="J882" s="3" t="n">
        <v>4</v>
      </c>
      <c r="K882" s="3" t="n">
        <v>4</v>
      </c>
      <c r="L882" s="3" t="n">
        <v>2</v>
      </c>
      <c r="M882" s="3" t="n">
        <v>4</v>
      </c>
      <c r="N882" s="3" t="n">
        <v>3</v>
      </c>
      <c r="O882" s="6" t="b">
        <f aca="false">FALSE()</f>
        <v>0</v>
      </c>
      <c r="P882" s="3" t="s">
        <v>44</v>
      </c>
      <c r="Q882" s="5" t="n">
        <v>46216.3798611111</v>
      </c>
      <c r="R882" s="5" t="n">
        <v>46216.5486111111</v>
      </c>
      <c r="S882" s="3" t="s">
        <v>1699</v>
      </c>
      <c r="T882" s="7" t="n">
        <f aca="false">ROUND(MIN(IF(OR(O882=TRUE(),O882="TRUE",O882="Yes"),59,100),(I882*Rubric!$C$2+J882*Rubric!$C$3+K882*Rubric!$C$4+L882*Rubric!$C$5+M882*Rubric!$C$6+N882*Rubric!$C$7)/5),1)</f>
        <v>74</v>
      </c>
      <c r="U882" s="8" t="str">
        <f aca="false">LOOKUP(T882,Bands!$A$2:$A$6,Bands!$B$2:$B$6)</f>
        <v>Meets Expectations</v>
      </c>
      <c r="V882" s="8" t="n">
        <f aca="false">IF(Q882="","",ROUND((Q882-B882)*24,1))</f>
        <v>0</v>
      </c>
    </row>
    <row r="883" customFormat="false" ht="15" hidden="false" customHeight="false" outlineLevel="0" collapsed="false">
      <c r="A883" s="3" t="s">
        <v>1900</v>
      </c>
      <c r="B883" s="5" t="n">
        <v>46216.6694444444</v>
      </c>
      <c r="C883" s="3" t="s">
        <v>68</v>
      </c>
      <c r="D883" s="3" t="s">
        <v>238</v>
      </c>
      <c r="E883" s="3" t="s">
        <v>239</v>
      </c>
      <c r="F883" s="3" t="s">
        <v>33</v>
      </c>
      <c r="G883" s="3" t="s">
        <v>34</v>
      </c>
      <c r="H883" s="3" t="s">
        <v>1901</v>
      </c>
      <c r="I883" s="3" t="n">
        <v>4</v>
      </c>
      <c r="J883" s="3" t="n">
        <v>4</v>
      </c>
      <c r="K883" s="3" t="n">
        <v>4</v>
      </c>
      <c r="L883" s="3" t="n">
        <v>3</v>
      </c>
      <c r="M883" s="3" t="n">
        <v>3</v>
      </c>
      <c r="N883" s="3" t="n">
        <v>4</v>
      </c>
      <c r="O883" s="6" t="b">
        <f aca="false">FALSE()</f>
        <v>0</v>
      </c>
      <c r="P883" s="3"/>
      <c r="Q883" s="5" t="n">
        <v>46216.6715277778</v>
      </c>
      <c r="R883" s="5" t="n">
        <v>46216.9611111111</v>
      </c>
      <c r="S883" s="3" t="s">
        <v>1699</v>
      </c>
      <c r="T883" s="7" t="n">
        <f aca="false">ROUND(MIN(IF(OR(O883=TRUE(),O883="TRUE",O883="Yes"),59,100),(I883*Rubric!$C$2+J883*Rubric!$C$3+K883*Rubric!$C$4+L883*Rubric!$C$5+M883*Rubric!$C$6+N883*Rubric!$C$7)/5),1)</f>
        <v>75</v>
      </c>
      <c r="U883" s="8" t="str">
        <f aca="false">LOOKUP(T883,Bands!$A$2:$A$6,Bands!$B$2:$B$6)</f>
        <v>Meets Expectations</v>
      </c>
      <c r="V883" s="8" t="n">
        <f aca="false">IF(Q883="","",ROUND((Q883-B883)*24,1))</f>
        <v>0.1</v>
      </c>
    </row>
    <row r="884" customFormat="false" ht="15" hidden="false" customHeight="false" outlineLevel="0" collapsed="false">
      <c r="A884" s="3" t="s">
        <v>1902</v>
      </c>
      <c r="B884" s="5" t="n">
        <v>46216.54375</v>
      </c>
      <c r="C884" s="3" t="s">
        <v>30</v>
      </c>
      <c r="D884" s="3" t="s">
        <v>222</v>
      </c>
      <c r="E884" s="3" t="s">
        <v>223</v>
      </c>
      <c r="F884" s="3" t="s">
        <v>53</v>
      </c>
      <c r="G884" s="3" t="s">
        <v>54</v>
      </c>
      <c r="H884" s="3" t="s">
        <v>1903</v>
      </c>
      <c r="I884" s="3" t="n">
        <v>4</v>
      </c>
      <c r="J884" s="3" t="n">
        <v>4</v>
      </c>
      <c r="K884" s="3" t="n">
        <v>5</v>
      </c>
      <c r="L884" s="3" t="n">
        <v>4</v>
      </c>
      <c r="M884" s="3" t="n">
        <v>4</v>
      </c>
      <c r="N884" s="3" t="n">
        <v>3</v>
      </c>
      <c r="O884" s="6" t="b">
        <f aca="false">FALSE()</f>
        <v>0</v>
      </c>
      <c r="P884" s="3"/>
      <c r="Q884" s="5" t="n">
        <v>46216.5458333333</v>
      </c>
      <c r="R884" s="5" t="n">
        <v>46216.9298611111</v>
      </c>
      <c r="S884" s="3" t="s">
        <v>1699</v>
      </c>
      <c r="T884" s="7" t="n">
        <f aca="false">ROUND(MIN(IF(OR(O884=TRUE(),O884="TRUE",O884="Yes"),59,100),(I884*Rubric!$C$2+J884*Rubric!$C$3+K884*Rubric!$C$4+L884*Rubric!$C$5+M884*Rubric!$C$6+N884*Rubric!$C$7)/5),1)</f>
        <v>81</v>
      </c>
      <c r="U884" s="8" t="str">
        <f aca="false">LOOKUP(T884,Bands!$A$2:$A$6,Bands!$B$2:$B$6)</f>
        <v>Solid Performance</v>
      </c>
      <c r="V884" s="8" t="n">
        <f aca="false">IF(Q884="","",ROUND((Q884-B884)*24,1))</f>
        <v>0</v>
      </c>
    </row>
    <row r="885" customFormat="false" ht="15" hidden="false" customHeight="false" outlineLevel="0" collapsed="false">
      <c r="A885" s="3" t="s">
        <v>1904</v>
      </c>
      <c r="B885" s="5" t="n">
        <v>46216.5534722222</v>
      </c>
      <c r="C885" s="3" t="s">
        <v>39</v>
      </c>
      <c r="D885" s="3" t="s">
        <v>137</v>
      </c>
      <c r="E885" s="3" t="s">
        <v>138</v>
      </c>
      <c r="F885" s="3" t="s">
        <v>65</v>
      </c>
      <c r="G885" s="3" t="s">
        <v>34</v>
      </c>
      <c r="H885" s="3" t="s">
        <v>1905</v>
      </c>
      <c r="I885" s="3" t="n">
        <v>4</v>
      </c>
      <c r="J885" s="3" t="n">
        <v>5</v>
      </c>
      <c r="K885" s="3" t="n">
        <v>5</v>
      </c>
      <c r="L885" s="3" t="n">
        <v>5</v>
      </c>
      <c r="M885" s="3" t="n">
        <v>5</v>
      </c>
      <c r="N885" s="3" t="n">
        <v>5</v>
      </c>
      <c r="O885" s="6" t="b">
        <f aca="false">FALSE()</f>
        <v>0</v>
      </c>
      <c r="P885" s="3"/>
      <c r="Q885" s="5" t="n">
        <v>46216.5555555556</v>
      </c>
      <c r="R885" s="5" t="n">
        <v>46216.5986111111</v>
      </c>
      <c r="S885" s="3" t="s">
        <v>1699</v>
      </c>
      <c r="T885" s="7" t="n">
        <f aca="false">ROUND(MIN(IF(OR(O885=TRUE(),O885="TRUE",O885="Yes"),59,100),(I885*Rubric!$C$2+J885*Rubric!$C$3+K885*Rubric!$C$4+L885*Rubric!$C$5+M885*Rubric!$C$6+N885*Rubric!$C$7)/5),1)</f>
        <v>97</v>
      </c>
      <c r="U885" s="8" t="str">
        <f aca="false">LOOKUP(T885,Bands!$A$2:$A$6,Bands!$B$2:$B$6)</f>
        <v>Outstanding</v>
      </c>
      <c r="V885" s="8" t="n">
        <f aca="false">IF(Q885="","",ROUND((Q885-B885)*24,1))</f>
        <v>0.1</v>
      </c>
    </row>
    <row r="886" customFormat="false" ht="15" hidden="false" customHeight="false" outlineLevel="0" collapsed="false">
      <c r="A886" s="3" t="s">
        <v>1906</v>
      </c>
      <c r="B886" s="5" t="n">
        <v>46216.58125</v>
      </c>
      <c r="C886" s="3" t="s">
        <v>39</v>
      </c>
      <c r="D886" s="3" t="s">
        <v>85</v>
      </c>
      <c r="E886" s="3" t="s">
        <v>86</v>
      </c>
      <c r="F886" s="3" t="s">
        <v>33</v>
      </c>
      <c r="G886" s="3" t="s">
        <v>54</v>
      </c>
      <c r="H886" s="3" t="s">
        <v>1907</v>
      </c>
      <c r="I886" s="3" t="n">
        <v>4</v>
      </c>
      <c r="J886" s="3" t="n">
        <v>3</v>
      </c>
      <c r="K886" s="3" t="n">
        <v>5</v>
      </c>
      <c r="L886" s="3" t="n">
        <v>3</v>
      </c>
      <c r="M886" s="3" t="n">
        <v>4</v>
      </c>
      <c r="N886" s="3" t="n">
        <v>4</v>
      </c>
      <c r="O886" s="6" t="b">
        <f aca="false">FALSE()</f>
        <v>0</v>
      </c>
      <c r="P886" s="3"/>
      <c r="Q886" s="5" t="n">
        <v>46216.5826388889</v>
      </c>
      <c r="R886" s="5" t="n">
        <v>46216.7375</v>
      </c>
      <c r="S886" s="3" t="s">
        <v>1699</v>
      </c>
      <c r="T886" s="7" t="n">
        <f aca="false">ROUND(MIN(IF(OR(O886=TRUE(),O886="TRUE",O886="Yes"),59,100),(I886*Rubric!$C$2+J886*Rubric!$C$3+K886*Rubric!$C$4+L886*Rubric!$C$5+M886*Rubric!$C$6+N886*Rubric!$C$7)/5),1)</f>
        <v>76</v>
      </c>
      <c r="U886" s="8" t="str">
        <f aca="false">LOOKUP(T886,Bands!$A$2:$A$6,Bands!$B$2:$B$6)</f>
        <v>Meets Expectations</v>
      </c>
      <c r="V886" s="8" t="n">
        <f aca="false">IF(Q886="","",ROUND((Q886-B886)*24,1))</f>
        <v>0</v>
      </c>
    </row>
    <row r="887" customFormat="false" ht="15" hidden="false" customHeight="false" outlineLevel="0" collapsed="false">
      <c r="A887" s="3" t="s">
        <v>1908</v>
      </c>
      <c r="B887" s="5" t="n">
        <v>46216.38125</v>
      </c>
      <c r="C887" s="3" t="s">
        <v>39</v>
      </c>
      <c r="D887" s="3" t="s">
        <v>212</v>
      </c>
      <c r="E887" s="3" t="s">
        <v>213</v>
      </c>
      <c r="F887" s="3" t="s">
        <v>33</v>
      </c>
      <c r="G887" s="3" t="s">
        <v>54</v>
      </c>
      <c r="H887" s="3" t="s">
        <v>1909</v>
      </c>
      <c r="I887" s="3" t="n">
        <v>4</v>
      </c>
      <c r="J887" s="3" t="n">
        <v>4</v>
      </c>
      <c r="K887" s="3" t="n">
        <v>3</v>
      </c>
      <c r="L887" s="3" t="n">
        <v>4</v>
      </c>
      <c r="M887" s="3" t="n">
        <v>4</v>
      </c>
      <c r="N887" s="3" t="n">
        <v>3</v>
      </c>
      <c r="O887" s="6" t="b">
        <f aca="false">FALSE()</f>
        <v>0</v>
      </c>
      <c r="P887" s="3"/>
      <c r="Q887" s="5" t="n">
        <v>46216.3819444445</v>
      </c>
      <c r="R887" s="5" t="n">
        <v>46216.4375</v>
      </c>
      <c r="S887" s="3" t="s">
        <v>1699</v>
      </c>
      <c r="T887" s="7" t="n">
        <f aca="false">ROUND(MIN(IF(OR(O887=TRUE(),O887="TRUE",O887="Yes"),59,100),(I887*Rubric!$C$2+J887*Rubric!$C$3+K887*Rubric!$C$4+L887*Rubric!$C$5+M887*Rubric!$C$6+N887*Rubric!$C$7)/5),1)</f>
        <v>73</v>
      </c>
      <c r="U887" s="8" t="str">
        <f aca="false">LOOKUP(T887,Bands!$A$2:$A$6,Bands!$B$2:$B$6)</f>
        <v>Meets Expectations</v>
      </c>
      <c r="V887" s="8" t="n">
        <f aca="false">IF(Q887="","",ROUND((Q887-B887)*24,1))</f>
        <v>0</v>
      </c>
    </row>
    <row r="888" customFormat="false" ht="15" hidden="false" customHeight="false" outlineLevel="0" collapsed="false">
      <c r="A888" s="3" t="s">
        <v>1910</v>
      </c>
      <c r="B888" s="5" t="n">
        <v>46216.58125</v>
      </c>
      <c r="C888" s="3" t="s">
        <v>39</v>
      </c>
      <c r="D888" s="3" t="s">
        <v>259</v>
      </c>
      <c r="E888" s="3" t="s">
        <v>260</v>
      </c>
      <c r="F888" s="3" t="s">
        <v>33</v>
      </c>
      <c r="G888" s="3" t="s">
        <v>34</v>
      </c>
      <c r="H888" s="3" t="s">
        <v>1911</v>
      </c>
      <c r="I888" s="3" t="n">
        <v>5</v>
      </c>
      <c r="J888" s="3" t="n">
        <v>5</v>
      </c>
      <c r="K888" s="3" t="n">
        <v>3</v>
      </c>
      <c r="L888" s="3" t="n">
        <v>5</v>
      </c>
      <c r="M888" s="3" t="n">
        <v>4</v>
      </c>
      <c r="N888" s="3" t="n">
        <v>4</v>
      </c>
      <c r="O888" s="6" t="b">
        <f aca="false">FALSE()</f>
        <v>0</v>
      </c>
      <c r="P888" s="3"/>
      <c r="Q888" s="5" t="n">
        <v>46216.5819444444</v>
      </c>
      <c r="R888" s="5" t="n">
        <v>46217.2340277778</v>
      </c>
      <c r="S888" s="3" t="s">
        <v>1699</v>
      </c>
      <c r="T888" s="7" t="n">
        <f aca="false">ROUND(MIN(IF(OR(O888=TRUE(),O888="TRUE",O888="Yes"),59,100),(I888*Rubric!$C$2+J888*Rubric!$C$3+K888*Rubric!$C$4+L888*Rubric!$C$5+M888*Rubric!$C$6+N888*Rubric!$C$7)/5),1)</f>
        <v>87</v>
      </c>
      <c r="U888" s="8" t="str">
        <f aca="false">LOOKUP(T888,Bands!$A$2:$A$6,Bands!$B$2:$B$6)</f>
        <v>Solid Performance</v>
      </c>
      <c r="V888" s="8" t="n">
        <f aca="false">IF(Q888="","",ROUND((Q888-B888)*24,1))</f>
        <v>0</v>
      </c>
    </row>
    <row r="889" customFormat="false" ht="15" hidden="false" customHeight="false" outlineLevel="0" collapsed="false">
      <c r="A889" s="3" t="s">
        <v>1912</v>
      </c>
      <c r="B889" s="5" t="n">
        <v>46216.7</v>
      </c>
      <c r="C889" s="3" t="s">
        <v>68</v>
      </c>
      <c r="D889" s="3" t="s">
        <v>51</v>
      </c>
      <c r="E889" s="3" t="s">
        <v>52</v>
      </c>
      <c r="F889" s="3" t="s">
        <v>53</v>
      </c>
      <c r="G889" s="3" t="s">
        <v>54</v>
      </c>
      <c r="H889" s="3" t="s">
        <v>1913</v>
      </c>
      <c r="I889" s="3" t="n">
        <v>4</v>
      </c>
      <c r="J889" s="3" t="n">
        <v>3</v>
      </c>
      <c r="K889" s="3" t="n">
        <v>4</v>
      </c>
      <c r="L889" s="3" t="n">
        <v>4</v>
      </c>
      <c r="M889" s="3" t="n">
        <v>4</v>
      </c>
      <c r="N889" s="3" t="n">
        <v>4</v>
      </c>
      <c r="O889" s="6" t="b">
        <f aca="false">FALSE()</f>
        <v>0</v>
      </c>
      <c r="P889" s="3"/>
      <c r="Q889" s="5" t="n">
        <v>46216.7013888889</v>
      </c>
      <c r="R889" s="5" t="n">
        <v>46216.7583333333</v>
      </c>
      <c r="S889" s="3" t="s">
        <v>1699</v>
      </c>
      <c r="T889" s="7" t="n">
        <f aca="false">ROUND(MIN(IF(OR(O889=TRUE(),O889="TRUE",O889="Yes"),59,100),(I889*Rubric!$C$2+J889*Rubric!$C$3+K889*Rubric!$C$4+L889*Rubric!$C$5+M889*Rubric!$C$6+N889*Rubric!$C$7)/5),1)</f>
        <v>75</v>
      </c>
      <c r="U889" s="8" t="str">
        <f aca="false">LOOKUP(T889,Bands!$A$2:$A$6,Bands!$B$2:$B$6)</f>
        <v>Meets Expectations</v>
      </c>
      <c r="V889" s="8" t="n">
        <f aca="false">IF(Q889="","",ROUND((Q889-B889)*24,1))</f>
        <v>0</v>
      </c>
    </row>
    <row r="890" customFormat="false" ht="15" hidden="false" customHeight="false" outlineLevel="0" collapsed="false">
      <c r="A890" s="3" t="s">
        <v>1914</v>
      </c>
      <c r="B890" s="5" t="n">
        <v>46217.4666666667</v>
      </c>
      <c r="C890" s="3" t="s">
        <v>68</v>
      </c>
      <c r="D890" s="3" t="s">
        <v>198</v>
      </c>
      <c r="E890" s="3" t="s">
        <v>199</v>
      </c>
      <c r="F890" s="3" t="s">
        <v>33</v>
      </c>
      <c r="G890" s="3" t="s">
        <v>42</v>
      </c>
      <c r="H890" s="3" t="s">
        <v>1915</v>
      </c>
      <c r="I890" s="3" t="n">
        <v>4</v>
      </c>
      <c r="J890" s="3" t="n">
        <v>4</v>
      </c>
      <c r="K890" s="3" t="n">
        <v>5</v>
      </c>
      <c r="L890" s="3" t="n">
        <v>5</v>
      </c>
      <c r="M890" s="3" t="n">
        <v>4</v>
      </c>
      <c r="N890" s="3" t="n">
        <v>4</v>
      </c>
      <c r="O890" s="6" t="b">
        <f aca="false">FALSE()</f>
        <v>0</v>
      </c>
      <c r="P890" s="3"/>
      <c r="Q890" s="5" t="n">
        <v>46217.46875</v>
      </c>
      <c r="R890" s="5" t="n">
        <v>46217.7326388889</v>
      </c>
      <c r="S890" s="3" t="s">
        <v>1699</v>
      </c>
      <c r="T890" s="7" t="n">
        <f aca="false">ROUND(MIN(IF(OR(O890=TRUE(),O890="TRUE",O890="Yes"),59,100),(I890*Rubric!$C$2+J890*Rubric!$C$3+K890*Rubric!$C$4+L890*Rubric!$C$5+M890*Rubric!$C$6+N890*Rubric!$C$7)/5),1)</f>
        <v>87</v>
      </c>
      <c r="U890" s="8" t="str">
        <f aca="false">LOOKUP(T890,Bands!$A$2:$A$6,Bands!$B$2:$B$6)</f>
        <v>Solid Performance</v>
      </c>
      <c r="V890" s="8" t="n">
        <f aca="false">IF(Q890="","",ROUND((Q890-B890)*24,1))</f>
        <v>0</v>
      </c>
    </row>
    <row r="891" customFormat="false" ht="15" hidden="false" customHeight="false" outlineLevel="0" collapsed="false">
      <c r="A891" s="3" t="s">
        <v>1916</v>
      </c>
      <c r="B891" s="5" t="n">
        <v>46217.6055555556</v>
      </c>
      <c r="C891" s="3" t="s">
        <v>39</v>
      </c>
      <c r="D891" s="3" t="s">
        <v>228</v>
      </c>
      <c r="E891" s="3" t="s">
        <v>229</v>
      </c>
      <c r="F891" s="3" t="s">
        <v>65</v>
      </c>
      <c r="G891" s="3" t="s">
        <v>42</v>
      </c>
      <c r="H891" s="3" t="s">
        <v>1917</v>
      </c>
      <c r="I891" s="3" t="n">
        <v>4</v>
      </c>
      <c r="J891" s="3" t="n">
        <v>3</v>
      </c>
      <c r="K891" s="3" t="n">
        <v>3</v>
      </c>
      <c r="L891" s="3" t="n">
        <v>2</v>
      </c>
      <c r="M891" s="3" t="n">
        <v>3</v>
      </c>
      <c r="N891" s="3" t="n">
        <v>2</v>
      </c>
      <c r="O891" s="6" t="b">
        <f aca="false">FALSE()</f>
        <v>0</v>
      </c>
      <c r="P891" s="3" t="s">
        <v>128</v>
      </c>
      <c r="Q891" s="5" t="n">
        <v>46217.6076388889</v>
      </c>
      <c r="R891" s="5" t="n">
        <v>46218.0375</v>
      </c>
      <c r="S891" s="3" t="s">
        <v>1699</v>
      </c>
      <c r="T891" s="7" t="n">
        <f aca="false">ROUND(MIN(IF(OR(O891=TRUE(),O891="TRUE",O891="Yes"),59,100),(I891*Rubric!$C$2+J891*Rubric!$C$3+K891*Rubric!$C$4+L891*Rubric!$C$5+M891*Rubric!$C$6+N891*Rubric!$C$7)/5),1)</f>
        <v>57</v>
      </c>
      <c r="U891" s="8" t="str">
        <f aca="false">LOOKUP(T891,Bands!$A$2:$A$6,Bands!$B$2:$B$6)</f>
        <v>Critical</v>
      </c>
      <c r="V891" s="8" t="n">
        <f aca="false">IF(Q891="","",ROUND((Q891-B891)*24,1))</f>
        <v>0</v>
      </c>
    </row>
    <row r="892" customFormat="false" ht="15" hidden="false" customHeight="false" outlineLevel="0" collapsed="false">
      <c r="A892" s="3" t="s">
        <v>1918</v>
      </c>
      <c r="B892" s="5" t="n">
        <v>46217.6319444445</v>
      </c>
      <c r="C892" s="3" t="s">
        <v>30</v>
      </c>
      <c r="D892" s="3" t="s">
        <v>151</v>
      </c>
      <c r="E892" s="3" t="s">
        <v>152</v>
      </c>
      <c r="F892" s="3" t="s">
        <v>33</v>
      </c>
      <c r="G892" s="3" t="s">
        <v>42</v>
      </c>
      <c r="H892" s="3" t="s">
        <v>1919</v>
      </c>
      <c r="I892" s="3" t="n">
        <v>4</v>
      </c>
      <c r="J892" s="3" t="n">
        <v>3</v>
      </c>
      <c r="K892" s="3" t="n">
        <v>5</v>
      </c>
      <c r="L892" s="3" t="n">
        <v>4</v>
      </c>
      <c r="M892" s="3" t="n">
        <v>4</v>
      </c>
      <c r="N892" s="3" t="n">
        <v>4</v>
      </c>
      <c r="O892" s="6" t="b">
        <f aca="false">FALSE()</f>
        <v>0</v>
      </c>
      <c r="P892" s="3"/>
      <c r="Q892" s="5" t="n">
        <v>46217.6326388889</v>
      </c>
      <c r="R892" s="5" t="n">
        <v>46217.9458333333</v>
      </c>
      <c r="S892" s="3" t="s">
        <v>1699</v>
      </c>
      <c r="T892" s="7" t="n">
        <f aca="false">ROUND(MIN(IF(OR(O892=TRUE(),O892="TRUE",O892="Yes"),59,100),(I892*Rubric!$C$2+J892*Rubric!$C$3+K892*Rubric!$C$4+L892*Rubric!$C$5+M892*Rubric!$C$6+N892*Rubric!$C$7)/5),1)</f>
        <v>79</v>
      </c>
      <c r="U892" s="8" t="str">
        <f aca="false">LOOKUP(T892,Bands!$A$2:$A$6,Bands!$B$2:$B$6)</f>
        <v>Meets Expectations</v>
      </c>
      <c r="V892" s="8" t="n">
        <f aca="false">IF(Q892="","",ROUND((Q892-B892)*24,1))</f>
        <v>0</v>
      </c>
    </row>
    <row r="893" customFormat="false" ht="15" hidden="false" customHeight="false" outlineLevel="0" collapsed="false">
      <c r="A893" s="3" t="s">
        <v>1920</v>
      </c>
      <c r="B893" s="5" t="n">
        <v>46217.6354166667</v>
      </c>
      <c r="C893" s="3" t="s">
        <v>39</v>
      </c>
      <c r="D893" s="3" t="s">
        <v>73</v>
      </c>
      <c r="E893" s="3" t="s">
        <v>74</v>
      </c>
      <c r="F893" s="3" t="s">
        <v>33</v>
      </c>
      <c r="G893" s="3" t="s">
        <v>42</v>
      </c>
      <c r="H893" s="3" t="s">
        <v>1921</v>
      </c>
      <c r="I893" s="3" t="n">
        <v>4</v>
      </c>
      <c r="J893" s="3" t="n">
        <v>5</v>
      </c>
      <c r="K893" s="3" t="n">
        <v>4</v>
      </c>
      <c r="L893" s="3" t="n">
        <v>5</v>
      </c>
      <c r="M893" s="3" t="n">
        <v>5</v>
      </c>
      <c r="N893" s="3" t="n">
        <v>3</v>
      </c>
      <c r="O893" s="6" t="b">
        <f aca="false">FALSE()</f>
        <v>0</v>
      </c>
      <c r="P893" s="3"/>
      <c r="Q893" s="5" t="n">
        <v>46217.6368055556</v>
      </c>
      <c r="R893" s="5" t="n">
        <v>46217.7631944444</v>
      </c>
      <c r="S893" s="3" t="s">
        <v>1699</v>
      </c>
      <c r="T893" s="7" t="n">
        <f aca="false">ROUND(MIN(IF(OR(O893=TRUE(),O893="TRUE",O893="Yes"),59,100),(I893*Rubric!$C$2+J893*Rubric!$C$3+K893*Rubric!$C$4+L893*Rubric!$C$5+M893*Rubric!$C$6+N893*Rubric!$C$7)/5),1)</f>
        <v>87</v>
      </c>
      <c r="U893" s="8" t="str">
        <f aca="false">LOOKUP(T893,Bands!$A$2:$A$6,Bands!$B$2:$B$6)</f>
        <v>Solid Performance</v>
      </c>
      <c r="V893" s="8" t="n">
        <f aca="false">IF(Q893="","",ROUND((Q893-B893)*24,1))</f>
        <v>0</v>
      </c>
    </row>
    <row r="894" customFormat="false" ht="15" hidden="false" customHeight="false" outlineLevel="0" collapsed="false">
      <c r="A894" s="3" t="s">
        <v>1922</v>
      </c>
      <c r="B894" s="5" t="n">
        <v>46217.4951388889</v>
      </c>
      <c r="C894" s="3" t="s">
        <v>30</v>
      </c>
      <c r="D894" s="3" t="s">
        <v>100</v>
      </c>
      <c r="E894" s="3" t="s">
        <v>101</v>
      </c>
      <c r="F894" s="3" t="s">
        <v>33</v>
      </c>
      <c r="G894" s="3" t="s">
        <v>54</v>
      </c>
      <c r="H894" s="3" t="s">
        <v>1923</v>
      </c>
      <c r="I894" s="3" t="n">
        <v>4</v>
      </c>
      <c r="J894" s="3" t="n">
        <v>5</v>
      </c>
      <c r="K894" s="3" t="n">
        <v>4</v>
      </c>
      <c r="L894" s="3" t="n">
        <v>3</v>
      </c>
      <c r="M894" s="3" t="n">
        <v>3</v>
      </c>
      <c r="N894" s="3" t="n">
        <v>5</v>
      </c>
      <c r="O894" s="6" t="b">
        <f aca="false">FALSE()</f>
        <v>0</v>
      </c>
      <c r="P894" s="3"/>
      <c r="Q894" s="5" t="n">
        <v>46217.4958333333</v>
      </c>
      <c r="R894" s="5" t="n">
        <v>46219.3805555556</v>
      </c>
      <c r="S894" s="3" t="s">
        <v>1699</v>
      </c>
      <c r="T894" s="7" t="n">
        <f aca="false">ROUND(MIN(IF(OR(O894=TRUE(),O894="TRUE",O894="Yes"),59,100),(I894*Rubric!$C$2+J894*Rubric!$C$3+K894*Rubric!$C$4+L894*Rubric!$C$5+M894*Rubric!$C$6+N894*Rubric!$C$7)/5),1)</f>
        <v>83</v>
      </c>
      <c r="U894" s="8" t="str">
        <f aca="false">LOOKUP(T894,Bands!$A$2:$A$6,Bands!$B$2:$B$6)</f>
        <v>Solid Performance</v>
      </c>
      <c r="V894" s="8" t="n">
        <f aca="false">IF(Q894="","",ROUND((Q894-B894)*24,1))</f>
        <v>0</v>
      </c>
    </row>
    <row r="895" customFormat="false" ht="15" hidden="false" customHeight="false" outlineLevel="0" collapsed="false">
      <c r="A895" s="3" t="s">
        <v>1924</v>
      </c>
      <c r="B895" s="5" t="n">
        <v>46217.5701388889</v>
      </c>
      <c r="C895" s="3" t="s">
        <v>68</v>
      </c>
      <c r="D895" s="3" t="s">
        <v>51</v>
      </c>
      <c r="E895" s="3" t="s">
        <v>52</v>
      </c>
      <c r="F895" s="3" t="s">
        <v>53</v>
      </c>
      <c r="G895" s="3" t="s">
        <v>54</v>
      </c>
      <c r="H895" s="3" t="s">
        <v>1925</v>
      </c>
      <c r="I895" s="3" t="n">
        <v>3</v>
      </c>
      <c r="J895" s="3" t="n">
        <v>3</v>
      </c>
      <c r="K895" s="3" t="n">
        <v>4</v>
      </c>
      <c r="L895" s="3" t="n">
        <v>4</v>
      </c>
      <c r="M895" s="3" t="n">
        <v>4</v>
      </c>
      <c r="N895" s="3" t="n">
        <v>3</v>
      </c>
      <c r="O895" s="6" t="b">
        <f aca="false">FALSE()</f>
        <v>0</v>
      </c>
      <c r="P895" s="3"/>
      <c r="Q895" s="5" t="n">
        <v>46217.5708333333</v>
      </c>
      <c r="R895" s="5" t="n">
        <v>46217.5868055556</v>
      </c>
      <c r="S895" s="3" t="s">
        <v>1699</v>
      </c>
      <c r="T895" s="7" t="n">
        <f aca="false">ROUND(MIN(IF(OR(O895=TRUE(),O895="TRUE",O895="Yes"),59,100),(I895*Rubric!$C$2+J895*Rubric!$C$3+K895*Rubric!$C$4+L895*Rubric!$C$5+M895*Rubric!$C$6+N895*Rubric!$C$7)/5),1)</f>
        <v>69</v>
      </c>
      <c r="U895" s="8" t="str">
        <f aca="false">LOOKUP(T895,Bands!$A$2:$A$6,Bands!$B$2:$B$6)</f>
        <v>Needs Improvement</v>
      </c>
      <c r="V895" s="8" t="n">
        <f aca="false">IF(Q895="","",ROUND((Q895-B895)*24,1))</f>
        <v>0</v>
      </c>
    </row>
    <row r="896" customFormat="false" ht="15" hidden="false" customHeight="false" outlineLevel="0" collapsed="false">
      <c r="A896" s="3" t="s">
        <v>1926</v>
      </c>
      <c r="B896" s="5" t="n">
        <v>46217.4138888889</v>
      </c>
      <c r="C896" s="3" t="s">
        <v>68</v>
      </c>
      <c r="D896" s="3" t="s">
        <v>259</v>
      </c>
      <c r="E896" s="3" t="s">
        <v>260</v>
      </c>
      <c r="F896" s="3" t="s">
        <v>33</v>
      </c>
      <c r="G896" s="3" t="s">
        <v>42</v>
      </c>
      <c r="H896" s="3" t="s">
        <v>1927</v>
      </c>
      <c r="I896" s="3" t="n">
        <v>5</v>
      </c>
      <c r="J896" s="3" t="n">
        <v>5</v>
      </c>
      <c r="K896" s="3" t="n">
        <v>4</v>
      </c>
      <c r="L896" s="3" t="n">
        <v>4</v>
      </c>
      <c r="M896" s="3" t="n">
        <v>5</v>
      </c>
      <c r="N896" s="3" t="n">
        <v>5</v>
      </c>
      <c r="O896" s="6" t="b">
        <f aca="false">FALSE()</f>
        <v>0</v>
      </c>
      <c r="P896" s="3"/>
      <c r="Q896" s="5" t="n">
        <v>46217.4152777778</v>
      </c>
      <c r="R896" s="5" t="n">
        <v>46217.5104166667</v>
      </c>
      <c r="S896" s="3" t="s">
        <v>1699</v>
      </c>
      <c r="T896" s="7" t="n">
        <f aca="false">ROUND(MIN(IF(OR(O896=TRUE(),O896="TRUE",O896="Yes"),59,100),(I896*Rubric!$C$2+J896*Rubric!$C$3+K896*Rubric!$C$4+L896*Rubric!$C$5+M896*Rubric!$C$6+N896*Rubric!$C$7)/5),1)</f>
        <v>93</v>
      </c>
      <c r="U896" s="8" t="str">
        <f aca="false">LOOKUP(T896,Bands!$A$2:$A$6,Bands!$B$2:$B$6)</f>
        <v>Outstanding</v>
      </c>
      <c r="V896" s="8" t="n">
        <f aca="false">IF(Q896="","",ROUND((Q896-B896)*24,1))</f>
        <v>0</v>
      </c>
    </row>
    <row r="897" customFormat="false" ht="15" hidden="false" customHeight="false" outlineLevel="0" collapsed="false">
      <c r="A897" s="3" t="s">
        <v>1928</v>
      </c>
      <c r="B897" s="5" t="n">
        <v>46217.6326388889</v>
      </c>
      <c r="C897" s="3" t="s">
        <v>39</v>
      </c>
      <c r="D897" s="3" t="s">
        <v>194</v>
      </c>
      <c r="E897" s="3" t="s">
        <v>195</v>
      </c>
      <c r="F897" s="3" t="s">
        <v>53</v>
      </c>
      <c r="G897" s="3" t="s">
        <v>54</v>
      </c>
      <c r="H897" s="3" t="s">
        <v>1929</v>
      </c>
      <c r="I897" s="3" t="n">
        <v>4</v>
      </c>
      <c r="J897" s="3" t="n">
        <v>4</v>
      </c>
      <c r="K897" s="3" t="n">
        <v>3</v>
      </c>
      <c r="L897" s="3" t="n">
        <v>3</v>
      </c>
      <c r="M897" s="3" t="n">
        <v>4</v>
      </c>
      <c r="N897" s="3" t="n">
        <v>4</v>
      </c>
      <c r="O897" s="6" t="b">
        <f aca="false">FALSE()</f>
        <v>0</v>
      </c>
      <c r="P897" s="3"/>
      <c r="Q897" s="5" t="n">
        <v>46217.6347222222</v>
      </c>
      <c r="R897" s="5" t="n">
        <v>46217.7756944444</v>
      </c>
      <c r="S897" s="3" t="s">
        <v>1699</v>
      </c>
      <c r="T897" s="7" t="n">
        <f aca="false">ROUND(MIN(IF(OR(O897=TRUE(),O897="TRUE",O897="Yes"),59,100),(I897*Rubric!$C$2+J897*Rubric!$C$3+K897*Rubric!$C$4+L897*Rubric!$C$5+M897*Rubric!$C$6+N897*Rubric!$C$7)/5),1)</f>
        <v>73</v>
      </c>
      <c r="U897" s="8" t="str">
        <f aca="false">LOOKUP(T897,Bands!$A$2:$A$6,Bands!$B$2:$B$6)</f>
        <v>Meets Expectations</v>
      </c>
      <c r="V897" s="8" t="n">
        <f aca="false">IF(Q897="","",ROUND((Q897-B897)*24,1))</f>
        <v>0</v>
      </c>
    </row>
    <row r="898" customFormat="false" ht="15" hidden="false" customHeight="false" outlineLevel="0" collapsed="false">
      <c r="A898" s="3" t="s">
        <v>1930</v>
      </c>
      <c r="B898" s="5" t="n">
        <v>46217.6534722222</v>
      </c>
      <c r="C898" s="3" t="s">
        <v>30</v>
      </c>
      <c r="D898" s="3" t="s">
        <v>40</v>
      </c>
      <c r="E898" s="3" t="s">
        <v>41</v>
      </c>
      <c r="F898" s="3" t="s">
        <v>33</v>
      </c>
      <c r="G898" s="3" t="s">
        <v>54</v>
      </c>
      <c r="H898" s="3" t="s">
        <v>1931</v>
      </c>
      <c r="I898" s="3" t="n">
        <v>4</v>
      </c>
      <c r="J898" s="3" t="n">
        <v>3</v>
      </c>
      <c r="K898" s="3" t="n">
        <v>4</v>
      </c>
      <c r="L898" s="3" t="n">
        <v>3</v>
      </c>
      <c r="M898" s="3" t="n">
        <v>4</v>
      </c>
      <c r="N898" s="3" t="n">
        <v>4</v>
      </c>
      <c r="O898" s="6" t="b">
        <f aca="false">FALSE()</f>
        <v>0</v>
      </c>
      <c r="P898" s="3"/>
      <c r="Q898" s="5" t="n">
        <v>46217.6555555556</v>
      </c>
      <c r="R898" s="5" t="n">
        <v>46217.6916666667</v>
      </c>
      <c r="S898" s="3" t="s">
        <v>1699</v>
      </c>
      <c r="T898" s="7" t="n">
        <f aca="false">ROUND(MIN(IF(OR(O898=TRUE(),O898="TRUE",O898="Yes"),59,100),(I898*Rubric!$C$2+J898*Rubric!$C$3+K898*Rubric!$C$4+L898*Rubric!$C$5+M898*Rubric!$C$6+N898*Rubric!$C$7)/5),1)</f>
        <v>72</v>
      </c>
      <c r="U898" s="8" t="str">
        <f aca="false">LOOKUP(T898,Bands!$A$2:$A$6,Bands!$B$2:$B$6)</f>
        <v>Meets Expectations</v>
      </c>
      <c r="V898" s="8" t="n">
        <f aca="false">IF(Q898="","",ROUND((Q898-B898)*24,1))</f>
        <v>0.1</v>
      </c>
    </row>
    <row r="899" customFormat="false" ht="15" hidden="false" customHeight="false" outlineLevel="0" collapsed="false">
      <c r="A899" s="3" t="s">
        <v>1932</v>
      </c>
      <c r="B899" s="5" t="n">
        <v>46217.5333333333</v>
      </c>
      <c r="C899" s="3" t="s">
        <v>30</v>
      </c>
      <c r="D899" s="3" t="s">
        <v>96</v>
      </c>
      <c r="E899" s="3" t="s">
        <v>97</v>
      </c>
      <c r="F899" s="3" t="s">
        <v>33</v>
      </c>
      <c r="G899" s="3" t="s">
        <v>42</v>
      </c>
      <c r="H899" s="3" t="s">
        <v>1933</v>
      </c>
      <c r="I899" s="3" t="n">
        <v>5</v>
      </c>
      <c r="J899" s="3" t="n">
        <v>3</v>
      </c>
      <c r="K899" s="3" t="n">
        <v>5</v>
      </c>
      <c r="L899" s="3" t="n">
        <v>4</v>
      </c>
      <c r="M899" s="3" t="n">
        <v>4</v>
      </c>
      <c r="N899" s="3" t="n">
        <v>5</v>
      </c>
      <c r="O899" s="6" t="b">
        <f aca="false">FALSE()</f>
        <v>0</v>
      </c>
      <c r="P899" s="3"/>
      <c r="Q899" s="5" t="n">
        <v>46217.5340277778</v>
      </c>
      <c r="R899" s="5" t="n">
        <v>46217.7201388889</v>
      </c>
      <c r="S899" s="3" t="s">
        <v>1699</v>
      </c>
      <c r="T899" s="7" t="n">
        <f aca="false">ROUND(MIN(IF(OR(O899=TRUE(),O899="TRUE",O899="Yes"),59,100),(I899*Rubric!$C$2+J899*Rubric!$C$3+K899*Rubric!$C$4+L899*Rubric!$C$5+M899*Rubric!$C$6+N899*Rubric!$C$7)/5),1)</f>
        <v>85</v>
      </c>
      <c r="U899" s="8" t="str">
        <f aca="false">LOOKUP(T899,Bands!$A$2:$A$6,Bands!$B$2:$B$6)</f>
        <v>Solid Performance</v>
      </c>
      <c r="V899" s="8" t="n">
        <f aca="false">IF(Q899="","",ROUND((Q899-B899)*24,1))</f>
        <v>0</v>
      </c>
    </row>
    <row r="900" customFormat="false" ht="15" hidden="false" customHeight="false" outlineLevel="0" collapsed="false">
      <c r="A900" s="3" t="s">
        <v>1934</v>
      </c>
      <c r="B900" s="5" t="n">
        <v>46217.5444444444</v>
      </c>
      <c r="C900" s="3" t="s">
        <v>68</v>
      </c>
      <c r="D900" s="3" t="s">
        <v>251</v>
      </c>
      <c r="E900" s="3" t="s">
        <v>252</v>
      </c>
      <c r="F900" s="3" t="s">
        <v>53</v>
      </c>
      <c r="G900" s="3" t="s">
        <v>54</v>
      </c>
      <c r="H900" s="3" t="s">
        <v>1935</v>
      </c>
      <c r="I900" s="3" t="n">
        <v>3</v>
      </c>
      <c r="J900" s="3" t="n">
        <v>4</v>
      </c>
      <c r="K900" s="3" t="n">
        <v>4</v>
      </c>
      <c r="L900" s="3" t="n">
        <v>4</v>
      </c>
      <c r="M900" s="3" t="n">
        <v>4</v>
      </c>
      <c r="N900" s="3" t="n">
        <v>4</v>
      </c>
      <c r="O900" s="6" t="b">
        <f aca="false">FALSE()</f>
        <v>0</v>
      </c>
      <c r="P900" s="3"/>
      <c r="Q900" s="5" t="n">
        <v>46217.5458333333</v>
      </c>
      <c r="R900" s="5" t="n">
        <v>46217.6409722222</v>
      </c>
      <c r="S900" s="3" t="s">
        <v>1699</v>
      </c>
      <c r="T900" s="7" t="n">
        <f aca="false">ROUND(MIN(IF(OR(O900=TRUE(),O900="TRUE",O900="Yes"),59,100),(I900*Rubric!$C$2+J900*Rubric!$C$3+K900*Rubric!$C$4+L900*Rubric!$C$5+M900*Rubric!$C$6+N900*Rubric!$C$7)/5),1)</f>
        <v>77</v>
      </c>
      <c r="U900" s="8" t="str">
        <f aca="false">LOOKUP(T900,Bands!$A$2:$A$6,Bands!$B$2:$B$6)</f>
        <v>Meets Expectations</v>
      </c>
      <c r="V900" s="8" t="n">
        <f aca="false">IF(Q900="","",ROUND((Q900-B900)*24,1))</f>
        <v>0</v>
      </c>
    </row>
    <row r="901" customFormat="false" ht="15" hidden="false" customHeight="false" outlineLevel="0" collapsed="false">
      <c r="A901" s="3" t="s">
        <v>1936</v>
      </c>
      <c r="B901" s="5" t="n">
        <v>46217.5875</v>
      </c>
      <c r="C901" s="3" t="s">
        <v>68</v>
      </c>
      <c r="D901" s="3" t="s">
        <v>85</v>
      </c>
      <c r="E901" s="3" t="s">
        <v>86</v>
      </c>
      <c r="F901" s="3" t="s">
        <v>33</v>
      </c>
      <c r="G901" s="3" t="s">
        <v>42</v>
      </c>
      <c r="H901" s="3" t="s">
        <v>1937</v>
      </c>
      <c r="I901" s="3" t="n">
        <v>3</v>
      </c>
      <c r="J901" s="3" t="n">
        <v>4</v>
      </c>
      <c r="K901" s="3" t="n">
        <v>4</v>
      </c>
      <c r="L901" s="3" t="n">
        <v>5</v>
      </c>
      <c r="M901" s="3" t="n">
        <v>4</v>
      </c>
      <c r="N901" s="3" t="n">
        <v>5</v>
      </c>
      <c r="O901" s="6" t="b">
        <f aca="false">FALSE()</f>
        <v>0</v>
      </c>
      <c r="P901" s="3"/>
      <c r="Q901" s="5" t="n">
        <v>46217.5895833333</v>
      </c>
      <c r="R901" s="5" t="n">
        <v>46217.7833333333</v>
      </c>
      <c r="S901" s="3" t="s">
        <v>1699</v>
      </c>
      <c r="T901" s="7" t="n">
        <f aca="false">ROUND(MIN(IF(OR(O901=TRUE(),O901="TRUE",O901="Yes"),59,100),(I901*Rubric!$C$2+J901*Rubric!$C$3+K901*Rubric!$C$4+L901*Rubric!$C$5+M901*Rubric!$C$6+N901*Rubric!$C$7)/5),1)</f>
        <v>83</v>
      </c>
      <c r="U901" s="8" t="str">
        <f aca="false">LOOKUP(T901,Bands!$A$2:$A$6,Bands!$B$2:$B$6)</f>
        <v>Solid Performance</v>
      </c>
      <c r="V901" s="8" t="n">
        <f aca="false">IF(Q901="","",ROUND((Q901-B901)*24,1))</f>
        <v>0</v>
      </c>
    </row>
    <row r="902" customFormat="false" ht="15" hidden="false" customHeight="false" outlineLevel="0" collapsed="false">
      <c r="A902" s="3" t="s">
        <v>1938</v>
      </c>
      <c r="B902" s="5" t="n">
        <v>46218.6548611111</v>
      </c>
      <c r="C902" s="3" t="s">
        <v>39</v>
      </c>
      <c r="D902" s="3" t="s">
        <v>238</v>
      </c>
      <c r="E902" s="3" t="s">
        <v>239</v>
      </c>
      <c r="F902" s="3" t="s">
        <v>33</v>
      </c>
      <c r="G902" s="3" t="s">
        <v>54</v>
      </c>
      <c r="H902" s="3" t="s">
        <v>1939</v>
      </c>
      <c r="I902" s="3" t="n">
        <v>3</v>
      </c>
      <c r="J902" s="3" t="n">
        <v>4</v>
      </c>
      <c r="K902" s="3" t="n">
        <v>4</v>
      </c>
      <c r="L902" s="3" t="n">
        <v>4</v>
      </c>
      <c r="M902" s="3" t="n">
        <v>3</v>
      </c>
      <c r="N902" s="3" t="n">
        <v>5</v>
      </c>
      <c r="O902" s="6" t="b">
        <f aca="false">FALSE()</f>
        <v>0</v>
      </c>
      <c r="P902" s="3"/>
      <c r="Q902" s="5" t="n">
        <v>46218.65625</v>
      </c>
      <c r="R902" s="5" t="n">
        <v>46218.8819444445</v>
      </c>
      <c r="S902" s="3" t="s">
        <v>1699</v>
      </c>
      <c r="T902" s="7" t="n">
        <f aca="false">ROUND(MIN(IF(OR(O902=TRUE(),O902="TRUE",O902="Yes"),59,100),(I902*Rubric!$C$2+J902*Rubric!$C$3+K902*Rubric!$C$4+L902*Rubric!$C$5+M902*Rubric!$C$6+N902*Rubric!$C$7)/5),1)</f>
        <v>78</v>
      </c>
      <c r="U902" s="8" t="str">
        <f aca="false">LOOKUP(T902,Bands!$A$2:$A$6,Bands!$B$2:$B$6)</f>
        <v>Meets Expectations</v>
      </c>
      <c r="V902" s="8" t="n">
        <f aca="false">IF(Q902="","",ROUND((Q902-B902)*24,1))</f>
        <v>0</v>
      </c>
    </row>
    <row r="903" customFormat="false" ht="15" hidden="false" customHeight="false" outlineLevel="0" collapsed="false">
      <c r="A903" s="3" t="s">
        <v>1940</v>
      </c>
      <c r="B903" s="5" t="n">
        <v>46218.4555555556</v>
      </c>
      <c r="C903" s="3" t="s">
        <v>68</v>
      </c>
      <c r="D903" s="3" t="s">
        <v>90</v>
      </c>
      <c r="E903" s="3" t="s">
        <v>91</v>
      </c>
      <c r="F903" s="3" t="s">
        <v>65</v>
      </c>
      <c r="G903" s="3" t="s">
        <v>34</v>
      </c>
      <c r="H903" s="3" t="s">
        <v>1941</v>
      </c>
      <c r="I903" s="3" t="n">
        <v>4</v>
      </c>
      <c r="J903" s="3" t="n">
        <v>4</v>
      </c>
      <c r="K903" s="3" t="n">
        <v>4</v>
      </c>
      <c r="L903" s="3" t="n">
        <v>2</v>
      </c>
      <c r="M903" s="3" t="n">
        <v>4</v>
      </c>
      <c r="N903" s="3" t="n">
        <v>4</v>
      </c>
      <c r="O903" s="6" t="b">
        <f aca="false">FALSE()</f>
        <v>0</v>
      </c>
      <c r="P903" s="3" t="s">
        <v>44</v>
      </c>
      <c r="Q903" s="5" t="n">
        <v>46218.4569444444</v>
      </c>
      <c r="R903" s="5" t="n">
        <v>46218.5083333333</v>
      </c>
      <c r="S903" s="3" t="s">
        <v>1699</v>
      </c>
      <c r="T903" s="7" t="n">
        <f aca="false">ROUND(MIN(IF(OR(O903=TRUE(),O903="TRUE",O903="Yes"),59,100),(I903*Rubric!$C$2+J903*Rubric!$C$3+K903*Rubric!$C$4+L903*Rubric!$C$5+M903*Rubric!$C$6+N903*Rubric!$C$7)/5),1)</f>
        <v>74</v>
      </c>
      <c r="U903" s="8" t="str">
        <f aca="false">LOOKUP(T903,Bands!$A$2:$A$6,Bands!$B$2:$B$6)</f>
        <v>Meets Expectations</v>
      </c>
      <c r="V903" s="8" t="n">
        <f aca="false">IF(Q903="","",ROUND((Q903-B903)*24,1))</f>
        <v>0</v>
      </c>
    </row>
    <row r="904" customFormat="false" ht="15" hidden="false" customHeight="false" outlineLevel="0" collapsed="false">
      <c r="A904" s="3" t="s">
        <v>1942</v>
      </c>
      <c r="B904" s="5" t="n">
        <v>46218.5826388889</v>
      </c>
      <c r="C904" s="3" t="s">
        <v>39</v>
      </c>
      <c r="D904" s="3" t="s">
        <v>366</v>
      </c>
      <c r="E904" s="3" t="s">
        <v>367</v>
      </c>
      <c r="F904" s="3" t="s">
        <v>53</v>
      </c>
      <c r="G904" s="3" t="s">
        <v>54</v>
      </c>
      <c r="H904" s="3" t="s">
        <v>1943</v>
      </c>
      <c r="I904" s="3" t="n">
        <v>5</v>
      </c>
      <c r="J904" s="3" t="n">
        <v>4</v>
      </c>
      <c r="K904" s="3" t="n">
        <v>3</v>
      </c>
      <c r="L904" s="3" t="n">
        <v>4</v>
      </c>
      <c r="M904" s="3" t="n">
        <v>4</v>
      </c>
      <c r="N904" s="3" t="n">
        <v>4</v>
      </c>
      <c r="O904" s="6" t="b">
        <f aca="false">FALSE()</f>
        <v>0</v>
      </c>
      <c r="P904" s="3"/>
      <c r="Q904" s="5" t="n">
        <v>46218.5840277778</v>
      </c>
      <c r="R904" s="5" t="n">
        <v>46218.7256944445</v>
      </c>
      <c r="S904" s="3" t="s">
        <v>1699</v>
      </c>
      <c r="T904" s="7" t="n">
        <f aca="false">ROUND(MIN(IF(OR(O904=TRUE(),O904="TRUE",O904="Yes"),59,100),(I904*Rubric!$C$2+J904*Rubric!$C$3+K904*Rubric!$C$4+L904*Rubric!$C$5+M904*Rubric!$C$6+N904*Rubric!$C$7)/5),1)</f>
        <v>79</v>
      </c>
      <c r="U904" s="8" t="str">
        <f aca="false">LOOKUP(T904,Bands!$A$2:$A$6,Bands!$B$2:$B$6)</f>
        <v>Meets Expectations</v>
      </c>
      <c r="V904" s="8" t="n">
        <f aca="false">IF(Q904="","",ROUND((Q904-B904)*24,1))</f>
        <v>0</v>
      </c>
    </row>
    <row r="905" customFormat="false" ht="15" hidden="false" customHeight="false" outlineLevel="0" collapsed="false">
      <c r="A905" s="3" t="s">
        <v>1944</v>
      </c>
      <c r="B905" s="5" t="n">
        <v>46218.4194444444</v>
      </c>
      <c r="C905" s="3" t="s">
        <v>68</v>
      </c>
      <c r="D905" s="3" t="s">
        <v>81</v>
      </c>
      <c r="E905" s="3" t="s">
        <v>82</v>
      </c>
      <c r="F905" s="3" t="s">
        <v>65</v>
      </c>
      <c r="G905" s="3" t="s">
        <v>54</v>
      </c>
      <c r="H905" s="3" t="s">
        <v>1945</v>
      </c>
      <c r="I905" s="3" t="n">
        <v>4</v>
      </c>
      <c r="J905" s="3" t="n">
        <v>3</v>
      </c>
      <c r="K905" s="3" t="n">
        <v>4</v>
      </c>
      <c r="L905" s="3" t="n">
        <v>4</v>
      </c>
      <c r="M905" s="3" t="n">
        <v>4</v>
      </c>
      <c r="N905" s="3" t="n">
        <v>3</v>
      </c>
      <c r="O905" s="6" t="b">
        <f aca="false">FALSE()</f>
        <v>0</v>
      </c>
      <c r="P905" s="3"/>
      <c r="Q905" s="5" t="n">
        <v>46218.4208333333</v>
      </c>
      <c r="R905" s="5" t="n">
        <v>46218.9930555556</v>
      </c>
      <c r="S905" s="3" t="s">
        <v>1699</v>
      </c>
      <c r="T905" s="7" t="n">
        <f aca="false">ROUND(MIN(IF(OR(O905=TRUE(),O905="TRUE",O905="Yes"),59,100),(I905*Rubric!$C$2+J905*Rubric!$C$3+K905*Rubric!$C$4+L905*Rubric!$C$5+M905*Rubric!$C$6+N905*Rubric!$C$7)/5),1)</f>
        <v>72</v>
      </c>
      <c r="U905" s="8" t="str">
        <f aca="false">LOOKUP(T905,Bands!$A$2:$A$6,Bands!$B$2:$B$6)</f>
        <v>Meets Expectations</v>
      </c>
      <c r="V905" s="8" t="n">
        <f aca="false">IF(Q905="","",ROUND((Q905-B905)*24,1))</f>
        <v>0</v>
      </c>
    </row>
    <row r="906" customFormat="false" ht="15" hidden="false" customHeight="false" outlineLevel="0" collapsed="false">
      <c r="A906" s="3" t="s">
        <v>1946</v>
      </c>
      <c r="B906" s="5" t="n">
        <v>46218.3847222222</v>
      </c>
      <c r="C906" s="3" t="s">
        <v>68</v>
      </c>
      <c r="D906" s="3" t="s">
        <v>307</v>
      </c>
      <c r="E906" s="3" t="s">
        <v>308</v>
      </c>
      <c r="F906" s="3" t="s">
        <v>33</v>
      </c>
      <c r="G906" s="3" t="s">
        <v>42</v>
      </c>
      <c r="H906" s="3" t="s">
        <v>1947</v>
      </c>
      <c r="I906" s="3" t="n">
        <v>5</v>
      </c>
      <c r="J906" s="3" t="n">
        <v>4</v>
      </c>
      <c r="K906" s="3" t="n">
        <v>5</v>
      </c>
      <c r="L906" s="3" t="n">
        <v>5</v>
      </c>
      <c r="M906" s="3" t="n">
        <v>5</v>
      </c>
      <c r="N906" s="3" t="n">
        <v>5</v>
      </c>
      <c r="O906" s="6" t="b">
        <f aca="false">FALSE()</f>
        <v>0</v>
      </c>
      <c r="P906" s="3"/>
      <c r="Q906" s="5" t="n">
        <v>46218.3868055556</v>
      </c>
      <c r="R906" s="5" t="n">
        <v>46218.9097222222</v>
      </c>
      <c r="S906" s="3" t="s">
        <v>1699</v>
      </c>
      <c r="T906" s="7" t="n">
        <f aca="false">ROUND(MIN(IF(OR(O906=TRUE(),O906="TRUE",O906="Yes"),59,100),(I906*Rubric!$C$2+J906*Rubric!$C$3+K906*Rubric!$C$4+L906*Rubric!$C$5+M906*Rubric!$C$6+N906*Rubric!$C$7)/5),1)</f>
        <v>95</v>
      </c>
      <c r="U906" s="8" t="str">
        <f aca="false">LOOKUP(T906,Bands!$A$2:$A$6,Bands!$B$2:$B$6)</f>
        <v>Outstanding</v>
      </c>
      <c r="V906" s="8" t="n">
        <f aca="false">IF(Q906="","",ROUND((Q906-B906)*24,1))</f>
        <v>0.1</v>
      </c>
    </row>
    <row r="907" customFormat="false" ht="15" hidden="false" customHeight="false" outlineLevel="0" collapsed="false">
      <c r="A907" s="3" t="s">
        <v>1948</v>
      </c>
      <c r="B907" s="5" t="n">
        <v>46218.6895833333</v>
      </c>
      <c r="C907" s="3" t="s">
        <v>30</v>
      </c>
      <c r="D907" s="3" t="s">
        <v>137</v>
      </c>
      <c r="E907" s="3" t="s">
        <v>138</v>
      </c>
      <c r="F907" s="3" t="s">
        <v>65</v>
      </c>
      <c r="G907" s="3" t="s">
        <v>34</v>
      </c>
      <c r="H907" s="3" t="s">
        <v>1949</v>
      </c>
      <c r="I907" s="3" t="n">
        <v>3</v>
      </c>
      <c r="J907" s="3" t="n">
        <v>5</v>
      </c>
      <c r="K907" s="3" t="n">
        <v>5</v>
      </c>
      <c r="L907" s="3" t="n">
        <v>4</v>
      </c>
      <c r="M907" s="3" t="n">
        <v>5</v>
      </c>
      <c r="N907" s="3" t="n">
        <v>5</v>
      </c>
      <c r="O907" s="6" t="b">
        <f aca="false">FALSE()</f>
        <v>0</v>
      </c>
      <c r="P907" s="3"/>
      <c r="Q907" s="5" t="n">
        <v>46218.6909722222</v>
      </c>
      <c r="R907" s="5" t="n">
        <v>46218.8388888889</v>
      </c>
      <c r="S907" s="3" t="s">
        <v>1699</v>
      </c>
      <c r="T907" s="7" t="n">
        <f aca="false">ROUND(MIN(IF(OR(O907=TRUE(),O907="TRUE",O907="Yes"),59,100),(I907*Rubric!$C$2+J907*Rubric!$C$3+K907*Rubric!$C$4+L907*Rubric!$C$5+M907*Rubric!$C$6+N907*Rubric!$C$7)/5),1)</f>
        <v>91</v>
      </c>
      <c r="U907" s="8" t="str">
        <f aca="false">LOOKUP(T907,Bands!$A$2:$A$6,Bands!$B$2:$B$6)</f>
        <v>Outstanding</v>
      </c>
      <c r="V907" s="8" t="n">
        <f aca="false">IF(Q907="","",ROUND((Q907-B907)*24,1))</f>
        <v>0</v>
      </c>
    </row>
    <row r="908" customFormat="false" ht="15" hidden="false" customHeight="false" outlineLevel="0" collapsed="false">
      <c r="A908" s="3" t="s">
        <v>1950</v>
      </c>
      <c r="B908" s="5" t="n">
        <v>46218.6736111111</v>
      </c>
      <c r="C908" s="3" t="s">
        <v>39</v>
      </c>
      <c r="D908" s="3" t="s">
        <v>105</v>
      </c>
      <c r="E908" s="3" t="s">
        <v>106</v>
      </c>
      <c r="F908" s="3" t="s">
        <v>65</v>
      </c>
      <c r="G908" s="3" t="s">
        <v>54</v>
      </c>
      <c r="H908" s="3" t="s">
        <v>1951</v>
      </c>
      <c r="I908" s="3" t="n">
        <v>3</v>
      </c>
      <c r="J908" s="3" t="n">
        <v>4</v>
      </c>
      <c r="K908" s="3" t="n">
        <v>5</v>
      </c>
      <c r="L908" s="3" t="n">
        <v>5</v>
      </c>
      <c r="M908" s="3" t="n">
        <v>3</v>
      </c>
      <c r="N908" s="3" t="n">
        <v>4</v>
      </c>
      <c r="O908" s="6" t="b">
        <f aca="false">FALSE()</f>
        <v>0</v>
      </c>
      <c r="P908" s="3"/>
      <c r="Q908" s="5" t="n">
        <v>46218.6756944444</v>
      </c>
      <c r="R908" s="5" t="n">
        <v>46218.7701388889</v>
      </c>
      <c r="S908" s="3" t="s">
        <v>1699</v>
      </c>
      <c r="T908" s="7" t="n">
        <f aca="false">ROUND(MIN(IF(OR(O908=TRUE(),O908="TRUE",O908="Yes"),59,100),(I908*Rubric!$C$2+J908*Rubric!$C$3+K908*Rubric!$C$4+L908*Rubric!$C$5+M908*Rubric!$C$6+N908*Rubric!$C$7)/5),1)</f>
        <v>82</v>
      </c>
      <c r="U908" s="8" t="str">
        <f aca="false">LOOKUP(T908,Bands!$A$2:$A$6,Bands!$B$2:$B$6)</f>
        <v>Solid Performance</v>
      </c>
      <c r="V908" s="8" t="n">
        <f aca="false">IF(Q908="","",ROUND((Q908-B908)*24,1))</f>
        <v>0</v>
      </c>
    </row>
    <row r="909" customFormat="false" ht="15" hidden="false" customHeight="false" outlineLevel="0" collapsed="false">
      <c r="A909" s="3" t="s">
        <v>1952</v>
      </c>
      <c r="B909" s="5" t="n">
        <v>46218.4041666667</v>
      </c>
      <c r="C909" s="3" t="s">
        <v>39</v>
      </c>
      <c r="D909" s="3" t="s">
        <v>228</v>
      </c>
      <c r="E909" s="3" t="s">
        <v>229</v>
      </c>
      <c r="F909" s="3" t="s">
        <v>65</v>
      </c>
      <c r="G909" s="3" t="s">
        <v>42</v>
      </c>
      <c r="H909" s="3" t="s">
        <v>1953</v>
      </c>
      <c r="I909" s="3" t="n">
        <v>3</v>
      </c>
      <c r="J909" s="3" t="n">
        <v>3</v>
      </c>
      <c r="K909" s="3" t="n">
        <v>4</v>
      </c>
      <c r="L909" s="3" t="n">
        <v>4</v>
      </c>
      <c r="M909" s="3" t="n">
        <v>4</v>
      </c>
      <c r="N909" s="3" t="n">
        <v>0</v>
      </c>
      <c r="O909" s="6" t="b">
        <f aca="false">TRUE()</f>
        <v>1</v>
      </c>
      <c r="P909" s="3" t="s">
        <v>36</v>
      </c>
      <c r="Q909" s="5" t="n">
        <v>46218.4055555556</v>
      </c>
      <c r="R909" s="5" t="n">
        <v>46218.9597222222</v>
      </c>
      <c r="S909" s="3" t="s">
        <v>1699</v>
      </c>
      <c r="T909" s="7" t="n">
        <f aca="false">ROUND(MIN(IF(OR(O909=TRUE(),O909="TRUE",O909="Yes"),59,100),(I909*Rubric!$C$2+J909*Rubric!$C$3+K909*Rubric!$C$4+L909*Rubric!$C$5+M909*Rubric!$C$6+N909*Rubric!$C$7)/5),1)</f>
        <v>59</v>
      </c>
      <c r="U909" s="8" t="str">
        <f aca="false">LOOKUP(T909,Bands!$A$2:$A$6,Bands!$B$2:$B$6)</f>
        <v>Critical</v>
      </c>
      <c r="V909" s="8" t="n">
        <f aca="false">IF(Q909="","",ROUND((Q909-B909)*24,1))</f>
        <v>0</v>
      </c>
    </row>
    <row r="910" customFormat="false" ht="15" hidden="false" customHeight="false" outlineLevel="0" collapsed="false">
      <c r="A910" s="3" t="s">
        <v>1954</v>
      </c>
      <c r="B910" s="5" t="n">
        <v>46218.6229166667</v>
      </c>
      <c r="C910" s="3" t="s">
        <v>68</v>
      </c>
      <c r="D910" s="3" t="s">
        <v>212</v>
      </c>
      <c r="E910" s="3" t="s">
        <v>213</v>
      </c>
      <c r="F910" s="3" t="s">
        <v>33</v>
      </c>
      <c r="G910" s="3" t="s">
        <v>54</v>
      </c>
      <c r="H910" s="3" t="s">
        <v>1955</v>
      </c>
      <c r="I910" s="3" t="n">
        <v>3</v>
      </c>
      <c r="J910" s="3" t="n">
        <v>3</v>
      </c>
      <c r="K910" s="3" t="n">
        <v>3</v>
      </c>
      <c r="L910" s="3" t="n">
        <v>4</v>
      </c>
      <c r="M910" s="3" t="n">
        <v>4</v>
      </c>
      <c r="N910" s="3" t="n">
        <v>3</v>
      </c>
      <c r="O910" s="6" t="b">
        <f aca="false">FALSE()</f>
        <v>0</v>
      </c>
      <c r="P910" s="3"/>
      <c r="Q910" s="5" t="n">
        <v>46218.625</v>
      </c>
      <c r="R910" s="5" t="n">
        <v>46218.8784722222</v>
      </c>
      <c r="S910" s="3" t="s">
        <v>1699</v>
      </c>
      <c r="T910" s="7" t="n">
        <f aca="false">ROUND(MIN(IF(OR(O910=TRUE(),O910="TRUE",O910="Yes"),59,100),(I910*Rubric!$C$2+J910*Rubric!$C$3+K910*Rubric!$C$4+L910*Rubric!$C$5+M910*Rubric!$C$6+N910*Rubric!$C$7)/5),1)</f>
        <v>65</v>
      </c>
      <c r="U910" s="8" t="str">
        <f aca="false">LOOKUP(T910,Bands!$A$2:$A$6,Bands!$B$2:$B$6)</f>
        <v>Needs Improvement</v>
      </c>
      <c r="V910" s="8" t="n">
        <f aca="false">IF(Q910="","",ROUND((Q910-B910)*24,1))</f>
        <v>0</v>
      </c>
    </row>
    <row r="911" customFormat="false" ht="15" hidden="false" customHeight="false" outlineLevel="0" collapsed="false">
      <c r="A911" s="3" t="s">
        <v>1956</v>
      </c>
      <c r="B911" s="5" t="n">
        <v>46218.5145833333</v>
      </c>
      <c r="C911" s="3" t="s">
        <v>30</v>
      </c>
      <c r="D911" s="3" t="s">
        <v>486</v>
      </c>
      <c r="E911" s="3" t="s">
        <v>487</v>
      </c>
      <c r="F911" s="3" t="s">
        <v>65</v>
      </c>
      <c r="G911" s="3" t="s">
        <v>42</v>
      </c>
      <c r="H911" s="3" t="s">
        <v>1957</v>
      </c>
      <c r="I911" s="3" t="n">
        <v>4</v>
      </c>
      <c r="J911" s="3" t="n">
        <v>3</v>
      </c>
      <c r="K911" s="3" t="n">
        <v>5</v>
      </c>
      <c r="L911" s="3" t="n">
        <v>4</v>
      </c>
      <c r="M911" s="3" t="n">
        <v>4</v>
      </c>
      <c r="N911" s="3" t="n">
        <v>5</v>
      </c>
      <c r="O911" s="6" t="b">
        <f aca="false">FALSE()</f>
        <v>0</v>
      </c>
      <c r="P911" s="3"/>
      <c r="Q911" s="5" t="n">
        <v>46218.5166666667</v>
      </c>
      <c r="R911" s="5" t="n">
        <v>46218.7083333333</v>
      </c>
      <c r="S911" s="3" t="s">
        <v>1699</v>
      </c>
      <c r="T911" s="7" t="n">
        <f aca="false">ROUND(MIN(IF(OR(O911=TRUE(),O911="TRUE",O911="Yes"),59,100),(I911*Rubric!$C$2+J911*Rubric!$C$3+K911*Rubric!$C$4+L911*Rubric!$C$5+M911*Rubric!$C$6+N911*Rubric!$C$7)/5),1)</f>
        <v>82</v>
      </c>
      <c r="U911" s="8" t="str">
        <f aca="false">LOOKUP(T911,Bands!$A$2:$A$6,Bands!$B$2:$B$6)</f>
        <v>Solid Performance</v>
      </c>
      <c r="V911" s="8" t="n">
        <f aca="false">IF(Q911="","",ROUND((Q911-B911)*24,1))</f>
        <v>0.1</v>
      </c>
    </row>
    <row r="912" customFormat="false" ht="15" hidden="false" customHeight="false" outlineLevel="0" collapsed="false">
      <c r="A912" s="3" t="s">
        <v>1958</v>
      </c>
      <c r="B912" s="5" t="n">
        <v>46218.4097222222</v>
      </c>
      <c r="C912" s="3" t="s">
        <v>39</v>
      </c>
      <c r="D912" s="3" t="s">
        <v>63</v>
      </c>
      <c r="E912" s="3" t="s">
        <v>64</v>
      </c>
      <c r="F912" s="3" t="s">
        <v>65</v>
      </c>
      <c r="G912" s="3" t="s">
        <v>54</v>
      </c>
      <c r="H912" s="3" t="s">
        <v>1959</v>
      </c>
      <c r="I912" s="3" t="n">
        <v>4</v>
      </c>
      <c r="J912" s="3" t="n">
        <v>4</v>
      </c>
      <c r="K912" s="3" t="n">
        <v>3</v>
      </c>
      <c r="L912" s="3" t="n">
        <v>4</v>
      </c>
      <c r="M912" s="3" t="n">
        <v>4</v>
      </c>
      <c r="N912" s="3" t="n">
        <v>1</v>
      </c>
      <c r="O912" s="6" t="b">
        <f aca="false">TRUE()</f>
        <v>1</v>
      </c>
      <c r="P912" s="3" t="s">
        <v>36</v>
      </c>
      <c r="Q912" s="5" t="n">
        <v>46218.4111111111</v>
      </c>
      <c r="R912" s="5" t="n">
        <v>46218.8777777778</v>
      </c>
      <c r="S912" s="3" t="s">
        <v>1699</v>
      </c>
      <c r="T912" s="7" t="n">
        <f aca="false">ROUND(MIN(IF(OR(O912=TRUE(),O912="TRUE",O912="Yes"),59,100),(I912*Rubric!$C$2+J912*Rubric!$C$3+K912*Rubric!$C$4+L912*Rubric!$C$5+M912*Rubric!$C$6+N912*Rubric!$C$7)/5),1)</f>
        <v>59</v>
      </c>
      <c r="U912" s="8" t="str">
        <f aca="false">LOOKUP(T912,Bands!$A$2:$A$6,Bands!$B$2:$B$6)</f>
        <v>Critical</v>
      </c>
      <c r="V912" s="8" t="n">
        <f aca="false">IF(Q912="","",ROUND((Q912-B912)*24,1))</f>
        <v>0</v>
      </c>
    </row>
    <row r="913" customFormat="false" ht="15" hidden="false" customHeight="false" outlineLevel="0" collapsed="false">
      <c r="A913" s="3" t="s">
        <v>1960</v>
      </c>
      <c r="B913" s="5" t="n">
        <v>46218.4979166667</v>
      </c>
      <c r="C913" s="3" t="s">
        <v>30</v>
      </c>
      <c r="D913" s="3" t="s">
        <v>265</v>
      </c>
      <c r="E913" s="3" t="s">
        <v>266</v>
      </c>
      <c r="F913" s="3" t="s">
        <v>33</v>
      </c>
      <c r="G913" s="3" t="s">
        <v>54</v>
      </c>
      <c r="H913" s="3" t="s">
        <v>1961</v>
      </c>
      <c r="I913" s="3" t="n">
        <v>5</v>
      </c>
      <c r="J913" s="3" t="n">
        <v>2</v>
      </c>
      <c r="K913" s="3" t="n">
        <v>4</v>
      </c>
      <c r="L913" s="3" t="n">
        <v>5</v>
      </c>
      <c r="M913" s="3" t="n">
        <v>3</v>
      </c>
      <c r="N913" s="3" t="n">
        <v>3</v>
      </c>
      <c r="O913" s="6" t="b">
        <f aca="false">FALSE()</f>
        <v>0</v>
      </c>
      <c r="P913" s="3" t="s">
        <v>56</v>
      </c>
      <c r="Q913" s="5" t="n">
        <v>46218.4986111111</v>
      </c>
      <c r="R913" s="5" t="n">
        <v>46218.7069444444</v>
      </c>
      <c r="S913" s="3" t="s">
        <v>1699</v>
      </c>
      <c r="T913" s="7" t="n">
        <f aca="false">ROUND(MIN(IF(OR(O913=TRUE(),O913="TRUE",O913="Yes"),59,100),(I913*Rubric!$C$2+J913*Rubric!$C$3+K913*Rubric!$C$4+L913*Rubric!$C$5+M913*Rubric!$C$6+N913*Rubric!$C$7)/5),1)</f>
        <v>71</v>
      </c>
      <c r="U913" s="8" t="str">
        <f aca="false">LOOKUP(T913,Bands!$A$2:$A$6,Bands!$B$2:$B$6)</f>
        <v>Meets Expectations</v>
      </c>
      <c r="V913" s="8" t="n">
        <f aca="false">IF(Q913="","",ROUND((Q913-B913)*24,1))</f>
        <v>0</v>
      </c>
    </row>
    <row r="914" customFormat="false" ht="15" hidden="false" customHeight="false" outlineLevel="0" collapsed="false">
      <c r="A914" s="3" t="s">
        <v>1962</v>
      </c>
      <c r="B914" s="5" t="n">
        <v>46219.6631944445</v>
      </c>
      <c r="C914" s="3" t="s">
        <v>39</v>
      </c>
      <c r="D914" s="3" t="s">
        <v>293</v>
      </c>
      <c r="E914" s="3" t="s">
        <v>294</v>
      </c>
      <c r="F914" s="3" t="s">
        <v>65</v>
      </c>
      <c r="G914" s="3" t="s">
        <v>54</v>
      </c>
      <c r="H914" s="3" t="s">
        <v>1963</v>
      </c>
      <c r="I914" s="3" t="n">
        <v>5</v>
      </c>
      <c r="J914" s="3" t="n">
        <v>5</v>
      </c>
      <c r="K914" s="3" t="n">
        <v>5</v>
      </c>
      <c r="L914" s="3" t="n">
        <v>4</v>
      </c>
      <c r="M914" s="3" t="n">
        <v>5</v>
      </c>
      <c r="N914" s="3" t="n">
        <v>5</v>
      </c>
      <c r="O914" s="6" t="b">
        <f aca="false">FALSE()</f>
        <v>0</v>
      </c>
      <c r="P914" s="3"/>
      <c r="Q914" s="5" t="n">
        <v>46219.6638888889</v>
      </c>
      <c r="R914" s="5" t="n">
        <v>46220.2131944444</v>
      </c>
      <c r="S914" s="3" t="s">
        <v>1699</v>
      </c>
      <c r="T914" s="7" t="n">
        <f aca="false">ROUND(MIN(IF(OR(O914=TRUE(),O914="TRUE",O914="Yes"),59,100),(I914*Rubric!$C$2+J914*Rubric!$C$3+K914*Rubric!$C$4+L914*Rubric!$C$5+M914*Rubric!$C$6+N914*Rubric!$C$7)/5),1)</f>
        <v>97</v>
      </c>
      <c r="U914" s="8" t="str">
        <f aca="false">LOOKUP(T914,Bands!$A$2:$A$6,Bands!$B$2:$B$6)</f>
        <v>Outstanding</v>
      </c>
      <c r="V914" s="8" t="n">
        <f aca="false">IF(Q914="","",ROUND((Q914-B914)*24,1))</f>
        <v>0</v>
      </c>
    </row>
    <row r="915" customFormat="false" ht="15" hidden="false" customHeight="false" outlineLevel="0" collapsed="false">
      <c r="A915" s="3" t="s">
        <v>1964</v>
      </c>
      <c r="B915" s="5" t="n">
        <v>46219.4875</v>
      </c>
      <c r="C915" s="3" t="s">
        <v>30</v>
      </c>
      <c r="D915" s="3" t="s">
        <v>125</v>
      </c>
      <c r="E915" s="3" t="s">
        <v>126</v>
      </c>
      <c r="F915" s="3" t="s">
        <v>53</v>
      </c>
      <c r="G915" s="3" t="s">
        <v>54</v>
      </c>
      <c r="H915" s="3" t="s">
        <v>1965</v>
      </c>
      <c r="I915" s="3" t="n">
        <v>5</v>
      </c>
      <c r="J915" s="3" t="n">
        <v>5</v>
      </c>
      <c r="K915" s="3" t="n">
        <v>5</v>
      </c>
      <c r="L915" s="3" t="n">
        <v>4</v>
      </c>
      <c r="M915" s="3" t="n">
        <v>3</v>
      </c>
      <c r="N915" s="3" t="n">
        <v>5</v>
      </c>
      <c r="O915" s="6" t="b">
        <f aca="false">FALSE()</f>
        <v>0</v>
      </c>
      <c r="P915" s="3"/>
      <c r="Q915" s="5" t="n">
        <v>46219.4881944444</v>
      </c>
      <c r="R915" s="5" t="n">
        <v>46220.0152777778</v>
      </c>
      <c r="S915" s="3" t="s">
        <v>1699</v>
      </c>
      <c r="T915" s="7" t="n">
        <f aca="false">ROUND(MIN(IF(OR(O915=TRUE(),O915="TRUE",O915="Yes"),59,100),(I915*Rubric!$C$2+J915*Rubric!$C$3+K915*Rubric!$C$4+L915*Rubric!$C$5+M915*Rubric!$C$6+N915*Rubric!$C$7)/5),1)</f>
        <v>93</v>
      </c>
      <c r="U915" s="8" t="str">
        <f aca="false">LOOKUP(T915,Bands!$A$2:$A$6,Bands!$B$2:$B$6)</f>
        <v>Outstanding</v>
      </c>
      <c r="V915" s="8" t="n">
        <f aca="false">IF(Q915="","",ROUND((Q915-B915)*24,1))</f>
        <v>0</v>
      </c>
    </row>
    <row r="916" customFormat="false" ht="15" hidden="false" customHeight="false" outlineLevel="0" collapsed="false">
      <c r="A916" s="3" t="s">
        <v>1966</v>
      </c>
      <c r="B916" s="5" t="n">
        <v>46219.4527777778</v>
      </c>
      <c r="C916" s="3" t="s">
        <v>30</v>
      </c>
      <c r="D916" s="3" t="s">
        <v>265</v>
      </c>
      <c r="E916" s="3" t="s">
        <v>266</v>
      </c>
      <c r="F916" s="3" t="s">
        <v>33</v>
      </c>
      <c r="G916" s="3" t="s">
        <v>42</v>
      </c>
      <c r="H916" s="3" t="s">
        <v>1967</v>
      </c>
      <c r="I916" s="3" t="n">
        <v>4</v>
      </c>
      <c r="J916" s="3" t="n">
        <v>3</v>
      </c>
      <c r="K916" s="3" t="n">
        <v>3</v>
      </c>
      <c r="L916" s="3" t="n">
        <v>4</v>
      </c>
      <c r="M916" s="3" t="n">
        <v>3</v>
      </c>
      <c r="N916" s="3" t="n">
        <v>3</v>
      </c>
      <c r="O916" s="6" t="b">
        <f aca="false">FALSE()</f>
        <v>0</v>
      </c>
      <c r="P916" s="3"/>
      <c r="Q916" s="5" t="n">
        <v>46219.4534722222</v>
      </c>
      <c r="R916" s="5" t="n">
        <v>46219.8486111111</v>
      </c>
      <c r="S916" s="3" t="s">
        <v>1699</v>
      </c>
      <c r="T916" s="7" t="n">
        <f aca="false">ROUND(MIN(IF(OR(O916=TRUE(),O916="TRUE",O916="Yes"),59,100),(I916*Rubric!$C$2+J916*Rubric!$C$3+K916*Rubric!$C$4+L916*Rubric!$C$5+M916*Rubric!$C$6+N916*Rubric!$C$7)/5),1)</f>
        <v>66</v>
      </c>
      <c r="U916" s="8" t="str">
        <f aca="false">LOOKUP(T916,Bands!$A$2:$A$6,Bands!$B$2:$B$6)</f>
        <v>Needs Improvement</v>
      </c>
      <c r="V916" s="8" t="n">
        <f aca="false">IF(Q916="","",ROUND((Q916-B916)*24,1))</f>
        <v>0</v>
      </c>
    </row>
    <row r="917" customFormat="false" ht="15" hidden="false" customHeight="false" outlineLevel="0" collapsed="false">
      <c r="A917" s="3" t="s">
        <v>1968</v>
      </c>
      <c r="B917" s="5" t="n">
        <v>46219.6673611111</v>
      </c>
      <c r="C917" s="3" t="s">
        <v>39</v>
      </c>
      <c r="D917" s="3" t="s">
        <v>222</v>
      </c>
      <c r="E917" s="3" t="s">
        <v>223</v>
      </c>
      <c r="F917" s="3" t="s">
        <v>53</v>
      </c>
      <c r="G917" s="3" t="s">
        <v>54</v>
      </c>
      <c r="H917" s="3" t="s">
        <v>1969</v>
      </c>
      <c r="I917" s="3" t="n">
        <v>5</v>
      </c>
      <c r="J917" s="3" t="n">
        <v>4</v>
      </c>
      <c r="K917" s="3" t="n">
        <v>3</v>
      </c>
      <c r="L917" s="3" t="n">
        <v>4</v>
      </c>
      <c r="M917" s="3" t="n">
        <v>5</v>
      </c>
      <c r="N917" s="3" t="n">
        <v>3</v>
      </c>
      <c r="O917" s="6" t="b">
        <f aca="false">FALSE()</f>
        <v>0</v>
      </c>
      <c r="P917" s="3"/>
      <c r="Q917" s="5" t="n">
        <v>46219.6680555556</v>
      </c>
      <c r="R917" s="5" t="n">
        <v>46219.8041666667</v>
      </c>
      <c r="S917" s="3" t="s">
        <v>1699</v>
      </c>
      <c r="T917" s="7" t="n">
        <f aca="false">ROUND(MIN(IF(OR(O917=TRUE(),O917="TRUE",O917="Yes"),59,100),(I917*Rubric!$C$2+J917*Rubric!$C$3+K917*Rubric!$C$4+L917*Rubric!$C$5+M917*Rubric!$C$6+N917*Rubric!$C$7)/5),1)</f>
        <v>78</v>
      </c>
      <c r="U917" s="8" t="str">
        <f aca="false">LOOKUP(T917,Bands!$A$2:$A$6,Bands!$B$2:$B$6)</f>
        <v>Meets Expectations</v>
      </c>
      <c r="V917" s="8" t="n">
        <f aca="false">IF(Q917="","",ROUND((Q917-B917)*24,1))</f>
        <v>0</v>
      </c>
    </row>
    <row r="918" customFormat="false" ht="15" hidden="false" customHeight="false" outlineLevel="0" collapsed="false">
      <c r="A918" s="3" t="s">
        <v>1970</v>
      </c>
      <c r="B918" s="5" t="n">
        <v>46219.4055555556</v>
      </c>
      <c r="C918" s="3" t="s">
        <v>68</v>
      </c>
      <c r="D918" s="3" t="s">
        <v>251</v>
      </c>
      <c r="E918" s="3" t="s">
        <v>252</v>
      </c>
      <c r="F918" s="3" t="s">
        <v>53</v>
      </c>
      <c r="G918" s="3" t="s">
        <v>54</v>
      </c>
      <c r="H918" s="3" t="s">
        <v>1971</v>
      </c>
      <c r="I918" s="3" t="n">
        <v>4</v>
      </c>
      <c r="J918" s="3" t="n">
        <v>4</v>
      </c>
      <c r="K918" s="3" t="n">
        <v>5</v>
      </c>
      <c r="L918" s="3" t="n">
        <v>4</v>
      </c>
      <c r="M918" s="3" t="n">
        <v>3</v>
      </c>
      <c r="N918" s="3" t="n">
        <v>4</v>
      </c>
      <c r="O918" s="6" t="b">
        <f aca="false">FALSE()</f>
        <v>0</v>
      </c>
      <c r="P918" s="3"/>
      <c r="Q918" s="5" t="n">
        <v>46219.4069444445</v>
      </c>
      <c r="R918" s="5" t="n">
        <v>46220.0840277778</v>
      </c>
      <c r="S918" s="3" t="s">
        <v>1699</v>
      </c>
      <c r="T918" s="7" t="n">
        <f aca="false">ROUND(MIN(IF(OR(O918=TRUE(),O918="TRUE",O918="Yes"),59,100),(I918*Rubric!$C$2+J918*Rubric!$C$3+K918*Rubric!$C$4+L918*Rubric!$C$5+M918*Rubric!$C$6+N918*Rubric!$C$7)/5),1)</f>
        <v>82</v>
      </c>
      <c r="U918" s="8" t="str">
        <f aca="false">LOOKUP(T918,Bands!$A$2:$A$6,Bands!$B$2:$B$6)</f>
        <v>Solid Performance</v>
      </c>
      <c r="V918" s="8" t="n">
        <f aca="false">IF(Q918="","",ROUND((Q918-B918)*24,1))</f>
        <v>0</v>
      </c>
    </row>
    <row r="919" customFormat="false" ht="15" hidden="false" customHeight="false" outlineLevel="0" collapsed="false">
      <c r="A919" s="3" t="s">
        <v>1972</v>
      </c>
      <c r="B919" s="5" t="n">
        <v>46219.4722222222</v>
      </c>
      <c r="C919" s="3" t="s">
        <v>68</v>
      </c>
      <c r="D919" s="3" t="s">
        <v>69</v>
      </c>
      <c r="E919" s="3" t="s">
        <v>70</v>
      </c>
      <c r="F919" s="3" t="s">
        <v>65</v>
      </c>
      <c r="G919" s="3" t="s">
        <v>42</v>
      </c>
      <c r="H919" s="3" t="s">
        <v>1973</v>
      </c>
      <c r="I919" s="3" t="n">
        <v>5</v>
      </c>
      <c r="J919" s="3" t="n">
        <v>4</v>
      </c>
      <c r="K919" s="3" t="n">
        <v>4</v>
      </c>
      <c r="L919" s="3" t="n">
        <v>5</v>
      </c>
      <c r="M919" s="3" t="n">
        <v>3</v>
      </c>
      <c r="N919" s="3" t="n">
        <v>3</v>
      </c>
      <c r="O919" s="6" t="b">
        <f aca="false">FALSE()</f>
        <v>0</v>
      </c>
      <c r="P919" s="3"/>
      <c r="Q919" s="5" t="n">
        <v>46219.4743055556</v>
      </c>
      <c r="R919" s="5" t="n">
        <v>46219.6041666667</v>
      </c>
      <c r="S919" s="3" t="s">
        <v>1699</v>
      </c>
      <c r="T919" s="7" t="n">
        <f aca="false">ROUND(MIN(IF(OR(O919=TRUE(),O919="TRUE",O919="Yes"),59,100),(I919*Rubric!$C$2+J919*Rubric!$C$3+K919*Rubric!$C$4+L919*Rubric!$C$5+M919*Rubric!$C$6+N919*Rubric!$C$7)/5),1)</f>
        <v>81</v>
      </c>
      <c r="U919" s="8" t="str">
        <f aca="false">LOOKUP(T919,Bands!$A$2:$A$6,Bands!$B$2:$B$6)</f>
        <v>Solid Performance</v>
      </c>
      <c r="V919" s="8" t="n">
        <f aca="false">IF(Q919="","",ROUND((Q919-B919)*24,1))</f>
        <v>0.1</v>
      </c>
    </row>
    <row r="920" customFormat="false" ht="15" hidden="false" customHeight="false" outlineLevel="0" collapsed="false">
      <c r="A920" s="3" t="s">
        <v>1974</v>
      </c>
      <c r="B920" s="5" t="n">
        <v>46219.6333333333</v>
      </c>
      <c r="C920" s="3" t="s">
        <v>39</v>
      </c>
      <c r="D920" s="3" t="s">
        <v>228</v>
      </c>
      <c r="E920" s="3" t="s">
        <v>229</v>
      </c>
      <c r="F920" s="3" t="s">
        <v>65</v>
      </c>
      <c r="G920" s="3" t="s">
        <v>34</v>
      </c>
      <c r="H920" s="3" t="s">
        <v>1975</v>
      </c>
      <c r="I920" s="3" t="n">
        <v>3</v>
      </c>
      <c r="J920" s="3" t="n">
        <v>3</v>
      </c>
      <c r="K920" s="3" t="n">
        <v>4</v>
      </c>
      <c r="L920" s="3" t="n">
        <v>4</v>
      </c>
      <c r="M920" s="3" t="n">
        <v>4</v>
      </c>
      <c r="N920" s="3" t="n">
        <v>4</v>
      </c>
      <c r="O920" s="6" t="b">
        <f aca="false">FALSE()</f>
        <v>0</v>
      </c>
      <c r="P920" s="3"/>
      <c r="Q920" s="5" t="n">
        <v>46219.6347222222</v>
      </c>
      <c r="R920" s="5" t="n">
        <v>46219.8333333333</v>
      </c>
      <c r="S920" s="3" t="s">
        <v>1699</v>
      </c>
      <c r="T920" s="7" t="n">
        <f aca="false">ROUND(MIN(IF(OR(O920=TRUE(),O920="TRUE",O920="Yes"),59,100),(I920*Rubric!$C$2+J920*Rubric!$C$3+K920*Rubric!$C$4+L920*Rubric!$C$5+M920*Rubric!$C$6+N920*Rubric!$C$7)/5),1)</f>
        <v>72</v>
      </c>
      <c r="U920" s="8" t="str">
        <f aca="false">LOOKUP(T920,Bands!$A$2:$A$6,Bands!$B$2:$B$6)</f>
        <v>Meets Expectations</v>
      </c>
      <c r="V920" s="8" t="n">
        <f aca="false">IF(Q920="","",ROUND((Q920-B920)*24,1))</f>
        <v>0</v>
      </c>
    </row>
    <row r="921" customFormat="false" ht="15" hidden="false" customHeight="false" outlineLevel="0" collapsed="false">
      <c r="A921" s="3" t="s">
        <v>1976</v>
      </c>
      <c r="B921" s="5" t="n">
        <v>46219.4215277778</v>
      </c>
      <c r="C921" s="3" t="s">
        <v>30</v>
      </c>
      <c r="D921" s="3" t="s">
        <v>145</v>
      </c>
      <c r="E921" s="3" t="s">
        <v>146</v>
      </c>
      <c r="F921" s="3" t="s">
        <v>33</v>
      </c>
      <c r="G921" s="3" t="s">
        <v>54</v>
      </c>
      <c r="H921" s="3" t="s">
        <v>1977</v>
      </c>
      <c r="I921" s="3" t="n">
        <v>3</v>
      </c>
      <c r="J921" s="3" t="n">
        <v>3</v>
      </c>
      <c r="K921" s="3" t="n">
        <v>4</v>
      </c>
      <c r="L921" s="3" t="n">
        <v>4</v>
      </c>
      <c r="M921" s="3" t="n">
        <v>5</v>
      </c>
      <c r="N921" s="3" t="n">
        <v>5</v>
      </c>
      <c r="O921" s="6" t="b">
        <f aca="false">FALSE()</f>
        <v>0</v>
      </c>
      <c r="P921" s="3"/>
      <c r="Q921" s="5" t="n">
        <v>46219.4229166667</v>
      </c>
      <c r="R921" s="5" t="n">
        <v>46220.2222222222</v>
      </c>
      <c r="S921" s="3" t="s">
        <v>1699</v>
      </c>
      <c r="T921" s="7" t="n">
        <f aca="false">ROUND(MIN(IF(OR(O921=TRUE(),O921="TRUE",O921="Yes"),59,100),(I921*Rubric!$C$2+J921*Rubric!$C$3+K921*Rubric!$C$4+L921*Rubric!$C$5+M921*Rubric!$C$6+N921*Rubric!$C$7)/5),1)</f>
        <v>77</v>
      </c>
      <c r="U921" s="8" t="str">
        <f aca="false">LOOKUP(T921,Bands!$A$2:$A$6,Bands!$B$2:$B$6)</f>
        <v>Meets Expectations</v>
      </c>
      <c r="V921" s="8" t="n">
        <f aca="false">IF(Q921="","",ROUND((Q921-B921)*24,1))</f>
        <v>0</v>
      </c>
    </row>
    <row r="922" customFormat="false" ht="15" hidden="false" customHeight="false" outlineLevel="0" collapsed="false">
      <c r="A922" s="3" t="s">
        <v>1978</v>
      </c>
      <c r="B922" s="5" t="n">
        <v>46219.59375</v>
      </c>
      <c r="C922" s="3" t="s">
        <v>30</v>
      </c>
      <c r="D922" s="3" t="s">
        <v>73</v>
      </c>
      <c r="E922" s="3" t="s">
        <v>74</v>
      </c>
      <c r="F922" s="3" t="s">
        <v>33</v>
      </c>
      <c r="G922" s="3" t="s">
        <v>42</v>
      </c>
      <c r="H922" s="3" t="s">
        <v>1979</v>
      </c>
      <c r="I922" s="3" t="n">
        <v>4</v>
      </c>
      <c r="J922" s="3" t="n">
        <v>5</v>
      </c>
      <c r="K922" s="3" t="n">
        <v>5</v>
      </c>
      <c r="L922" s="3" t="n">
        <v>3</v>
      </c>
      <c r="M922" s="3" t="n">
        <v>4</v>
      </c>
      <c r="N922" s="3" t="n">
        <v>2</v>
      </c>
      <c r="O922" s="6" t="b">
        <f aca="false">FALSE()</f>
        <v>0</v>
      </c>
      <c r="P922" s="3" t="s">
        <v>36</v>
      </c>
      <c r="Q922" s="5" t="n">
        <v>46219.5951388889</v>
      </c>
      <c r="R922" s="5" t="n">
        <v>46219.7333333333</v>
      </c>
      <c r="S922" s="3" t="s">
        <v>1699</v>
      </c>
      <c r="T922" s="7" t="n">
        <f aca="false">ROUND(MIN(IF(OR(O922=TRUE(),O922="TRUE",O922="Yes"),59,100),(I922*Rubric!$C$2+J922*Rubric!$C$3+K922*Rubric!$C$4+L922*Rubric!$C$5+M922*Rubric!$C$6+N922*Rubric!$C$7)/5),1)</f>
        <v>80</v>
      </c>
      <c r="U922" s="8" t="str">
        <f aca="false">LOOKUP(T922,Bands!$A$2:$A$6,Bands!$B$2:$B$6)</f>
        <v>Solid Performance</v>
      </c>
      <c r="V922" s="8" t="n">
        <f aca="false">IF(Q922="","",ROUND((Q922-B922)*24,1))</f>
        <v>0</v>
      </c>
    </row>
    <row r="923" customFormat="false" ht="15" hidden="false" customHeight="false" outlineLevel="0" collapsed="false">
      <c r="A923" s="3" t="s">
        <v>1980</v>
      </c>
      <c r="B923" s="5" t="n">
        <v>46219.6986111111</v>
      </c>
      <c r="C923" s="3" t="s">
        <v>68</v>
      </c>
      <c r="D923" s="3" t="s">
        <v>81</v>
      </c>
      <c r="E923" s="3" t="s">
        <v>82</v>
      </c>
      <c r="F923" s="3" t="s">
        <v>65</v>
      </c>
      <c r="G923" s="3" t="s">
        <v>42</v>
      </c>
      <c r="H923" s="3" t="s">
        <v>1981</v>
      </c>
      <c r="I923" s="3" t="n">
        <v>5</v>
      </c>
      <c r="J923" s="3" t="n">
        <v>3</v>
      </c>
      <c r="K923" s="3" t="n">
        <v>5</v>
      </c>
      <c r="L923" s="3" t="n">
        <v>5</v>
      </c>
      <c r="M923" s="3" t="n">
        <v>4</v>
      </c>
      <c r="N923" s="3" t="n">
        <v>4</v>
      </c>
      <c r="O923" s="6" t="b">
        <f aca="false">FALSE()</f>
        <v>0</v>
      </c>
      <c r="P923" s="3"/>
      <c r="Q923" s="5" t="n">
        <v>46219.7</v>
      </c>
      <c r="R923" s="5" t="n">
        <v>46219.7416666667</v>
      </c>
      <c r="S923" s="3" t="s">
        <v>1699</v>
      </c>
      <c r="T923" s="7" t="n">
        <f aca="false">ROUND(MIN(IF(OR(O923=TRUE(),O923="TRUE",O923="Yes"),59,100),(I923*Rubric!$C$2+J923*Rubric!$C$3+K923*Rubric!$C$4+L923*Rubric!$C$5+M923*Rubric!$C$6+N923*Rubric!$C$7)/5),1)</f>
        <v>85</v>
      </c>
      <c r="U923" s="8" t="str">
        <f aca="false">LOOKUP(T923,Bands!$A$2:$A$6,Bands!$B$2:$B$6)</f>
        <v>Solid Performance</v>
      </c>
      <c r="V923" s="8" t="n">
        <f aca="false">IF(Q923="","",ROUND((Q923-B923)*24,1))</f>
        <v>0</v>
      </c>
    </row>
    <row r="924" customFormat="false" ht="15" hidden="false" customHeight="false" outlineLevel="0" collapsed="false">
      <c r="A924" s="3" t="s">
        <v>1982</v>
      </c>
      <c r="B924" s="5" t="n">
        <v>46219.3833333333</v>
      </c>
      <c r="C924" s="3" t="s">
        <v>39</v>
      </c>
      <c r="D924" s="3" t="s">
        <v>90</v>
      </c>
      <c r="E924" s="3" t="s">
        <v>91</v>
      </c>
      <c r="F924" s="3" t="s">
        <v>65</v>
      </c>
      <c r="G924" s="3" t="s">
        <v>42</v>
      </c>
      <c r="H924" s="3" t="s">
        <v>1983</v>
      </c>
      <c r="I924" s="3" t="n">
        <v>4</v>
      </c>
      <c r="J924" s="3" t="n">
        <v>5</v>
      </c>
      <c r="K924" s="3" t="n">
        <v>5</v>
      </c>
      <c r="L924" s="3" t="n">
        <v>4</v>
      </c>
      <c r="M924" s="3" t="n">
        <v>4</v>
      </c>
      <c r="N924" s="3" t="n">
        <v>4</v>
      </c>
      <c r="O924" s="6" t="b">
        <f aca="false">FALSE()</f>
        <v>0</v>
      </c>
      <c r="P924" s="3"/>
      <c r="Q924" s="5" t="n">
        <v>46219.3847222222</v>
      </c>
      <c r="R924" s="5" t="n">
        <v>46219.5631944445</v>
      </c>
      <c r="S924" s="3" t="s">
        <v>1699</v>
      </c>
      <c r="T924" s="7" t="n">
        <f aca="false">ROUND(MIN(IF(OR(O924=TRUE(),O924="TRUE",O924="Yes"),59,100),(I924*Rubric!$C$2+J924*Rubric!$C$3+K924*Rubric!$C$4+L924*Rubric!$C$5+M924*Rubric!$C$6+N924*Rubric!$C$7)/5),1)</f>
        <v>89</v>
      </c>
      <c r="U924" s="8" t="str">
        <f aca="false">LOOKUP(T924,Bands!$A$2:$A$6,Bands!$B$2:$B$6)</f>
        <v>Solid Performance</v>
      </c>
      <c r="V924" s="8" t="n">
        <f aca="false">IF(Q924="","",ROUND((Q924-B924)*24,1))</f>
        <v>0</v>
      </c>
    </row>
    <row r="925" customFormat="false" ht="15" hidden="false" customHeight="false" outlineLevel="0" collapsed="false">
      <c r="A925" s="3" t="s">
        <v>1984</v>
      </c>
      <c r="B925" s="5" t="n">
        <v>46219.6145833333</v>
      </c>
      <c r="C925" s="3" t="s">
        <v>30</v>
      </c>
      <c r="D925" s="3" t="s">
        <v>307</v>
      </c>
      <c r="E925" s="3" t="s">
        <v>308</v>
      </c>
      <c r="F925" s="3" t="s">
        <v>33</v>
      </c>
      <c r="G925" s="3" t="s">
        <v>54</v>
      </c>
      <c r="H925" s="3" t="s">
        <v>1985</v>
      </c>
      <c r="I925" s="3" t="n">
        <v>5</v>
      </c>
      <c r="J925" s="3" t="n">
        <v>3</v>
      </c>
      <c r="K925" s="3" t="n">
        <v>5</v>
      </c>
      <c r="L925" s="3" t="n">
        <v>5</v>
      </c>
      <c r="M925" s="3" t="n">
        <v>5</v>
      </c>
      <c r="N925" s="3" t="n">
        <v>5</v>
      </c>
      <c r="O925" s="6" t="b">
        <f aca="false">FALSE()</f>
        <v>0</v>
      </c>
      <c r="P925" s="3"/>
      <c r="Q925" s="5" t="n">
        <v>46219.6166666667</v>
      </c>
      <c r="R925" s="5" t="n">
        <v>46219.8152777778</v>
      </c>
      <c r="S925" s="3" t="s">
        <v>1699</v>
      </c>
      <c r="T925" s="7" t="n">
        <f aca="false">ROUND(MIN(IF(OR(O925=TRUE(),O925="TRUE",O925="Yes"),59,100),(I925*Rubric!$C$2+J925*Rubric!$C$3+K925*Rubric!$C$4+L925*Rubric!$C$5+M925*Rubric!$C$6+N925*Rubric!$C$7)/5),1)</f>
        <v>90</v>
      </c>
      <c r="U925" s="8" t="str">
        <f aca="false">LOOKUP(T925,Bands!$A$2:$A$6,Bands!$B$2:$B$6)</f>
        <v>Outstanding</v>
      </c>
      <c r="V925" s="8" t="n">
        <f aca="false">IF(Q925="","",ROUND((Q925-B925)*24,1))</f>
        <v>0.1</v>
      </c>
    </row>
    <row r="926" customFormat="false" ht="15" hidden="false" customHeight="false" outlineLevel="0" collapsed="false">
      <c r="A926" s="3" t="s">
        <v>1986</v>
      </c>
      <c r="B926" s="5" t="n">
        <v>46220.4611111111</v>
      </c>
      <c r="C926" s="3" t="s">
        <v>30</v>
      </c>
      <c r="D926" s="3" t="s">
        <v>105</v>
      </c>
      <c r="E926" s="3" t="s">
        <v>106</v>
      </c>
      <c r="F926" s="3" t="s">
        <v>65</v>
      </c>
      <c r="G926" s="3" t="s">
        <v>34</v>
      </c>
      <c r="H926" s="3" t="s">
        <v>1987</v>
      </c>
      <c r="I926" s="3" t="n">
        <v>3</v>
      </c>
      <c r="J926" s="3" t="n">
        <v>2</v>
      </c>
      <c r="K926" s="3" t="n">
        <v>4</v>
      </c>
      <c r="L926" s="3" t="n">
        <v>4</v>
      </c>
      <c r="M926" s="3" t="n">
        <v>4</v>
      </c>
      <c r="N926" s="3" t="n">
        <v>4</v>
      </c>
      <c r="O926" s="6" t="b">
        <f aca="false">FALSE()</f>
        <v>0</v>
      </c>
      <c r="P926" s="3" t="s">
        <v>56</v>
      </c>
      <c r="Q926" s="5" t="n">
        <v>46220.4618055556</v>
      </c>
      <c r="R926" s="5" t="n">
        <v>46220.5569444444</v>
      </c>
      <c r="S926" s="3" t="s">
        <v>1699</v>
      </c>
      <c r="T926" s="7" t="n">
        <f aca="false">ROUND(MIN(IF(OR(O926=TRUE(),O926="TRUE",O926="Yes"),59,100),(I926*Rubric!$C$2+J926*Rubric!$C$3+K926*Rubric!$C$4+L926*Rubric!$C$5+M926*Rubric!$C$6+N926*Rubric!$C$7)/5),1)</f>
        <v>67</v>
      </c>
      <c r="U926" s="8" t="str">
        <f aca="false">LOOKUP(T926,Bands!$A$2:$A$6,Bands!$B$2:$B$6)</f>
        <v>Needs Improvement</v>
      </c>
      <c r="V926" s="8" t="n">
        <f aca="false">IF(Q926="","",ROUND((Q926-B926)*24,1))</f>
        <v>0</v>
      </c>
    </row>
    <row r="927" customFormat="false" ht="15" hidden="false" customHeight="false" outlineLevel="0" collapsed="false">
      <c r="A927" s="3" t="s">
        <v>1988</v>
      </c>
      <c r="B927" s="5" t="n">
        <v>46220.5409722222</v>
      </c>
      <c r="C927" s="3" t="s">
        <v>30</v>
      </c>
      <c r="D927" s="3" t="s">
        <v>63</v>
      </c>
      <c r="E927" s="3" t="s">
        <v>64</v>
      </c>
      <c r="F927" s="3" t="s">
        <v>65</v>
      </c>
      <c r="G927" s="3" t="s">
        <v>54</v>
      </c>
      <c r="H927" s="3" t="s">
        <v>1989</v>
      </c>
      <c r="I927" s="3" t="n">
        <v>4</v>
      </c>
      <c r="J927" s="3" t="n">
        <v>4</v>
      </c>
      <c r="K927" s="3" t="n">
        <v>4</v>
      </c>
      <c r="L927" s="3" t="n">
        <v>4</v>
      </c>
      <c r="M927" s="3" t="n">
        <v>4</v>
      </c>
      <c r="N927" s="3" t="n">
        <v>3</v>
      </c>
      <c r="O927" s="6" t="b">
        <f aca="false">FALSE()</f>
        <v>0</v>
      </c>
      <c r="P927" s="3"/>
      <c r="Q927" s="5" t="n">
        <v>46220.5430555556</v>
      </c>
      <c r="R927" s="5" t="n">
        <v>46220.5763888889</v>
      </c>
      <c r="S927" s="3" t="s">
        <v>1699</v>
      </c>
      <c r="T927" s="7" t="n">
        <f aca="false">ROUND(MIN(IF(OR(O927=TRUE(),O927="TRUE",O927="Yes"),59,100),(I927*Rubric!$C$2+J927*Rubric!$C$3+K927*Rubric!$C$4+L927*Rubric!$C$5+M927*Rubric!$C$6+N927*Rubric!$C$7)/5),1)</f>
        <v>77</v>
      </c>
      <c r="U927" s="8" t="str">
        <f aca="false">LOOKUP(T927,Bands!$A$2:$A$6,Bands!$B$2:$B$6)</f>
        <v>Meets Expectations</v>
      </c>
      <c r="V927" s="8" t="n">
        <f aca="false">IF(Q927="","",ROUND((Q927-B927)*24,1))</f>
        <v>0.1</v>
      </c>
    </row>
    <row r="928" customFormat="false" ht="15" hidden="false" customHeight="false" outlineLevel="0" collapsed="false">
      <c r="A928" s="3" t="s">
        <v>1990</v>
      </c>
      <c r="B928" s="5" t="n">
        <v>46220.4736111111</v>
      </c>
      <c r="C928" s="3" t="s">
        <v>30</v>
      </c>
      <c r="D928" s="3" t="s">
        <v>222</v>
      </c>
      <c r="E928" s="3" t="s">
        <v>223</v>
      </c>
      <c r="F928" s="3" t="s">
        <v>53</v>
      </c>
      <c r="G928" s="3" t="s">
        <v>54</v>
      </c>
      <c r="H928" s="3" t="s">
        <v>1991</v>
      </c>
      <c r="I928" s="3" t="n">
        <v>4</v>
      </c>
      <c r="J928" s="3" t="n">
        <v>5</v>
      </c>
      <c r="K928" s="3" t="n">
        <v>4</v>
      </c>
      <c r="L928" s="3" t="n">
        <v>4</v>
      </c>
      <c r="M928" s="3" t="n">
        <v>5</v>
      </c>
      <c r="N928" s="3" t="n">
        <v>4</v>
      </c>
      <c r="O928" s="6" t="b">
        <f aca="false">FALSE()</f>
        <v>0</v>
      </c>
      <c r="P928" s="3"/>
      <c r="Q928" s="5" t="n">
        <v>46220.4743055556</v>
      </c>
      <c r="R928" s="5" t="n">
        <v>46220.7194444445</v>
      </c>
      <c r="S928" s="3" t="s">
        <v>1699</v>
      </c>
      <c r="T928" s="7" t="n">
        <f aca="false">ROUND(MIN(IF(OR(O928=TRUE(),O928="TRUE",O928="Yes"),59,100),(I928*Rubric!$C$2+J928*Rubric!$C$3+K928*Rubric!$C$4+L928*Rubric!$C$5+M928*Rubric!$C$6+N928*Rubric!$C$7)/5),1)</f>
        <v>87</v>
      </c>
      <c r="U928" s="8" t="str">
        <f aca="false">LOOKUP(T928,Bands!$A$2:$A$6,Bands!$B$2:$B$6)</f>
        <v>Solid Performance</v>
      </c>
      <c r="V928" s="8" t="n">
        <f aca="false">IF(Q928="","",ROUND((Q928-B928)*24,1))</f>
        <v>0</v>
      </c>
    </row>
    <row r="929" customFormat="false" ht="15" hidden="false" customHeight="false" outlineLevel="0" collapsed="false">
      <c r="A929" s="3" t="s">
        <v>1992</v>
      </c>
      <c r="B929" s="5" t="n">
        <v>46220.5638888889</v>
      </c>
      <c r="C929" s="3" t="s">
        <v>68</v>
      </c>
      <c r="D929" s="3" t="s">
        <v>96</v>
      </c>
      <c r="E929" s="3" t="s">
        <v>97</v>
      </c>
      <c r="F929" s="3" t="s">
        <v>33</v>
      </c>
      <c r="G929" s="3" t="s">
        <v>42</v>
      </c>
      <c r="H929" s="3" t="s">
        <v>1993</v>
      </c>
      <c r="I929" s="3" t="n">
        <v>5</v>
      </c>
      <c r="J929" s="3" t="n">
        <v>3</v>
      </c>
      <c r="K929" s="3" t="n">
        <v>4</v>
      </c>
      <c r="L929" s="3" t="n">
        <v>4</v>
      </c>
      <c r="M929" s="3" t="n">
        <v>5</v>
      </c>
      <c r="N929" s="3" t="n">
        <v>4</v>
      </c>
      <c r="O929" s="6" t="b">
        <f aca="false">FALSE()</f>
        <v>0</v>
      </c>
      <c r="P929" s="3"/>
      <c r="Q929" s="5" t="n">
        <v>46220.5645833333</v>
      </c>
      <c r="R929" s="5" t="n">
        <v>46220.6409722222</v>
      </c>
      <c r="S929" s="3" t="s">
        <v>1699</v>
      </c>
      <c r="T929" s="7" t="n">
        <f aca="false">ROUND(MIN(IF(OR(O929=TRUE(),O929="TRUE",O929="Yes"),59,100),(I929*Rubric!$C$2+J929*Rubric!$C$3+K929*Rubric!$C$4+L929*Rubric!$C$5+M929*Rubric!$C$6+N929*Rubric!$C$7)/5),1)</f>
        <v>80</v>
      </c>
      <c r="U929" s="8" t="str">
        <f aca="false">LOOKUP(T929,Bands!$A$2:$A$6,Bands!$B$2:$B$6)</f>
        <v>Solid Performance</v>
      </c>
      <c r="V929" s="8" t="n">
        <f aca="false">IF(Q929="","",ROUND((Q929-B929)*24,1))</f>
        <v>0</v>
      </c>
    </row>
    <row r="930" customFormat="false" ht="15" hidden="false" customHeight="false" outlineLevel="0" collapsed="false">
      <c r="A930" s="3" t="s">
        <v>1994</v>
      </c>
      <c r="B930" s="5" t="n">
        <v>46220.3986111111</v>
      </c>
      <c r="C930" s="3" t="s">
        <v>68</v>
      </c>
      <c r="D930" s="3" t="s">
        <v>100</v>
      </c>
      <c r="E930" s="3" t="s">
        <v>101</v>
      </c>
      <c r="F930" s="3" t="s">
        <v>33</v>
      </c>
      <c r="G930" s="3" t="s">
        <v>42</v>
      </c>
      <c r="H930" s="3" t="s">
        <v>1995</v>
      </c>
      <c r="I930" s="3" t="n">
        <v>4</v>
      </c>
      <c r="J930" s="3" t="n">
        <v>3</v>
      </c>
      <c r="K930" s="3" t="n">
        <v>5</v>
      </c>
      <c r="L930" s="3" t="n">
        <v>4</v>
      </c>
      <c r="M930" s="3" t="n">
        <v>4</v>
      </c>
      <c r="N930" s="3" t="n">
        <v>5</v>
      </c>
      <c r="O930" s="6" t="b">
        <f aca="false">FALSE()</f>
        <v>0</v>
      </c>
      <c r="P930" s="3"/>
      <c r="Q930" s="5" t="n">
        <v>46220.4</v>
      </c>
      <c r="R930" s="5" t="n">
        <v>46220.4465277778</v>
      </c>
      <c r="S930" s="3" t="s">
        <v>1699</v>
      </c>
      <c r="T930" s="7" t="n">
        <f aca="false">ROUND(MIN(IF(OR(O930=TRUE(),O930="TRUE",O930="Yes"),59,100),(I930*Rubric!$C$2+J930*Rubric!$C$3+K930*Rubric!$C$4+L930*Rubric!$C$5+M930*Rubric!$C$6+N930*Rubric!$C$7)/5),1)</f>
        <v>82</v>
      </c>
      <c r="U930" s="8" t="str">
        <f aca="false">LOOKUP(T930,Bands!$A$2:$A$6,Bands!$B$2:$B$6)</f>
        <v>Solid Performance</v>
      </c>
      <c r="V930" s="8" t="n">
        <f aca="false">IF(Q930="","",ROUND((Q930-B930)*24,1))</f>
        <v>0</v>
      </c>
    </row>
    <row r="931" customFormat="false" ht="15" hidden="false" customHeight="false" outlineLevel="0" collapsed="false">
      <c r="A931" s="3" t="s">
        <v>1996</v>
      </c>
      <c r="B931" s="5" t="n">
        <v>46220.7027777778</v>
      </c>
      <c r="C931" s="3" t="s">
        <v>39</v>
      </c>
      <c r="D931" s="3" t="s">
        <v>251</v>
      </c>
      <c r="E931" s="3" t="s">
        <v>252</v>
      </c>
      <c r="F931" s="3" t="s">
        <v>53</v>
      </c>
      <c r="G931" s="3" t="s">
        <v>54</v>
      </c>
      <c r="H931" s="3" t="s">
        <v>1997</v>
      </c>
      <c r="I931" s="3" t="n">
        <v>3</v>
      </c>
      <c r="J931" s="3" t="n">
        <v>4</v>
      </c>
      <c r="K931" s="3" t="n">
        <v>4</v>
      </c>
      <c r="L931" s="3" t="n">
        <v>4</v>
      </c>
      <c r="M931" s="3" t="n">
        <v>4</v>
      </c>
      <c r="N931" s="3" t="n">
        <v>3</v>
      </c>
      <c r="O931" s="6" t="b">
        <f aca="false">FALSE()</f>
        <v>0</v>
      </c>
      <c r="P931" s="3"/>
      <c r="Q931" s="5" t="n">
        <v>46220.7048611111</v>
      </c>
      <c r="R931" s="5" t="n">
        <v>46221.4388888889</v>
      </c>
      <c r="S931" s="3" t="s">
        <v>1699</v>
      </c>
      <c r="T931" s="7" t="n">
        <f aca="false">ROUND(MIN(IF(OR(O931=TRUE(),O931="TRUE",O931="Yes"),59,100),(I931*Rubric!$C$2+J931*Rubric!$C$3+K931*Rubric!$C$4+L931*Rubric!$C$5+M931*Rubric!$C$6+N931*Rubric!$C$7)/5),1)</f>
        <v>74</v>
      </c>
      <c r="U931" s="8" t="str">
        <f aca="false">LOOKUP(T931,Bands!$A$2:$A$6,Bands!$B$2:$B$6)</f>
        <v>Meets Expectations</v>
      </c>
      <c r="V931" s="8" t="n">
        <f aca="false">IF(Q931="","",ROUND((Q931-B931)*24,1))</f>
        <v>0</v>
      </c>
    </row>
    <row r="932" customFormat="false" ht="15" hidden="false" customHeight="false" outlineLevel="0" collapsed="false">
      <c r="A932" s="3" t="s">
        <v>1998</v>
      </c>
      <c r="B932" s="5" t="n">
        <v>46220.5583333333</v>
      </c>
      <c r="C932" s="3" t="s">
        <v>68</v>
      </c>
      <c r="D932" s="3" t="s">
        <v>40</v>
      </c>
      <c r="E932" s="3" t="s">
        <v>41</v>
      </c>
      <c r="F932" s="3" t="s">
        <v>33</v>
      </c>
      <c r="G932" s="3" t="s">
        <v>42</v>
      </c>
      <c r="H932" s="3" t="s">
        <v>1999</v>
      </c>
      <c r="I932" s="3" t="n">
        <v>5</v>
      </c>
      <c r="J932" s="3" t="n">
        <v>4</v>
      </c>
      <c r="K932" s="3" t="n">
        <v>5</v>
      </c>
      <c r="L932" s="3" t="n">
        <v>3</v>
      </c>
      <c r="M932" s="3" t="n">
        <v>4</v>
      </c>
      <c r="N932" s="3" t="n">
        <v>4</v>
      </c>
      <c r="O932" s="6" t="b">
        <f aca="false">FALSE()</f>
        <v>0</v>
      </c>
      <c r="P932" s="3"/>
      <c r="Q932" s="5" t="n">
        <v>46220.5590277778</v>
      </c>
      <c r="R932" s="5" t="n">
        <v>46220.7930555556</v>
      </c>
      <c r="S932" s="3" t="s">
        <v>1699</v>
      </c>
      <c r="T932" s="7" t="n">
        <f aca="false">ROUND(MIN(IF(OR(O932=TRUE(),O932="TRUE",O932="Yes"),59,100),(I932*Rubric!$C$2+J932*Rubric!$C$3+K932*Rubric!$C$4+L932*Rubric!$C$5+M932*Rubric!$C$6+N932*Rubric!$C$7)/5),1)</f>
        <v>84</v>
      </c>
      <c r="U932" s="8" t="str">
        <f aca="false">LOOKUP(T932,Bands!$A$2:$A$6,Bands!$B$2:$B$6)</f>
        <v>Solid Performance</v>
      </c>
      <c r="V932" s="8" t="n">
        <f aca="false">IF(Q932="","",ROUND((Q932-B932)*24,1))</f>
        <v>0</v>
      </c>
    </row>
    <row r="933" customFormat="false" ht="15" hidden="false" customHeight="false" outlineLevel="0" collapsed="false">
      <c r="A933" s="3" t="s">
        <v>2000</v>
      </c>
      <c r="B933" s="5" t="n">
        <v>46220.4270833333</v>
      </c>
      <c r="C933" s="3" t="s">
        <v>39</v>
      </c>
      <c r="D933" s="3" t="s">
        <v>155</v>
      </c>
      <c r="E933" s="3" t="s">
        <v>156</v>
      </c>
      <c r="F933" s="3" t="s">
        <v>65</v>
      </c>
      <c r="G933" s="3" t="s">
        <v>34</v>
      </c>
      <c r="H933" s="3" t="s">
        <v>2001</v>
      </c>
      <c r="I933" s="3" t="n">
        <v>2</v>
      </c>
      <c r="J933" s="3" t="n">
        <v>3</v>
      </c>
      <c r="K933" s="3" t="n">
        <v>4</v>
      </c>
      <c r="L933" s="3" t="n">
        <v>4</v>
      </c>
      <c r="M933" s="3" t="n">
        <v>5</v>
      </c>
      <c r="N933" s="3" t="n">
        <v>4</v>
      </c>
      <c r="O933" s="6" t="b">
        <f aca="false">FALSE()</f>
        <v>0</v>
      </c>
      <c r="P933" s="3" t="s">
        <v>88</v>
      </c>
      <c r="Q933" s="5" t="n">
        <v>46220.4291666667</v>
      </c>
      <c r="R933" s="5" t="n">
        <v>46220.4361111111</v>
      </c>
      <c r="S933" s="3" t="s">
        <v>1699</v>
      </c>
      <c r="T933" s="7" t="n">
        <f aca="false">ROUND(MIN(IF(OR(O933=TRUE(),O933="TRUE",O933="Yes"),59,100),(I933*Rubric!$C$2+J933*Rubric!$C$3+K933*Rubric!$C$4+L933*Rubric!$C$5+M933*Rubric!$C$6+N933*Rubric!$C$7)/5),1)</f>
        <v>71</v>
      </c>
      <c r="U933" s="8" t="str">
        <f aca="false">LOOKUP(T933,Bands!$A$2:$A$6,Bands!$B$2:$B$6)</f>
        <v>Meets Expectations</v>
      </c>
      <c r="V933" s="8" t="n">
        <f aca="false">IF(Q933="","",ROUND((Q933-B933)*24,1))</f>
        <v>0.1</v>
      </c>
    </row>
    <row r="934" customFormat="false" ht="15" hidden="false" customHeight="false" outlineLevel="0" collapsed="false">
      <c r="A934" s="3" t="s">
        <v>2002</v>
      </c>
      <c r="B934" s="5" t="n">
        <v>46220.5402777778</v>
      </c>
      <c r="C934" s="3" t="s">
        <v>68</v>
      </c>
      <c r="D934" s="3" t="s">
        <v>238</v>
      </c>
      <c r="E934" s="3" t="s">
        <v>239</v>
      </c>
      <c r="F934" s="3" t="s">
        <v>33</v>
      </c>
      <c r="G934" s="3" t="s">
        <v>42</v>
      </c>
      <c r="H934" s="3" t="s">
        <v>2003</v>
      </c>
      <c r="I934" s="3" t="n">
        <v>4</v>
      </c>
      <c r="J934" s="3" t="n">
        <v>5</v>
      </c>
      <c r="K934" s="3" t="n">
        <v>4</v>
      </c>
      <c r="L934" s="3" t="n">
        <v>3</v>
      </c>
      <c r="M934" s="3" t="n">
        <v>3</v>
      </c>
      <c r="N934" s="3" t="n">
        <v>4</v>
      </c>
      <c r="O934" s="6" t="b">
        <f aca="false">FALSE()</f>
        <v>0</v>
      </c>
      <c r="P934" s="3"/>
      <c r="Q934" s="5" t="n">
        <v>46220.5416666667</v>
      </c>
      <c r="R934" s="5" t="n">
        <v>46220.9305555556</v>
      </c>
      <c r="S934" s="3" t="s">
        <v>1699</v>
      </c>
      <c r="T934" s="7" t="n">
        <f aca="false">ROUND(MIN(IF(OR(O934=TRUE(),O934="TRUE",O934="Yes"),59,100),(I934*Rubric!$C$2+J934*Rubric!$C$3+K934*Rubric!$C$4+L934*Rubric!$C$5+M934*Rubric!$C$6+N934*Rubric!$C$7)/5),1)</f>
        <v>80</v>
      </c>
      <c r="U934" s="8" t="str">
        <f aca="false">LOOKUP(T934,Bands!$A$2:$A$6,Bands!$B$2:$B$6)</f>
        <v>Solid Performance</v>
      </c>
      <c r="V934" s="8" t="n">
        <f aca="false">IF(Q934="","",ROUND((Q934-B934)*24,1))</f>
        <v>0</v>
      </c>
    </row>
    <row r="935" customFormat="false" ht="15" hidden="false" customHeight="false" outlineLevel="0" collapsed="false">
      <c r="A935" s="3" t="s">
        <v>2004</v>
      </c>
      <c r="B935" s="5" t="n">
        <v>46220.4013888889</v>
      </c>
      <c r="C935" s="3" t="s">
        <v>30</v>
      </c>
      <c r="D935" s="3" t="s">
        <v>90</v>
      </c>
      <c r="E935" s="3" t="s">
        <v>91</v>
      </c>
      <c r="F935" s="3" t="s">
        <v>65</v>
      </c>
      <c r="G935" s="3" t="s">
        <v>34</v>
      </c>
      <c r="H935" s="3" t="s">
        <v>2005</v>
      </c>
      <c r="I935" s="3" t="n">
        <v>5</v>
      </c>
      <c r="J935" s="3" t="n">
        <v>4</v>
      </c>
      <c r="K935" s="3" t="n">
        <v>4</v>
      </c>
      <c r="L935" s="3" t="n">
        <v>5</v>
      </c>
      <c r="M935" s="3" t="n">
        <v>4</v>
      </c>
      <c r="N935" s="3" t="n">
        <v>3</v>
      </c>
      <c r="O935" s="6" t="b">
        <f aca="false">FALSE()</f>
        <v>0</v>
      </c>
      <c r="P935" s="3"/>
      <c r="Q935" s="5" t="n">
        <v>46220.4034722222</v>
      </c>
      <c r="R935" s="5" t="n">
        <v>46222.2472222222</v>
      </c>
      <c r="S935" s="3" t="s">
        <v>1699</v>
      </c>
      <c r="T935" s="7" t="n">
        <f aca="false">ROUND(MIN(IF(OR(O935=TRUE(),O935="TRUE",O935="Yes"),59,100),(I935*Rubric!$C$2+J935*Rubric!$C$3+K935*Rubric!$C$4+L935*Rubric!$C$5+M935*Rubric!$C$6+N935*Rubric!$C$7)/5),1)</f>
        <v>83</v>
      </c>
      <c r="U935" s="8" t="str">
        <f aca="false">LOOKUP(T935,Bands!$A$2:$A$6,Bands!$B$2:$B$6)</f>
        <v>Solid Performance</v>
      </c>
      <c r="V935" s="8" t="n">
        <f aca="false">IF(Q935="","",ROUND((Q935-B935)*24,1))</f>
        <v>0</v>
      </c>
    </row>
    <row r="936" customFormat="false" ht="15" hidden="false" customHeight="false" outlineLevel="0" collapsed="false">
      <c r="A936" s="3" t="s">
        <v>2006</v>
      </c>
      <c r="B936" s="5" t="n">
        <v>46220.4145833333</v>
      </c>
      <c r="C936" s="3" t="s">
        <v>30</v>
      </c>
      <c r="D936" s="3" t="s">
        <v>69</v>
      </c>
      <c r="E936" s="3" t="s">
        <v>70</v>
      </c>
      <c r="F936" s="3" t="s">
        <v>65</v>
      </c>
      <c r="G936" s="3" t="s">
        <v>42</v>
      </c>
      <c r="H936" s="3" t="s">
        <v>2007</v>
      </c>
      <c r="I936" s="3" t="n">
        <v>4</v>
      </c>
      <c r="J936" s="3" t="n">
        <v>4</v>
      </c>
      <c r="K936" s="3" t="n">
        <v>4</v>
      </c>
      <c r="L936" s="3" t="n">
        <v>3</v>
      </c>
      <c r="M936" s="3" t="n">
        <v>4</v>
      </c>
      <c r="N936" s="3" t="n">
        <v>3</v>
      </c>
      <c r="O936" s="6" t="b">
        <f aca="false">FALSE()</f>
        <v>0</v>
      </c>
      <c r="P936" s="3"/>
      <c r="Q936" s="5" t="n">
        <v>46220.4152777778</v>
      </c>
      <c r="R936" s="5" t="n">
        <v>46220.4208333333</v>
      </c>
      <c r="S936" s="3" t="s">
        <v>1699</v>
      </c>
      <c r="T936" s="7" t="n">
        <f aca="false">ROUND(MIN(IF(OR(O936=TRUE(),O936="TRUE",O936="Yes"),59,100),(I936*Rubric!$C$2+J936*Rubric!$C$3+K936*Rubric!$C$4+L936*Rubric!$C$5+M936*Rubric!$C$6+N936*Rubric!$C$7)/5),1)</f>
        <v>74</v>
      </c>
      <c r="U936" s="8" t="str">
        <f aca="false">LOOKUP(T936,Bands!$A$2:$A$6,Bands!$B$2:$B$6)</f>
        <v>Meets Expectations</v>
      </c>
      <c r="V936" s="8" t="n">
        <f aca="false">IF(Q936="","",ROUND((Q936-B936)*24,1))</f>
        <v>0</v>
      </c>
    </row>
    <row r="937" customFormat="false" ht="15" hidden="false" customHeight="false" outlineLevel="0" collapsed="false">
      <c r="A937" s="3" t="s">
        <v>2008</v>
      </c>
      <c r="B937" s="5" t="n">
        <v>46220.4638888889</v>
      </c>
      <c r="C937" s="3" t="s">
        <v>30</v>
      </c>
      <c r="D937" s="3" t="s">
        <v>293</v>
      </c>
      <c r="E937" s="3" t="s">
        <v>294</v>
      </c>
      <c r="F937" s="3" t="s">
        <v>65</v>
      </c>
      <c r="G937" s="3" t="s">
        <v>42</v>
      </c>
      <c r="H937" s="3" t="s">
        <v>2009</v>
      </c>
      <c r="I937" s="3" t="n">
        <v>5</v>
      </c>
      <c r="J937" s="3" t="n">
        <v>5</v>
      </c>
      <c r="K937" s="3" t="n">
        <v>5</v>
      </c>
      <c r="L937" s="3" t="n">
        <v>3</v>
      </c>
      <c r="M937" s="3" t="n">
        <v>5</v>
      </c>
      <c r="N937" s="3" t="n">
        <v>5</v>
      </c>
      <c r="O937" s="6" t="b">
        <f aca="false">FALSE()</f>
        <v>0</v>
      </c>
      <c r="P937" s="3"/>
      <c r="Q937" s="5" t="n">
        <v>46220.4652777778</v>
      </c>
      <c r="R937" s="5" t="n">
        <v>46221.1833333333</v>
      </c>
      <c r="S937" s="3" t="s">
        <v>1699</v>
      </c>
      <c r="T937" s="7" t="n">
        <f aca="false">ROUND(MIN(IF(OR(O937=TRUE(),O937="TRUE",O937="Yes"),59,100),(I937*Rubric!$C$2+J937*Rubric!$C$3+K937*Rubric!$C$4+L937*Rubric!$C$5+M937*Rubric!$C$6+N937*Rubric!$C$7)/5),1)</f>
        <v>94</v>
      </c>
      <c r="U937" s="8" t="str">
        <f aca="false">LOOKUP(T937,Bands!$A$2:$A$6,Bands!$B$2:$B$6)</f>
        <v>Outstanding</v>
      </c>
      <c r="V937" s="8" t="n">
        <f aca="false">IF(Q937="","",ROUND((Q937-B937)*24,1))</f>
        <v>0</v>
      </c>
    </row>
    <row r="938" customFormat="false" ht="15" hidden="false" customHeight="false" outlineLevel="0" collapsed="false">
      <c r="A938" s="3" t="s">
        <v>2010</v>
      </c>
      <c r="B938" s="5" t="n">
        <v>46223.5604166667</v>
      </c>
      <c r="C938" s="3" t="s">
        <v>68</v>
      </c>
      <c r="D938" s="3" t="s">
        <v>111</v>
      </c>
      <c r="E938" s="3" t="s">
        <v>112</v>
      </c>
      <c r="F938" s="3" t="s">
        <v>33</v>
      </c>
      <c r="G938" s="3" t="s">
        <v>42</v>
      </c>
      <c r="H938" s="3" t="s">
        <v>2011</v>
      </c>
      <c r="I938" s="3" t="n">
        <v>3</v>
      </c>
      <c r="J938" s="3" t="n">
        <v>3</v>
      </c>
      <c r="K938" s="3" t="n">
        <v>4</v>
      </c>
      <c r="L938" s="3" t="n">
        <v>4</v>
      </c>
      <c r="M938" s="3" t="n">
        <v>3</v>
      </c>
      <c r="N938" s="3" t="n">
        <v>4</v>
      </c>
      <c r="O938" s="6" t="b">
        <f aca="false">FALSE()</f>
        <v>0</v>
      </c>
      <c r="P938" s="3"/>
      <c r="Q938" s="5" t="n">
        <v>46223.5618055556</v>
      </c>
      <c r="R938" s="5" t="n">
        <v>46224.4298611111</v>
      </c>
      <c r="S938" s="3" t="s">
        <v>1699</v>
      </c>
      <c r="T938" s="7" t="n">
        <f aca="false">ROUND(MIN(IF(OR(O938=TRUE(),O938="TRUE",O938="Yes"),59,100),(I938*Rubric!$C$2+J938*Rubric!$C$3+K938*Rubric!$C$4+L938*Rubric!$C$5+M938*Rubric!$C$6+N938*Rubric!$C$7)/5),1)</f>
        <v>70</v>
      </c>
      <c r="U938" s="8" t="str">
        <f aca="false">LOOKUP(T938,Bands!$A$2:$A$6,Bands!$B$2:$B$6)</f>
        <v>Meets Expectations</v>
      </c>
      <c r="V938" s="8" t="n">
        <f aca="false">IF(Q938="","",ROUND((Q938-B938)*24,1))</f>
        <v>0</v>
      </c>
    </row>
    <row r="939" customFormat="false" ht="15" hidden="false" customHeight="false" outlineLevel="0" collapsed="false">
      <c r="A939" s="3" t="s">
        <v>2012</v>
      </c>
      <c r="B939" s="5" t="n">
        <v>46223.6097222222</v>
      </c>
      <c r="C939" s="3" t="s">
        <v>30</v>
      </c>
      <c r="D939" s="3" t="s">
        <v>46</v>
      </c>
      <c r="E939" s="3" t="s">
        <v>47</v>
      </c>
      <c r="F939" s="3" t="s">
        <v>33</v>
      </c>
      <c r="G939" s="3" t="s">
        <v>54</v>
      </c>
      <c r="H939" s="3" t="s">
        <v>2013</v>
      </c>
      <c r="I939" s="3" t="n">
        <v>4</v>
      </c>
      <c r="J939" s="3" t="n">
        <v>4</v>
      </c>
      <c r="K939" s="3" t="n">
        <v>2</v>
      </c>
      <c r="L939" s="3" t="n">
        <v>5</v>
      </c>
      <c r="M939" s="3" t="n">
        <v>5</v>
      </c>
      <c r="N939" s="3" t="n">
        <v>5</v>
      </c>
      <c r="O939" s="6" t="b">
        <f aca="false">FALSE()</f>
        <v>0</v>
      </c>
      <c r="P939" s="3" t="s">
        <v>49</v>
      </c>
      <c r="Q939" s="5" t="n">
        <v>46223.6104166667</v>
      </c>
      <c r="R939" s="5" t="n">
        <v>46223.6659722222</v>
      </c>
      <c r="S939" s="3" t="s">
        <v>1699</v>
      </c>
      <c r="T939" s="7" t="n">
        <f aca="false">ROUND(MIN(IF(OR(O939=TRUE(),O939="TRUE",O939="Yes"),59,100),(I939*Rubric!$C$2+J939*Rubric!$C$3+K939*Rubric!$C$4+L939*Rubric!$C$5+M939*Rubric!$C$6+N939*Rubric!$C$7)/5),1)</f>
        <v>80</v>
      </c>
      <c r="U939" s="8" t="str">
        <f aca="false">LOOKUP(T939,Bands!$A$2:$A$6,Bands!$B$2:$B$6)</f>
        <v>Solid Performance</v>
      </c>
      <c r="V939" s="8" t="n">
        <f aca="false">IF(Q939="","",ROUND((Q939-B939)*24,1))</f>
        <v>0</v>
      </c>
    </row>
    <row r="940" customFormat="false" ht="15" hidden="false" customHeight="false" outlineLevel="0" collapsed="false">
      <c r="A940" s="3" t="s">
        <v>2014</v>
      </c>
      <c r="B940" s="5" t="n">
        <v>46223.5055555556</v>
      </c>
      <c r="C940" s="3" t="s">
        <v>68</v>
      </c>
      <c r="D940" s="3" t="s">
        <v>212</v>
      </c>
      <c r="E940" s="3" t="s">
        <v>213</v>
      </c>
      <c r="F940" s="3" t="s">
        <v>33</v>
      </c>
      <c r="G940" s="3" t="s">
        <v>42</v>
      </c>
      <c r="H940" s="3" t="s">
        <v>2015</v>
      </c>
      <c r="I940" s="3" t="n">
        <v>3</v>
      </c>
      <c r="J940" s="3" t="n">
        <v>3</v>
      </c>
      <c r="K940" s="3" t="n">
        <v>3</v>
      </c>
      <c r="L940" s="3" t="n">
        <v>4</v>
      </c>
      <c r="M940" s="3" t="n">
        <v>4</v>
      </c>
      <c r="N940" s="3" t="n">
        <v>4</v>
      </c>
      <c r="O940" s="6" t="b">
        <f aca="false">FALSE()</f>
        <v>0</v>
      </c>
      <c r="P940" s="3"/>
      <c r="Q940" s="5" t="n">
        <v>46223.50625</v>
      </c>
      <c r="R940" s="5" t="n">
        <v>46223.6763888889</v>
      </c>
      <c r="S940" s="3" t="s">
        <v>1699</v>
      </c>
      <c r="T940" s="7" t="n">
        <f aca="false">ROUND(MIN(IF(OR(O940=TRUE(),O940="TRUE",O940="Yes"),59,100),(I940*Rubric!$C$2+J940*Rubric!$C$3+K940*Rubric!$C$4+L940*Rubric!$C$5+M940*Rubric!$C$6+N940*Rubric!$C$7)/5),1)</f>
        <v>68</v>
      </c>
      <c r="U940" s="8" t="str">
        <f aca="false">LOOKUP(T940,Bands!$A$2:$A$6,Bands!$B$2:$B$6)</f>
        <v>Needs Improvement</v>
      </c>
      <c r="V940" s="8" t="n">
        <f aca="false">IF(Q940="","",ROUND((Q940-B940)*24,1))</f>
        <v>0</v>
      </c>
    </row>
    <row r="941" customFormat="false" ht="15" hidden="false" customHeight="false" outlineLevel="0" collapsed="false">
      <c r="A941" s="3" t="s">
        <v>2016</v>
      </c>
      <c r="B941" s="5" t="n">
        <v>46223.6381944444</v>
      </c>
      <c r="C941" s="3" t="s">
        <v>30</v>
      </c>
      <c r="D941" s="3" t="s">
        <v>73</v>
      </c>
      <c r="E941" s="3" t="s">
        <v>74</v>
      </c>
      <c r="F941" s="3" t="s">
        <v>33</v>
      </c>
      <c r="G941" s="3" t="s">
        <v>42</v>
      </c>
      <c r="H941" s="3" t="s">
        <v>2017</v>
      </c>
      <c r="I941" s="3" t="n">
        <v>4</v>
      </c>
      <c r="J941" s="3" t="n">
        <v>5</v>
      </c>
      <c r="K941" s="3" t="n">
        <v>4</v>
      </c>
      <c r="L941" s="3" t="n">
        <v>5</v>
      </c>
      <c r="M941" s="3" t="n">
        <v>4</v>
      </c>
      <c r="N941" s="3" t="n">
        <v>4</v>
      </c>
      <c r="O941" s="6" t="b">
        <f aca="false">FALSE()</f>
        <v>0</v>
      </c>
      <c r="P941" s="3"/>
      <c r="Q941" s="5" t="n">
        <v>46223.6388888889</v>
      </c>
      <c r="R941" s="5" t="n">
        <v>46223.6736111111</v>
      </c>
      <c r="S941" s="3" t="s">
        <v>1699</v>
      </c>
      <c r="T941" s="7" t="n">
        <f aca="false">ROUND(MIN(IF(OR(O941=TRUE(),O941="TRUE",O941="Yes"),59,100),(I941*Rubric!$C$2+J941*Rubric!$C$3+K941*Rubric!$C$4+L941*Rubric!$C$5+M941*Rubric!$C$6+N941*Rubric!$C$7)/5),1)</f>
        <v>88</v>
      </c>
      <c r="U941" s="8" t="str">
        <f aca="false">LOOKUP(T941,Bands!$A$2:$A$6,Bands!$B$2:$B$6)</f>
        <v>Solid Performance</v>
      </c>
      <c r="V941" s="8" t="n">
        <f aca="false">IF(Q941="","",ROUND((Q941-B941)*24,1))</f>
        <v>0</v>
      </c>
    </row>
    <row r="942" customFormat="false" ht="15" hidden="false" customHeight="false" outlineLevel="0" collapsed="false">
      <c r="A942" s="3" t="s">
        <v>2018</v>
      </c>
      <c r="B942" s="5" t="n">
        <v>46223.5395833333</v>
      </c>
      <c r="C942" s="3" t="s">
        <v>39</v>
      </c>
      <c r="D942" s="3" t="s">
        <v>202</v>
      </c>
      <c r="E942" s="3" t="s">
        <v>203</v>
      </c>
      <c r="F942" s="3" t="s">
        <v>53</v>
      </c>
      <c r="G942" s="3" t="s">
        <v>54</v>
      </c>
      <c r="H942" s="3" t="s">
        <v>2019</v>
      </c>
      <c r="I942" s="3" t="n">
        <v>4</v>
      </c>
      <c r="J942" s="3" t="n">
        <v>5</v>
      </c>
      <c r="K942" s="3" t="n">
        <v>4</v>
      </c>
      <c r="L942" s="3" t="n">
        <v>3</v>
      </c>
      <c r="M942" s="3" t="n">
        <v>3</v>
      </c>
      <c r="N942" s="3" t="n">
        <v>3</v>
      </c>
      <c r="O942" s="6" t="b">
        <f aca="false">FALSE()</f>
        <v>0</v>
      </c>
      <c r="P942" s="3"/>
      <c r="Q942" s="5" t="n">
        <v>46223.5409722222</v>
      </c>
      <c r="R942" s="5" t="n">
        <v>46223.6756944444</v>
      </c>
      <c r="S942" s="3" t="s">
        <v>1699</v>
      </c>
      <c r="T942" s="7" t="n">
        <f aca="false">ROUND(MIN(IF(OR(O942=TRUE(),O942="TRUE",O942="Yes"),59,100),(I942*Rubric!$C$2+J942*Rubric!$C$3+K942*Rubric!$C$4+L942*Rubric!$C$5+M942*Rubric!$C$6+N942*Rubric!$C$7)/5),1)</f>
        <v>77</v>
      </c>
      <c r="U942" s="8" t="str">
        <f aca="false">LOOKUP(T942,Bands!$A$2:$A$6,Bands!$B$2:$B$6)</f>
        <v>Meets Expectations</v>
      </c>
      <c r="V942" s="8" t="n">
        <f aca="false">IF(Q942="","",ROUND((Q942-B942)*24,1))</f>
        <v>0</v>
      </c>
    </row>
    <row r="943" customFormat="false" ht="15" hidden="false" customHeight="false" outlineLevel="0" collapsed="false">
      <c r="A943" s="3" t="s">
        <v>2020</v>
      </c>
      <c r="B943" s="5" t="n">
        <v>46223.3958333333</v>
      </c>
      <c r="C943" s="3" t="s">
        <v>39</v>
      </c>
      <c r="D943" s="3" t="s">
        <v>222</v>
      </c>
      <c r="E943" s="3" t="s">
        <v>223</v>
      </c>
      <c r="F943" s="3" t="s">
        <v>53</v>
      </c>
      <c r="G943" s="3" t="s">
        <v>54</v>
      </c>
      <c r="H943" s="3" t="s">
        <v>2021</v>
      </c>
      <c r="I943" s="3" t="n">
        <v>4</v>
      </c>
      <c r="J943" s="3" t="n">
        <v>4</v>
      </c>
      <c r="K943" s="3" t="n">
        <v>5</v>
      </c>
      <c r="L943" s="3" t="n">
        <v>4</v>
      </c>
      <c r="M943" s="3" t="n">
        <v>5</v>
      </c>
      <c r="N943" s="3" t="n">
        <v>3</v>
      </c>
      <c r="O943" s="6" t="b">
        <f aca="false">FALSE()</f>
        <v>0</v>
      </c>
      <c r="P943" s="3"/>
      <c r="Q943" s="5" t="n">
        <v>46223.3965277778</v>
      </c>
      <c r="R943" s="5" t="n">
        <v>46223.5256944444</v>
      </c>
      <c r="S943" s="3" t="s">
        <v>1699</v>
      </c>
      <c r="T943" s="7" t="n">
        <f aca="false">ROUND(MIN(IF(OR(O943=TRUE(),O943="TRUE",O943="Yes"),59,100),(I943*Rubric!$C$2+J943*Rubric!$C$3+K943*Rubric!$C$4+L943*Rubric!$C$5+M943*Rubric!$C$6+N943*Rubric!$C$7)/5),1)</f>
        <v>83</v>
      </c>
      <c r="U943" s="8" t="str">
        <f aca="false">LOOKUP(T943,Bands!$A$2:$A$6,Bands!$B$2:$B$6)</f>
        <v>Solid Performance</v>
      </c>
      <c r="V943" s="8" t="n">
        <f aca="false">IF(Q943="","",ROUND((Q943-B943)*24,1))</f>
        <v>0</v>
      </c>
    </row>
    <row r="944" customFormat="false" ht="15" hidden="false" customHeight="false" outlineLevel="0" collapsed="false">
      <c r="A944" s="3" t="s">
        <v>2022</v>
      </c>
      <c r="B944" s="5" t="n">
        <v>46223.3798611111</v>
      </c>
      <c r="C944" s="3" t="s">
        <v>68</v>
      </c>
      <c r="D944" s="3" t="s">
        <v>125</v>
      </c>
      <c r="E944" s="3" t="s">
        <v>126</v>
      </c>
      <c r="F944" s="3" t="s">
        <v>53</v>
      </c>
      <c r="G944" s="3" t="s">
        <v>54</v>
      </c>
      <c r="H944" s="3" t="s">
        <v>2023</v>
      </c>
      <c r="I944" s="3" t="n">
        <v>5</v>
      </c>
      <c r="J944" s="3" t="n">
        <v>4</v>
      </c>
      <c r="K944" s="3" t="n">
        <v>4</v>
      </c>
      <c r="L944" s="3" t="n">
        <v>3</v>
      </c>
      <c r="M944" s="3" t="n">
        <v>5</v>
      </c>
      <c r="N944" s="3" t="n">
        <v>5</v>
      </c>
      <c r="O944" s="6" t="b">
        <f aca="false">FALSE()</f>
        <v>0</v>
      </c>
      <c r="P944" s="3"/>
      <c r="Q944" s="5" t="n">
        <v>46223.3805555556</v>
      </c>
      <c r="R944" s="5" t="n">
        <v>46223.5458333333</v>
      </c>
      <c r="S944" s="3" t="s">
        <v>1699</v>
      </c>
      <c r="T944" s="7" t="n">
        <f aca="false">ROUND(MIN(IF(OR(O944=TRUE(),O944="TRUE",O944="Yes"),59,100),(I944*Rubric!$C$2+J944*Rubric!$C$3+K944*Rubric!$C$4+L944*Rubric!$C$5+M944*Rubric!$C$6+N944*Rubric!$C$7)/5),1)</f>
        <v>85</v>
      </c>
      <c r="U944" s="8" t="str">
        <f aca="false">LOOKUP(T944,Bands!$A$2:$A$6,Bands!$B$2:$B$6)</f>
        <v>Solid Performance</v>
      </c>
      <c r="V944" s="8" t="n">
        <f aca="false">IF(Q944="","",ROUND((Q944-B944)*24,1))</f>
        <v>0</v>
      </c>
    </row>
    <row r="945" customFormat="false" ht="15" hidden="false" customHeight="false" outlineLevel="0" collapsed="false">
      <c r="A945" s="3" t="s">
        <v>2024</v>
      </c>
      <c r="B945" s="5" t="n">
        <v>46223.4395833333</v>
      </c>
      <c r="C945" s="3" t="s">
        <v>68</v>
      </c>
      <c r="D945" s="3" t="s">
        <v>198</v>
      </c>
      <c r="E945" s="3" t="s">
        <v>199</v>
      </c>
      <c r="F945" s="3" t="s">
        <v>33</v>
      </c>
      <c r="G945" s="3" t="s">
        <v>54</v>
      </c>
      <c r="H945" s="3" t="s">
        <v>2025</v>
      </c>
      <c r="I945" s="3" t="n">
        <v>3</v>
      </c>
      <c r="J945" s="3" t="n">
        <v>4</v>
      </c>
      <c r="K945" s="3" t="n">
        <v>5</v>
      </c>
      <c r="L945" s="3" t="n">
        <v>4</v>
      </c>
      <c r="M945" s="3" t="n">
        <v>4</v>
      </c>
      <c r="N945" s="3" t="n">
        <v>4</v>
      </c>
      <c r="O945" s="6" t="b">
        <f aca="false">FALSE()</f>
        <v>0</v>
      </c>
      <c r="P945" s="3"/>
      <c r="Q945" s="5" t="n">
        <v>46223.4402777778</v>
      </c>
      <c r="R945" s="5" t="n">
        <v>46223.8381944444</v>
      </c>
      <c r="S945" s="3" t="s">
        <v>1699</v>
      </c>
      <c r="T945" s="7" t="n">
        <f aca="false">ROUND(MIN(IF(OR(O945=TRUE(),O945="TRUE",O945="Yes"),59,100),(I945*Rubric!$C$2+J945*Rubric!$C$3+K945*Rubric!$C$4+L945*Rubric!$C$5+M945*Rubric!$C$6+N945*Rubric!$C$7)/5),1)</f>
        <v>81</v>
      </c>
      <c r="U945" s="8" t="str">
        <f aca="false">LOOKUP(T945,Bands!$A$2:$A$6,Bands!$B$2:$B$6)</f>
        <v>Solid Performance</v>
      </c>
      <c r="V945" s="8" t="n">
        <f aca="false">IF(Q945="","",ROUND((Q945-B945)*24,1))</f>
        <v>0</v>
      </c>
    </row>
    <row r="946" customFormat="false" ht="15" hidden="false" customHeight="false" outlineLevel="0" collapsed="false">
      <c r="A946" s="3" t="s">
        <v>2026</v>
      </c>
      <c r="B946" s="5" t="n">
        <v>46223.5347222222</v>
      </c>
      <c r="C946" s="3" t="s">
        <v>30</v>
      </c>
      <c r="D946" s="3" t="s">
        <v>137</v>
      </c>
      <c r="E946" s="3" t="s">
        <v>138</v>
      </c>
      <c r="F946" s="3" t="s">
        <v>65</v>
      </c>
      <c r="G946" s="3" t="s">
        <v>42</v>
      </c>
      <c r="H946" s="3" t="s">
        <v>2027</v>
      </c>
      <c r="I946" s="3" t="n">
        <v>3</v>
      </c>
      <c r="J946" s="3" t="n">
        <v>4</v>
      </c>
      <c r="K946" s="3" t="n">
        <v>5</v>
      </c>
      <c r="L946" s="3" t="n">
        <v>5</v>
      </c>
      <c r="M946" s="3" t="n">
        <v>5</v>
      </c>
      <c r="N946" s="3" t="n">
        <v>4</v>
      </c>
      <c r="O946" s="6" t="b">
        <f aca="false">FALSE()</f>
        <v>0</v>
      </c>
      <c r="P946" s="3"/>
      <c r="Q946" s="5" t="n">
        <v>46223.5361111111</v>
      </c>
      <c r="R946" s="5" t="n">
        <v>46223.5381944445</v>
      </c>
      <c r="S946" s="3" t="s">
        <v>1699</v>
      </c>
      <c r="T946" s="7" t="n">
        <f aca="false">ROUND(MIN(IF(OR(O946=TRUE(),O946="TRUE",O946="Yes"),59,100),(I946*Rubric!$C$2+J946*Rubric!$C$3+K946*Rubric!$C$4+L946*Rubric!$C$5+M946*Rubric!$C$6+N946*Rubric!$C$7)/5),1)</f>
        <v>86</v>
      </c>
      <c r="U946" s="8" t="str">
        <f aca="false">LOOKUP(T946,Bands!$A$2:$A$6,Bands!$B$2:$B$6)</f>
        <v>Solid Performance</v>
      </c>
      <c r="V946" s="8" t="n">
        <f aca="false">IF(Q946="","",ROUND((Q946-B946)*24,1))</f>
        <v>0</v>
      </c>
    </row>
    <row r="947" customFormat="false" ht="15" hidden="false" customHeight="false" outlineLevel="0" collapsed="false">
      <c r="A947" s="3" t="s">
        <v>2028</v>
      </c>
      <c r="B947" s="5" t="n">
        <v>46223.3819444445</v>
      </c>
      <c r="C947" s="3" t="s">
        <v>68</v>
      </c>
      <c r="D947" s="3" t="s">
        <v>51</v>
      </c>
      <c r="E947" s="3" t="s">
        <v>52</v>
      </c>
      <c r="F947" s="3" t="s">
        <v>53</v>
      </c>
      <c r="G947" s="3" t="s">
        <v>42</v>
      </c>
      <c r="H947" s="3" t="s">
        <v>2029</v>
      </c>
      <c r="I947" s="3" t="n">
        <v>4</v>
      </c>
      <c r="J947" s="3" t="n">
        <v>4</v>
      </c>
      <c r="K947" s="3" t="n">
        <v>3</v>
      </c>
      <c r="L947" s="3" t="n">
        <v>4</v>
      </c>
      <c r="M947" s="3" t="n">
        <v>3</v>
      </c>
      <c r="N947" s="3" t="n">
        <v>4</v>
      </c>
      <c r="O947" s="6" t="b">
        <f aca="false">FALSE()</f>
        <v>0</v>
      </c>
      <c r="P947" s="3"/>
      <c r="Q947" s="5" t="n">
        <v>46223.3840277778</v>
      </c>
      <c r="R947" s="5" t="n">
        <v>46223.45625</v>
      </c>
      <c r="S947" s="3" t="s">
        <v>1699</v>
      </c>
      <c r="T947" s="7" t="n">
        <f aca="false">ROUND(MIN(IF(OR(O947=TRUE(),O947="TRUE",O947="Yes"),59,100),(I947*Rubric!$C$2+J947*Rubric!$C$3+K947*Rubric!$C$4+L947*Rubric!$C$5+M947*Rubric!$C$6+N947*Rubric!$C$7)/5),1)</f>
        <v>74</v>
      </c>
      <c r="U947" s="8" t="str">
        <f aca="false">LOOKUP(T947,Bands!$A$2:$A$6,Bands!$B$2:$B$6)</f>
        <v>Meets Expectations</v>
      </c>
      <c r="V947" s="8" t="n">
        <f aca="false">IF(Q947="","",ROUND((Q947-B947)*24,1))</f>
        <v>0</v>
      </c>
    </row>
    <row r="948" customFormat="false" ht="15" hidden="false" customHeight="false" outlineLevel="0" collapsed="false">
      <c r="A948" s="3" t="s">
        <v>2030</v>
      </c>
      <c r="B948" s="5" t="n">
        <v>46223.4673611111</v>
      </c>
      <c r="C948" s="3" t="s">
        <v>30</v>
      </c>
      <c r="D948" s="3" t="s">
        <v>96</v>
      </c>
      <c r="E948" s="3" t="s">
        <v>97</v>
      </c>
      <c r="F948" s="3" t="s">
        <v>33</v>
      </c>
      <c r="G948" s="3" t="s">
        <v>54</v>
      </c>
      <c r="H948" s="3" t="s">
        <v>2031</v>
      </c>
      <c r="I948" s="3" t="n">
        <v>5</v>
      </c>
      <c r="J948" s="3" t="n">
        <v>3</v>
      </c>
      <c r="K948" s="3" t="n">
        <v>5</v>
      </c>
      <c r="L948" s="3" t="n">
        <v>4</v>
      </c>
      <c r="M948" s="3" t="n">
        <v>4</v>
      </c>
      <c r="N948" s="3" t="n">
        <v>5</v>
      </c>
      <c r="O948" s="6" t="b">
        <f aca="false">FALSE()</f>
        <v>0</v>
      </c>
      <c r="P948" s="3"/>
      <c r="Q948" s="5" t="n">
        <v>46223.4694444445</v>
      </c>
      <c r="R948" s="5" t="n">
        <v>46223.6784722222</v>
      </c>
      <c r="S948" s="3" t="s">
        <v>1699</v>
      </c>
      <c r="T948" s="7" t="n">
        <f aca="false">ROUND(MIN(IF(OR(O948=TRUE(),O948="TRUE",O948="Yes"),59,100),(I948*Rubric!$C$2+J948*Rubric!$C$3+K948*Rubric!$C$4+L948*Rubric!$C$5+M948*Rubric!$C$6+N948*Rubric!$C$7)/5),1)</f>
        <v>85</v>
      </c>
      <c r="U948" s="8" t="str">
        <f aca="false">LOOKUP(T948,Bands!$A$2:$A$6,Bands!$B$2:$B$6)</f>
        <v>Solid Performance</v>
      </c>
      <c r="V948" s="8" t="n">
        <f aca="false">IF(Q948="","",ROUND((Q948-B948)*24,1))</f>
        <v>0.1</v>
      </c>
    </row>
    <row r="949" customFormat="false" ht="15" hidden="false" customHeight="false" outlineLevel="0" collapsed="false">
      <c r="A949" s="3" t="s">
        <v>2032</v>
      </c>
      <c r="B949" s="5" t="n">
        <v>46223.3909722222</v>
      </c>
      <c r="C949" s="3" t="s">
        <v>68</v>
      </c>
      <c r="D949" s="3" t="s">
        <v>133</v>
      </c>
      <c r="E949" s="3" t="s">
        <v>134</v>
      </c>
      <c r="F949" s="3" t="s">
        <v>33</v>
      </c>
      <c r="G949" s="3" t="s">
        <v>54</v>
      </c>
      <c r="H949" s="3" t="s">
        <v>2033</v>
      </c>
      <c r="I949" s="3" t="n">
        <v>5</v>
      </c>
      <c r="J949" s="3" t="n">
        <v>3</v>
      </c>
      <c r="K949" s="3" t="n">
        <v>5</v>
      </c>
      <c r="L949" s="3" t="n">
        <v>5</v>
      </c>
      <c r="M949" s="3" t="n">
        <v>4</v>
      </c>
      <c r="N949" s="3" t="n">
        <v>5</v>
      </c>
      <c r="O949" s="6" t="b">
        <f aca="false">FALSE()</f>
        <v>0</v>
      </c>
      <c r="P949" s="3"/>
      <c r="Q949" s="5" t="n">
        <v>46223.3916666667</v>
      </c>
      <c r="R949" s="5" t="n">
        <v>46223.5618055556</v>
      </c>
      <c r="S949" s="3" t="s">
        <v>1699</v>
      </c>
      <c r="T949" s="7" t="n">
        <f aca="false">ROUND(MIN(IF(OR(O949=TRUE(),O949="TRUE",O949="Yes"),59,100),(I949*Rubric!$C$2+J949*Rubric!$C$3+K949*Rubric!$C$4+L949*Rubric!$C$5+M949*Rubric!$C$6+N949*Rubric!$C$7)/5),1)</f>
        <v>88</v>
      </c>
      <c r="U949" s="8" t="str">
        <f aca="false">LOOKUP(T949,Bands!$A$2:$A$6,Bands!$B$2:$B$6)</f>
        <v>Solid Performance</v>
      </c>
      <c r="V949" s="8" t="n">
        <f aca="false">IF(Q949="","",ROUND((Q949-B949)*24,1))</f>
        <v>0</v>
      </c>
    </row>
    <row r="950" customFormat="false" ht="15" hidden="false" customHeight="false" outlineLevel="0" collapsed="false">
      <c r="A950" s="3" t="s">
        <v>2034</v>
      </c>
      <c r="B950" s="5" t="n">
        <v>46224.6534722222</v>
      </c>
      <c r="C950" s="3" t="s">
        <v>30</v>
      </c>
      <c r="D950" s="3" t="s">
        <v>81</v>
      </c>
      <c r="E950" s="3" t="s">
        <v>82</v>
      </c>
      <c r="F950" s="3" t="s">
        <v>65</v>
      </c>
      <c r="G950" s="3" t="s">
        <v>54</v>
      </c>
      <c r="H950" s="3" t="s">
        <v>2035</v>
      </c>
      <c r="I950" s="3" t="n">
        <v>4</v>
      </c>
      <c r="J950" s="3" t="n">
        <v>3</v>
      </c>
      <c r="K950" s="3" t="n">
        <v>3</v>
      </c>
      <c r="L950" s="3" t="n">
        <v>4</v>
      </c>
      <c r="M950" s="3" t="n">
        <v>4</v>
      </c>
      <c r="N950" s="3" t="n">
        <v>4</v>
      </c>
      <c r="O950" s="6" t="b">
        <f aca="false">FALSE()</f>
        <v>0</v>
      </c>
      <c r="P950" s="3"/>
      <c r="Q950" s="5" t="n">
        <v>46224.6548611111</v>
      </c>
      <c r="R950" s="5" t="n">
        <v>46224.7479166667</v>
      </c>
      <c r="S950" s="3" t="s">
        <v>1699</v>
      </c>
      <c r="T950" s="7" t="n">
        <f aca="false">ROUND(MIN(IF(OR(O950=TRUE(),O950="TRUE",O950="Yes"),59,100),(I950*Rubric!$C$2+J950*Rubric!$C$3+K950*Rubric!$C$4+L950*Rubric!$C$5+M950*Rubric!$C$6+N950*Rubric!$C$7)/5),1)</f>
        <v>71</v>
      </c>
      <c r="U950" s="8" t="str">
        <f aca="false">LOOKUP(T950,Bands!$A$2:$A$6,Bands!$B$2:$B$6)</f>
        <v>Meets Expectations</v>
      </c>
      <c r="V950" s="8" t="n">
        <f aca="false">IF(Q950="","",ROUND((Q950-B950)*24,1))</f>
        <v>0</v>
      </c>
    </row>
    <row r="951" customFormat="false" ht="15" hidden="false" customHeight="false" outlineLevel="0" collapsed="false">
      <c r="A951" s="3" t="s">
        <v>2036</v>
      </c>
      <c r="B951" s="5" t="n">
        <v>46224.5423611111</v>
      </c>
      <c r="C951" s="3" t="s">
        <v>30</v>
      </c>
      <c r="D951" s="3" t="s">
        <v>228</v>
      </c>
      <c r="E951" s="3" t="s">
        <v>229</v>
      </c>
      <c r="F951" s="3" t="s">
        <v>65</v>
      </c>
      <c r="G951" s="3" t="s">
        <v>42</v>
      </c>
      <c r="H951" s="3" t="s">
        <v>2037</v>
      </c>
      <c r="I951" s="3" t="n">
        <v>3</v>
      </c>
      <c r="J951" s="3" t="n">
        <v>3</v>
      </c>
      <c r="K951" s="3" t="n">
        <v>3</v>
      </c>
      <c r="L951" s="3" t="n">
        <v>3</v>
      </c>
      <c r="M951" s="3" t="n">
        <v>3</v>
      </c>
      <c r="N951" s="3" t="n">
        <v>3</v>
      </c>
      <c r="O951" s="6" t="b">
        <f aca="false">FALSE()</f>
        <v>0</v>
      </c>
      <c r="P951" s="3"/>
      <c r="Q951" s="5" t="n">
        <v>46224.5430555556</v>
      </c>
      <c r="R951" s="5" t="n">
        <v>46225.4006944444</v>
      </c>
      <c r="S951" s="3" t="s">
        <v>1699</v>
      </c>
      <c r="T951" s="7" t="n">
        <f aca="false">ROUND(MIN(IF(OR(O951=TRUE(),O951="TRUE",O951="Yes"),59,100),(I951*Rubric!$C$2+J951*Rubric!$C$3+K951*Rubric!$C$4+L951*Rubric!$C$5+M951*Rubric!$C$6+N951*Rubric!$C$7)/5),1)</f>
        <v>60</v>
      </c>
      <c r="U951" s="8" t="str">
        <f aca="false">LOOKUP(T951,Bands!$A$2:$A$6,Bands!$B$2:$B$6)</f>
        <v>Needs Improvement</v>
      </c>
      <c r="V951" s="8" t="n">
        <f aca="false">IF(Q951="","",ROUND((Q951-B951)*24,1))</f>
        <v>0</v>
      </c>
    </row>
    <row r="952" customFormat="false" ht="15" hidden="false" customHeight="false" outlineLevel="0" collapsed="false">
      <c r="A952" s="3" t="s">
        <v>2038</v>
      </c>
      <c r="B952" s="5" t="n">
        <v>46224.4520833333</v>
      </c>
      <c r="C952" s="3" t="s">
        <v>30</v>
      </c>
      <c r="D952" s="3" t="s">
        <v>119</v>
      </c>
      <c r="E952" s="3" t="s">
        <v>120</v>
      </c>
      <c r="F952" s="3" t="s">
        <v>33</v>
      </c>
      <c r="G952" s="3" t="s">
        <v>42</v>
      </c>
      <c r="H952" s="3" t="s">
        <v>2039</v>
      </c>
      <c r="I952" s="3" t="n">
        <v>5</v>
      </c>
      <c r="J952" s="3" t="n">
        <v>4</v>
      </c>
      <c r="K952" s="3" t="n">
        <v>5</v>
      </c>
      <c r="L952" s="3" t="n">
        <v>4</v>
      </c>
      <c r="M952" s="3" t="n">
        <v>4</v>
      </c>
      <c r="N952" s="3" t="n">
        <v>3</v>
      </c>
      <c r="O952" s="6" t="b">
        <f aca="false">FALSE()</f>
        <v>0</v>
      </c>
      <c r="P952" s="3"/>
      <c r="Q952" s="5" t="n">
        <v>46224.4527777778</v>
      </c>
      <c r="R952" s="5" t="n">
        <v>46224.4631944444</v>
      </c>
      <c r="S952" s="3" t="s">
        <v>1699</v>
      </c>
      <c r="T952" s="7" t="n">
        <f aca="false">ROUND(MIN(IF(OR(O952=TRUE(),O952="TRUE",O952="Yes"),59,100),(I952*Rubric!$C$2+J952*Rubric!$C$3+K952*Rubric!$C$4+L952*Rubric!$C$5+M952*Rubric!$C$6+N952*Rubric!$C$7)/5),1)</f>
        <v>84</v>
      </c>
      <c r="U952" s="8" t="str">
        <f aca="false">LOOKUP(T952,Bands!$A$2:$A$6,Bands!$B$2:$B$6)</f>
        <v>Solid Performance</v>
      </c>
      <c r="V952" s="8" t="n">
        <f aca="false">IF(Q952="","",ROUND((Q952-B952)*24,1))</f>
        <v>0</v>
      </c>
    </row>
    <row r="953" customFormat="false" ht="15" hidden="false" customHeight="false" outlineLevel="0" collapsed="false">
      <c r="A953" s="3" t="s">
        <v>2040</v>
      </c>
      <c r="B953" s="5" t="n">
        <v>46224.4083333333</v>
      </c>
      <c r="C953" s="3" t="s">
        <v>30</v>
      </c>
      <c r="D953" s="3" t="s">
        <v>212</v>
      </c>
      <c r="E953" s="3" t="s">
        <v>213</v>
      </c>
      <c r="F953" s="3" t="s">
        <v>33</v>
      </c>
      <c r="G953" s="3" t="s">
        <v>42</v>
      </c>
      <c r="H953" s="3" t="s">
        <v>2041</v>
      </c>
      <c r="I953" s="3" t="n">
        <v>4</v>
      </c>
      <c r="J953" s="3" t="n">
        <v>4</v>
      </c>
      <c r="K953" s="3" t="n">
        <v>4</v>
      </c>
      <c r="L953" s="3" t="n">
        <v>3</v>
      </c>
      <c r="M953" s="3" t="n">
        <v>3</v>
      </c>
      <c r="N953" s="3" t="n">
        <v>5</v>
      </c>
      <c r="O953" s="6" t="b">
        <f aca="false">FALSE()</f>
        <v>0</v>
      </c>
      <c r="P953" s="3"/>
      <c r="Q953" s="5" t="n">
        <v>46224.4090277778</v>
      </c>
      <c r="R953" s="5" t="n">
        <v>46224.5319444445</v>
      </c>
      <c r="S953" s="3" t="s">
        <v>1699</v>
      </c>
      <c r="T953" s="7" t="n">
        <f aca="false">ROUND(MIN(IF(OR(O953=TRUE(),O953="TRUE",O953="Yes"),59,100),(I953*Rubric!$C$2+J953*Rubric!$C$3+K953*Rubric!$C$4+L953*Rubric!$C$5+M953*Rubric!$C$6+N953*Rubric!$C$7)/5),1)</f>
        <v>78</v>
      </c>
      <c r="U953" s="8" t="str">
        <f aca="false">LOOKUP(T953,Bands!$A$2:$A$6,Bands!$B$2:$B$6)</f>
        <v>Meets Expectations</v>
      </c>
      <c r="V953" s="8" t="n">
        <f aca="false">IF(Q953="","",ROUND((Q953-B953)*24,1))</f>
        <v>0</v>
      </c>
    </row>
    <row r="954" customFormat="false" ht="15" hidden="false" customHeight="false" outlineLevel="0" collapsed="false">
      <c r="A954" s="3" t="s">
        <v>2042</v>
      </c>
      <c r="B954" s="5" t="n">
        <v>46224.5284722222</v>
      </c>
      <c r="C954" s="3" t="s">
        <v>30</v>
      </c>
      <c r="D954" s="3" t="s">
        <v>167</v>
      </c>
      <c r="E954" s="3" t="s">
        <v>168</v>
      </c>
      <c r="F954" s="3" t="s">
        <v>33</v>
      </c>
      <c r="G954" s="3" t="s">
        <v>42</v>
      </c>
      <c r="H954" s="3" t="s">
        <v>2043</v>
      </c>
      <c r="I954" s="3" t="n">
        <v>3</v>
      </c>
      <c r="J954" s="3" t="n">
        <v>3</v>
      </c>
      <c r="K954" s="3" t="n">
        <v>4</v>
      </c>
      <c r="L954" s="3" t="n">
        <v>3</v>
      </c>
      <c r="M954" s="3" t="n">
        <v>3</v>
      </c>
      <c r="N954" s="3" t="n">
        <v>0</v>
      </c>
      <c r="O954" s="6" t="b">
        <f aca="false">TRUE()</f>
        <v>1</v>
      </c>
      <c r="P954" s="3" t="s">
        <v>36</v>
      </c>
      <c r="Q954" s="5" t="n">
        <v>46224.5291666667</v>
      </c>
      <c r="R954" s="5" t="n">
        <v>46224.9111111111</v>
      </c>
      <c r="S954" s="3" t="s">
        <v>1699</v>
      </c>
      <c r="T954" s="7" t="n">
        <f aca="false">ROUND(MIN(IF(OR(O954=TRUE(),O954="TRUE",O954="Yes"),59,100),(I954*Rubric!$C$2+J954*Rubric!$C$3+K954*Rubric!$C$4+L954*Rubric!$C$5+M954*Rubric!$C$6+N954*Rubric!$C$7)/5),1)</f>
        <v>55</v>
      </c>
      <c r="U954" s="8" t="str">
        <f aca="false">LOOKUP(T954,Bands!$A$2:$A$6,Bands!$B$2:$B$6)</f>
        <v>Critical</v>
      </c>
      <c r="V954" s="8" t="n">
        <f aca="false">IF(Q954="","",ROUND((Q954-B954)*24,1))</f>
        <v>0</v>
      </c>
    </row>
    <row r="955" customFormat="false" ht="15" hidden="false" customHeight="false" outlineLevel="0" collapsed="false">
      <c r="A955" s="3" t="s">
        <v>2044</v>
      </c>
      <c r="B955" s="5" t="n">
        <v>46224.48125</v>
      </c>
      <c r="C955" s="3" t="s">
        <v>30</v>
      </c>
      <c r="D955" s="3" t="s">
        <v>366</v>
      </c>
      <c r="E955" s="3" t="s">
        <v>367</v>
      </c>
      <c r="F955" s="3" t="s">
        <v>53</v>
      </c>
      <c r="G955" s="3" t="s">
        <v>54</v>
      </c>
      <c r="H955" s="3" t="s">
        <v>2045</v>
      </c>
      <c r="I955" s="3" t="n">
        <v>4</v>
      </c>
      <c r="J955" s="3" t="n">
        <v>5</v>
      </c>
      <c r="K955" s="3" t="n">
        <v>3</v>
      </c>
      <c r="L955" s="3" t="n">
        <v>4</v>
      </c>
      <c r="M955" s="3" t="n">
        <v>4</v>
      </c>
      <c r="N955" s="3" t="n">
        <v>4</v>
      </c>
      <c r="O955" s="6" t="b">
        <f aca="false">FALSE()</f>
        <v>0</v>
      </c>
      <c r="P955" s="3"/>
      <c r="Q955" s="5" t="n">
        <v>46224.4826388889</v>
      </c>
      <c r="R955" s="5" t="n">
        <v>46224.60625</v>
      </c>
      <c r="S955" s="3" t="s">
        <v>1699</v>
      </c>
      <c r="T955" s="7" t="n">
        <f aca="false">ROUND(MIN(IF(OR(O955=TRUE(),O955="TRUE",O955="Yes"),59,100),(I955*Rubric!$C$2+J955*Rubric!$C$3+K955*Rubric!$C$4+L955*Rubric!$C$5+M955*Rubric!$C$6+N955*Rubric!$C$7)/5),1)</f>
        <v>81</v>
      </c>
      <c r="U955" s="8" t="str">
        <f aca="false">LOOKUP(T955,Bands!$A$2:$A$6,Bands!$B$2:$B$6)</f>
        <v>Solid Performance</v>
      </c>
      <c r="V955" s="8" t="n">
        <f aca="false">IF(Q955="","",ROUND((Q955-B955)*24,1))</f>
        <v>0</v>
      </c>
    </row>
    <row r="956" customFormat="false" ht="15" hidden="false" customHeight="false" outlineLevel="0" collapsed="false">
      <c r="A956" s="3" t="s">
        <v>2046</v>
      </c>
      <c r="B956" s="5" t="n">
        <v>46224.6958333333</v>
      </c>
      <c r="C956" s="3" t="s">
        <v>68</v>
      </c>
      <c r="D956" s="3" t="s">
        <v>198</v>
      </c>
      <c r="E956" s="3" t="s">
        <v>199</v>
      </c>
      <c r="F956" s="3" t="s">
        <v>33</v>
      </c>
      <c r="G956" s="3" t="s">
        <v>42</v>
      </c>
      <c r="H956" s="3" t="s">
        <v>2047</v>
      </c>
      <c r="I956" s="3" t="n">
        <v>5</v>
      </c>
      <c r="J956" s="3" t="n">
        <v>2</v>
      </c>
      <c r="K956" s="3" t="n">
        <v>4</v>
      </c>
      <c r="L956" s="3" t="n">
        <v>4</v>
      </c>
      <c r="M956" s="3" t="n">
        <v>4</v>
      </c>
      <c r="N956" s="3" t="n">
        <v>4</v>
      </c>
      <c r="O956" s="6" t="b">
        <f aca="false">FALSE()</f>
        <v>0</v>
      </c>
      <c r="P956" s="3" t="s">
        <v>56</v>
      </c>
      <c r="Q956" s="5" t="n">
        <v>46224.6972222222</v>
      </c>
      <c r="R956" s="5" t="n">
        <v>46225.375</v>
      </c>
      <c r="S956" s="3" t="s">
        <v>1699</v>
      </c>
      <c r="T956" s="7" t="n">
        <f aca="false">ROUND(MIN(IF(OR(O956=TRUE(),O956="TRUE",O956="Yes"),59,100),(I956*Rubric!$C$2+J956*Rubric!$C$3+K956*Rubric!$C$4+L956*Rubric!$C$5+M956*Rubric!$C$6+N956*Rubric!$C$7)/5),1)</f>
        <v>73</v>
      </c>
      <c r="U956" s="8" t="str">
        <f aca="false">LOOKUP(T956,Bands!$A$2:$A$6,Bands!$B$2:$B$6)</f>
        <v>Meets Expectations</v>
      </c>
      <c r="V956" s="8" t="n">
        <f aca="false">IF(Q956="","",ROUND((Q956-B956)*24,1))</f>
        <v>0</v>
      </c>
    </row>
    <row r="957" customFormat="false" ht="15" hidden="false" customHeight="false" outlineLevel="0" collapsed="false">
      <c r="A957" s="3" t="s">
        <v>2048</v>
      </c>
      <c r="B957" s="5" t="n">
        <v>46224.6388888889</v>
      </c>
      <c r="C957" s="3" t="s">
        <v>39</v>
      </c>
      <c r="D957" s="3" t="s">
        <v>40</v>
      </c>
      <c r="E957" s="3" t="s">
        <v>41</v>
      </c>
      <c r="F957" s="3" t="s">
        <v>33</v>
      </c>
      <c r="G957" s="3" t="s">
        <v>34</v>
      </c>
      <c r="H957" s="3" t="s">
        <v>2049</v>
      </c>
      <c r="I957" s="3" t="n">
        <v>4</v>
      </c>
      <c r="J957" s="3" t="n">
        <v>5</v>
      </c>
      <c r="K957" s="3" t="n">
        <v>4</v>
      </c>
      <c r="L957" s="3" t="n">
        <v>2</v>
      </c>
      <c r="M957" s="3" t="n">
        <v>4</v>
      </c>
      <c r="N957" s="3" t="n">
        <v>4</v>
      </c>
      <c r="O957" s="6" t="b">
        <f aca="false">FALSE()</f>
        <v>0</v>
      </c>
      <c r="P957" s="3" t="s">
        <v>44</v>
      </c>
      <c r="Q957" s="5" t="n">
        <v>46224.6402777778</v>
      </c>
      <c r="R957" s="5" t="n">
        <v>46224.6951388889</v>
      </c>
      <c r="S957" s="3" t="s">
        <v>1699</v>
      </c>
      <c r="T957" s="7" t="n">
        <f aca="false">ROUND(MIN(IF(OR(O957=TRUE(),O957="TRUE",O957="Yes"),59,100),(I957*Rubric!$C$2+J957*Rubric!$C$3+K957*Rubric!$C$4+L957*Rubric!$C$5+M957*Rubric!$C$6+N957*Rubric!$C$7)/5),1)</f>
        <v>79</v>
      </c>
      <c r="U957" s="8" t="str">
        <f aca="false">LOOKUP(T957,Bands!$A$2:$A$6,Bands!$B$2:$B$6)</f>
        <v>Meets Expectations</v>
      </c>
      <c r="V957" s="8" t="n">
        <f aca="false">IF(Q957="","",ROUND((Q957-B957)*24,1))</f>
        <v>0</v>
      </c>
    </row>
    <row r="958" customFormat="false" ht="15" hidden="false" customHeight="false" outlineLevel="0" collapsed="false">
      <c r="A958" s="3" t="s">
        <v>2050</v>
      </c>
      <c r="B958" s="5" t="n">
        <v>46224.5833333333</v>
      </c>
      <c r="C958" s="3" t="s">
        <v>39</v>
      </c>
      <c r="D958" s="3" t="s">
        <v>58</v>
      </c>
      <c r="E958" s="3" t="s">
        <v>59</v>
      </c>
      <c r="F958" s="3" t="s">
        <v>53</v>
      </c>
      <c r="G958" s="3" t="s">
        <v>54</v>
      </c>
      <c r="H958" s="3" t="s">
        <v>2051</v>
      </c>
      <c r="I958" s="3" t="n">
        <v>3</v>
      </c>
      <c r="J958" s="3" t="n">
        <v>3</v>
      </c>
      <c r="K958" s="3" t="n">
        <v>4</v>
      </c>
      <c r="L958" s="3" t="n">
        <v>3</v>
      </c>
      <c r="M958" s="3" t="n">
        <v>3</v>
      </c>
      <c r="N958" s="3" t="n">
        <v>3</v>
      </c>
      <c r="O958" s="6" t="b">
        <f aca="false">FALSE()</f>
        <v>0</v>
      </c>
      <c r="P958" s="3"/>
      <c r="Q958" s="5" t="n">
        <v>46224.5847222222</v>
      </c>
      <c r="R958" s="5" t="n">
        <v>46224.6097222222</v>
      </c>
      <c r="S958" s="3" t="s">
        <v>1699</v>
      </c>
      <c r="T958" s="7" t="n">
        <f aca="false">ROUND(MIN(IF(OR(O958=TRUE(),O958="TRUE",O958="Yes"),59,100),(I958*Rubric!$C$2+J958*Rubric!$C$3+K958*Rubric!$C$4+L958*Rubric!$C$5+M958*Rubric!$C$6+N958*Rubric!$C$7)/5),1)</f>
        <v>64</v>
      </c>
      <c r="U958" s="8" t="str">
        <f aca="false">LOOKUP(T958,Bands!$A$2:$A$6,Bands!$B$2:$B$6)</f>
        <v>Needs Improvement</v>
      </c>
      <c r="V958" s="8" t="n">
        <f aca="false">IF(Q958="","",ROUND((Q958-B958)*24,1))</f>
        <v>0</v>
      </c>
    </row>
    <row r="959" customFormat="false" ht="15" hidden="false" customHeight="false" outlineLevel="0" collapsed="false">
      <c r="A959" s="3" t="s">
        <v>2052</v>
      </c>
      <c r="B959" s="5" t="n">
        <v>46224.5923611111</v>
      </c>
      <c r="C959" s="3" t="s">
        <v>68</v>
      </c>
      <c r="D959" s="3" t="s">
        <v>155</v>
      </c>
      <c r="E959" s="3" t="s">
        <v>156</v>
      </c>
      <c r="F959" s="3" t="s">
        <v>65</v>
      </c>
      <c r="G959" s="3" t="s">
        <v>42</v>
      </c>
      <c r="H959" s="3" t="s">
        <v>2053</v>
      </c>
      <c r="I959" s="3" t="n">
        <v>4</v>
      </c>
      <c r="J959" s="3" t="n">
        <v>4</v>
      </c>
      <c r="K959" s="3" t="n">
        <v>4</v>
      </c>
      <c r="L959" s="3" t="n">
        <v>4</v>
      </c>
      <c r="M959" s="3" t="n">
        <v>4</v>
      </c>
      <c r="N959" s="3" t="n">
        <v>4</v>
      </c>
      <c r="O959" s="6" t="b">
        <f aca="false">FALSE()</f>
        <v>0</v>
      </c>
      <c r="P959" s="3"/>
      <c r="Q959" s="5" t="n">
        <v>46224.5930555556</v>
      </c>
      <c r="R959" s="5" t="n">
        <v>46224.76875</v>
      </c>
      <c r="S959" s="3" t="s">
        <v>1699</v>
      </c>
      <c r="T959" s="7" t="n">
        <f aca="false">ROUND(MIN(IF(OR(O959=TRUE(),O959="TRUE",O959="Yes"),59,100),(I959*Rubric!$C$2+J959*Rubric!$C$3+K959*Rubric!$C$4+L959*Rubric!$C$5+M959*Rubric!$C$6+N959*Rubric!$C$7)/5),1)</f>
        <v>80</v>
      </c>
      <c r="U959" s="8" t="str">
        <f aca="false">LOOKUP(T959,Bands!$A$2:$A$6,Bands!$B$2:$B$6)</f>
        <v>Solid Performance</v>
      </c>
      <c r="V959" s="8" t="n">
        <f aca="false">IF(Q959="","",ROUND((Q959-B959)*24,1))</f>
        <v>0</v>
      </c>
    </row>
    <row r="960" customFormat="false" ht="15" hidden="false" customHeight="false" outlineLevel="0" collapsed="false">
      <c r="A960" s="3" t="s">
        <v>2054</v>
      </c>
      <c r="B960" s="5" t="n">
        <v>46224.6986111111</v>
      </c>
      <c r="C960" s="3" t="s">
        <v>39</v>
      </c>
      <c r="D960" s="3" t="s">
        <v>69</v>
      </c>
      <c r="E960" s="3" t="s">
        <v>70</v>
      </c>
      <c r="F960" s="3" t="s">
        <v>65</v>
      </c>
      <c r="G960" s="3" t="s">
        <v>42</v>
      </c>
      <c r="H960" s="3" t="s">
        <v>2055</v>
      </c>
      <c r="I960" s="3" t="n">
        <v>5</v>
      </c>
      <c r="J960" s="3" t="n">
        <v>4</v>
      </c>
      <c r="K960" s="3" t="n">
        <v>5</v>
      </c>
      <c r="L960" s="3" t="n">
        <v>4</v>
      </c>
      <c r="M960" s="3" t="n">
        <v>4</v>
      </c>
      <c r="N960" s="3" t="n">
        <v>2</v>
      </c>
      <c r="O960" s="6" t="b">
        <f aca="false">FALSE()</f>
        <v>0</v>
      </c>
      <c r="P960" s="3" t="s">
        <v>36</v>
      </c>
      <c r="Q960" s="5" t="n">
        <v>46224.6993055556</v>
      </c>
      <c r="R960" s="5" t="n">
        <v>46224.8256944444</v>
      </c>
      <c r="S960" s="3" t="s">
        <v>1699</v>
      </c>
      <c r="T960" s="7" t="n">
        <f aca="false">ROUND(MIN(IF(OR(O960=TRUE(),O960="TRUE",O960="Yes"),59,100),(I960*Rubric!$C$2+J960*Rubric!$C$3+K960*Rubric!$C$4+L960*Rubric!$C$5+M960*Rubric!$C$6+N960*Rubric!$C$7)/5),1)</f>
        <v>81</v>
      </c>
      <c r="U960" s="8" t="str">
        <f aca="false">LOOKUP(T960,Bands!$A$2:$A$6,Bands!$B$2:$B$6)</f>
        <v>Solid Performance</v>
      </c>
      <c r="V960" s="8" t="n">
        <f aca="false">IF(Q960="","",ROUND((Q960-B960)*24,1))</f>
        <v>0</v>
      </c>
    </row>
    <row r="961" customFormat="false" ht="15" hidden="false" customHeight="false" outlineLevel="0" collapsed="false">
      <c r="A961" s="3" t="s">
        <v>2056</v>
      </c>
      <c r="B961" s="5" t="n">
        <v>46224.5</v>
      </c>
      <c r="C961" s="3" t="s">
        <v>68</v>
      </c>
      <c r="D961" s="3" t="s">
        <v>46</v>
      </c>
      <c r="E961" s="3" t="s">
        <v>47</v>
      </c>
      <c r="F961" s="3" t="s">
        <v>33</v>
      </c>
      <c r="G961" s="3" t="s">
        <v>42</v>
      </c>
      <c r="H961" s="3" t="s">
        <v>2057</v>
      </c>
      <c r="I961" s="3" t="n">
        <v>5</v>
      </c>
      <c r="J961" s="3" t="n">
        <v>5</v>
      </c>
      <c r="K961" s="3" t="n">
        <v>4</v>
      </c>
      <c r="L961" s="3" t="n">
        <v>5</v>
      </c>
      <c r="M961" s="3" t="n">
        <v>5</v>
      </c>
      <c r="N961" s="3" t="n">
        <v>4</v>
      </c>
      <c r="O961" s="6" t="b">
        <f aca="false">FALSE()</f>
        <v>0</v>
      </c>
      <c r="P961" s="3"/>
      <c r="Q961" s="5" t="n">
        <v>46224.5020833333</v>
      </c>
      <c r="R961" s="5" t="n">
        <v>46224.5180555556</v>
      </c>
      <c r="S961" s="3" t="s">
        <v>1699</v>
      </c>
      <c r="T961" s="7" t="n">
        <f aca="false">ROUND(MIN(IF(OR(O961=TRUE(),O961="TRUE",O961="Yes"),59,100),(I961*Rubric!$C$2+J961*Rubric!$C$3+K961*Rubric!$C$4+L961*Rubric!$C$5+M961*Rubric!$C$6+N961*Rubric!$C$7)/5),1)</f>
        <v>93</v>
      </c>
      <c r="U961" s="8" t="str">
        <f aca="false">LOOKUP(T961,Bands!$A$2:$A$6,Bands!$B$2:$B$6)</f>
        <v>Outstanding</v>
      </c>
      <c r="V961" s="8" t="n">
        <f aca="false">IF(Q961="","",ROUND((Q961-B961)*24,1))</f>
        <v>0</v>
      </c>
    </row>
    <row r="962" customFormat="false" ht="15" hidden="false" customHeight="false" outlineLevel="0" collapsed="false">
      <c r="A962" s="3" t="s">
        <v>2058</v>
      </c>
      <c r="B962" s="5" t="n">
        <v>46225.4111111111</v>
      </c>
      <c r="C962" s="3" t="s">
        <v>30</v>
      </c>
      <c r="D962" s="3" t="s">
        <v>133</v>
      </c>
      <c r="E962" s="3" t="s">
        <v>134</v>
      </c>
      <c r="F962" s="3" t="s">
        <v>33</v>
      </c>
      <c r="G962" s="3" t="s">
        <v>42</v>
      </c>
      <c r="H962" s="3" t="s">
        <v>2059</v>
      </c>
      <c r="I962" s="3" t="n">
        <v>4</v>
      </c>
      <c r="J962" s="3" t="n">
        <v>3</v>
      </c>
      <c r="K962" s="3" t="n">
        <v>4</v>
      </c>
      <c r="L962" s="3" t="n">
        <v>5</v>
      </c>
      <c r="M962" s="3" t="n">
        <v>5</v>
      </c>
      <c r="N962" s="3" t="n">
        <v>4</v>
      </c>
      <c r="O962" s="6" t="b">
        <f aca="false">FALSE()</f>
        <v>0</v>
      </c>
      <c r="P962" s="3"/>
      <c r="Q962" s="5" t="n">
        <v>46225.4125</v>
      </c>
      <c r="R962" s="5" t="n">
        <v>46225.4715277778</v>
      </c>
      <c r="S962" s="3" t="s">
        <v>1699</v>
      </c>
      <c r="T962" s="7" t="n">
        <f aca="false">ROUND(MIN(IF(OR(O962=TRUE(),O962="TRUE",O962="Yes"),59,100),(I962*Rubric!$C$2+J962*Rubric!$C$3+K962*Rubric!$C$4+L962*Rubric!$C$5+M962*Rubric!$C$6+N962*Rubric!$C$7)/5),1)</f>
        <v>80</v>
      </c>
      <c r="U962" s="8" t="str">
        <f aca="false">LOOKUP(T962,Bands!$A$2:$A$6,Bands!$B$2:$B$6)</f>
        <v>Solid Performance</v>
      </c>
      <c r="V962" s="8" t="n">
        <f aca="false">IF(Q962="","",ROUND((Q962-B962)*24,1))</f>
        <v>0</v>
      </c>
    </row>
    <row r="963" customFormat="false" ht="15" hidden="false" customHeight="false" outlineLevel="0" collapsed="false">
      <c r="A963" s="3" t="s">
        <v>2060</v>
      </c>
      <c r="B963" s="5" t="n">
        <v>46225.6444444444</v>
      </c>
      <c r="C963" s="3" t="s">
        <v>68</v>
      </c>
      <c r="D963" s="3" t="s">
        <v>69</v>
      </c>
      <c r="E963" s="3" t="s">
        <v>70</v>
      </c>
      <c r="F963" s="3" t="s">
        <v>65</v>
      </c>
      <c r="G963" s="3" t="s">
        <v>54</v>
      </c>
      <c r="H963" s="3" t="s">
        <v>2061</v>
      </c>
      <c r="I963" s="3" t="n">
        <v>4</v>
      </c>
      <c r="J963" s="3" t="n">
        <v>5</v>
      </c>
      <c r="K963" s="3" t="n">
        <v>5</v>
      </c>
      <c r="L963" s="3" t="n">
        <v>4</v>
      </c>
      <c r="M963" s="3" t="n">
        <v>4</v>
      </c>
      <c r="N963" s="3" t="n">
        <v>3</v>
      </c>
      <c r="O963" s="6" t="b">
        <f aca="false">FALSE()</f>
        <v>0</v>
      </c>
      <c r="P963" s="3"/>
      <c r="Q963" s="5" t="n">
        <v>46225.6465277778</v>
      </c>
      <c r="R963" s="5" t="n">
        <v>46225.7736111111</v>
      </c>
      <c r="S963" s="3" t="s">
        <v>1699</v>
      </c>
      <c r="T963" s="7" t="n">
        <f aca="false">ROUND(MIN(IF(OR(O963=TRUE(),O963="TRUE",O963="Yes"),59,100),(I963*Rubric!$C$2+J963*Rubric!$C$3+K963*Rubric!$C$4+L963*Rubric!$C$5+M963*Rubric!$C$6+N963*Rubric!$C$7)/5),1)</f>
        <v>86</v>
      </c>
      <c r="U963" s="8" t="str">
        <f aca="false">LOOKUP(T963,Bands!$A$2:$A$6,Bands!$B$2:$B$6)</f>
        <v>Solid Performance</v>
      </c>
      <c r="V963" s="8" t="n">
        <f aca="false">IF(Q963="","",ROUND((Q963-B963)*24,1))</f>
        <v>0.1</v>
      </c>
    </row>
    <row r="964" customFormat="false" ht="15" hidden="false" customHeight="false" outlineLevel="0" collapsed="false">
      <c r="A964" s="3" t="s">
        <v>2062</v>
      </c>
      <c r="B964" s="5" t="n">
        <v>46225.4131944445</v>
      </c>
      <c r="C964" s="3" t="s">
        <v>68</v>
      </c>
      <c r="D964" s="3" t="s">
        <v>228</v>
      </c>
      <c r="E964" s="3" t="s">
        <v>229</v>
      </c>
      <c r="F964" s="3" t="s">
        <v>65</v>
      </c>
      <c r="G964" s="3" t="s">
        <v>42</v>
      </c>
      <c r="H964" s="3" t="s">
        <v>2063</v>
      </c>
      <c r="I964" s="3" t="n">
        <v>3</v>
      </c>
      <c r="J964" s="3" t="n">
        <v>3</v>
      </c>
      <c r="K964" s="3" t="n">
        <v>3</v>
      </c>
      <c r="L964" s="3" t="n">
        <v>4</v>
      </c>
      <c r="M964" s="3" t="n">
        <v>3</v>
      </c>
      <c r="N964" s="3" t="n">
        <v>3</v>
      </c>
      <c r="O964" s="6" t="b">
        <f aca="false">FALSE()</f>
        <v>0</v>
      </c>
      <c r="P964" s="3"/>
      <c r="Q964" s="5" t="n">
        <v>46225.4145833333</v>
      </c>
      <c r="R964" s="5" t="n">
        <v>46226.5298611111</v>
      </c>
      <c r="S964" s="3" t="s">
        <v>1699</v>
      </c>
      <c r="T964" s="7" t="n">
        <f aca="false">ROUND(MIN(IF(OR(O964=TRUE(),O964="TRUE",O964="Yes"),59,100),(I964*Rubric!$C$2+J964*Rubric!$C$3+K964*Rubric!$C$4+L964*Rubric!$C$5+M964*Rubric!$C$6+N964*Rubric!$C$7)/5),1)</f>
        <v>63</v>
      </c>
      <c r="U964" s="8" t="str">
        <f aca="false">LOOKUP(T964,Bands!$A$2:$A$6,Bands!$B$2:$B$6)</f>
        <v>Needs Improvement</v>
      </c>
      <c r="V964" s="8" t="n">
        <f aca="false">IF(Q964="","",ROUND((Q964-B964)*24,1))</f>
        <v>0</v>
      </c>
    </row>
    <row r="965" customFormat="false" ht="15" hidden="false" customHeight="false" outlineLevel="0" collapsed="false">
      <c r="A965" s="3" t="s">
        <v>2064</v>
      </c>
      <c r="B965" s="5" t="n">
        <v>46225.6895833333</v>
      </c>
      <c r="C965" s="3" t="s">
        <v>30</v>
      </c>
      <c r="D965" s="3" t="s">
        <v>202</v>
      </c>
      <c r="E965" s="3" t="s">
        <v>203</v>
      </c>
      <c r="F965" s="3" t="s">
        <v>53</v>
      </c>
      <c r="G965" s="3" t="s">
        <v>54</v>
      </c>
      <c r="H965" s="3" t="s">
        <v>2065</v>
      </c>
      <c r="I965" s="3" t="n">
        <v>5</v>
      </c>
      <c r="J965" s="3" t="n">
        <v>5</v>
      </c>
      <c r="K965" s="3" t="n">
        <v>4</v>
      </c>
      <c r="L965" s="3" t="n">
        <v>3</v>
      </c>
      <c r="M965" s="3" t="n">
        <v>4</v>
      </c>
      <c r="N965" s="3" t="n">
        <v>4</v>
      </c>
      <c r="O965" s="6" t="b">
        <f aca="false">FALSE()</f>
        <v>0</v>
      </c>
      <c r="P965" s="3"/>
      <c r="Q965" s="5" t="n">
        <v>46225.6916666667</v>
      </c>
      <c r="R965" s="5" t="n">
        <v>46226.1826388889</v>
      </c>
      <c r="S965" s="3" t="s">
        <v>1699</v>
      </c>
      <c r="T965" s="7" t="n">
        <f aca="false">ROUND(MIN(IF(OR(O965=TRUE(),O965="TRUE",O965="Yes"),59,100),(I965*Rubric!$C$2+J965*Rubric!$C$3+K965*Rubric!$C$4+L965*Rubric!$C$5+M965*Rubric!$C$6+N965*Rubric!$C$7)/5),1)</f>
        <v>85</v>
      </c>
      <c r="U965" s="8" t="str">
        <f aca="false">LOOKUP(T965,Bands!$A$2:$A$6,Bands!$B$2:$B$6)</f>
        <v>Solid Performance</v>
      </c>
      <c r="V965" s="8" t="n">
        <f aca="false">IF(Q965="","",ROUND((Q965-B965)*24,1))</f>
        <v>0.1</v>
      </c>
    </row>
    <row r="966" customFormat="false" ht="15" hidden="false" customHeight="false" outlineLevel="0" collapsed="false">
      <c r="A966" s="3" t="s">
        <v>2066</v>
      </c>
      <c r="B966" s="5" t="n">
        <v>46225.5395833333</v>
      </c>
      <c r="C966" s="3" t="s">
        <v>68</v>
      </c>
      <c r="D966" s="3" t="s">
        <v>96</v>
      </c>
      <c r="E966" s="3" t="s">
        <v>97</v>
      </c>
      <c r="F966" s="3" t="s">
        <v>33</v>
      </c>
      <c r="G966" s="3" t="s">
        <v>54</v>
      </c>
      <c r="H966" s="3" t="s">
        <v>2067</v>
      </c>
      <c r="I966" s="3" t="n">
        <v>5</v>
      </c>
      <c r="J966" s="3" t="n">
        <v>3</v>
      </c>
      <c r="K966" s="3" t="n">
        <v>4</v>
      </c>
      <c r="L966" s="3" t="n">
        <v>5</v>
      </c>
      <c r="M966" s="3" t="n">
        <v>5</v>
      </c>
      <c r="N966" s="3" t="n">
        <v>4</v>
      </c>
      <c r="O966" s="6" t="b">
        <f aca="false">FALSE()</f>
        <v>0</v>
      </c>
      <c r="P966" s="3"/>
      <c r="Q966" s="5" t="n">
        <v>46225.5416666667</v>
      </c>
      <c r="R966" s="5" t="n">
        <v>46226.1041666667</v>
      </c>
      <c r="S966" s="3" t="s">
        <v>1699</v>
      </c>
      <c r="T966" s="7" t="n">
        <f aca="false">ROUND(MIN(IF(OR(O966=TRUE(),O966="TRUE",O966="Yes"),59,100),(I966*Rubric!$C$2+J966*Rubric!$C$3+K966*Rubric!$C$4+L966*Rubric!$C$5+M966*Rubric!$C$6+N966*Rubric!$C$7)/5),1)</f>
        <v>83</v>
      </c>
      <c r="U966" s="8" t="str">
        <f aca="false">LOOKUP(T966,Bands!$A$2:$A$6,Bands!$B$2:$B$6)</f>
        <v>Solid Performance</v>
      </c>
      <c r="V966" s="8" t="n">
        <f aca="false">IF(Q966="","",ROUND((Q966-B966)*24,1))</f>
        <v>0.1</v>
      </c>
    </row>
    <row r="967" customFormat="false" ht="15" hidden="false" customHeight="false" outlineLevel="0" collapsed="false">
      <c r="A967" s="3" t="s">
        <v>2068</v>
      </c>
      <c r="B967" s="5" t="n">
        <v>46225.6895833333</v>
      </c>
      <c r="C967" s="3" t="s">
        <v>39</v>
      </c>
      <c r="D967" s="3" t="s">
        <v>125</v>
      </c>
      <c r="E967" s="3" t="s">
        <v>126</v>
      </c>
      <c r="F967" s="3" t="s">
        <v>53</v>
      </c>
      <c r="G967" s="3" t="s">
        <v>42</v>
      </c>
      <c r="H967" s="3" t="s">
        <v>2069</v>
      </c>
      <c r="I967" s="3" t="n">
        <v>5</v>
      </c>
      <c r="J967" s="3" t="n">
        <v>4</v>
      </c>
      <c r="K967" s="3" t="n">
        <v>5</v>
      </c>
      <c r="L967" s="3" t="n">
        <v>5</v>
      </c>
      <c r="M967" s="3" t="n">
        <v>5</v>
      </c>
      <c r="N967" s="3" t="n">
        <v>0</v>
      </c>
      <c r="O967" s="6" t="b">
        <f aca="false">TRUE()</f>
        <v>1</v>
      </c>
      <c r="P967" s="3" t="s">
        <v>36</v>
      </c>
      <c r="Q967" s="5" t="n">
        <v>46225.6902777778</v>
      </c>
      <c r="R967" s="5" t="n">
        <v>46225.8590277778</v>
      </c>
      <c r="S967" s="3" t="s">
        <v>1699</v>
      </c>
      <c r="T967" s="7" t="n">
        <f aca="false">ROUND(MIN(IF(OR(O967=TRUE(),O967="TRUE",O967="Yes"),59,100),(I967*Rubric!$C$2+J967*Rubric!$C$3+K967*Rubric!$C$4+L967*Rubric!$C$5+M967*Rubric!$C$6+N967*Rubric!$C$7)/5),1)</f>
        <v>59</v>
      </c>
      <c r="U967" s="8" t="str">
        <f aca="false">LOOKUP(T967,Bands!$A$2:$A$6,Bands!$B$2:$B$6)</f>
        <v>Critical</v>
      </c>
      <c r="V967" s="8" t="n">
        <f aca="false">IF(Q967="","",ROUND((Q967-B967)*24,1))</f>
        <v>0</v>
      </c>
    </row>
    <row r="968" customFormat="false" ht="15" hidden="false" customHeight="false" outlineLevel="0" collapsed="false">
      <c r="A968" s="3" t="s">
        <v>2070</v>
      </c>
      <c r="B968" s="5" t="n">
        <v>46225.6743055556</v>
      </c>
      <c r="C968" s="3" t="s">
        <v>30</v>
      </c>
      <c r="D968" s="3" t="s">
        <v>155</v>
      </c>
      <c r="E968" s="3" t="s">
        <v>156</v>
      </c>
      <c r="F968" s="3" t="s">
        <v>65</v>
      </c>
      <c r="G968" s="3" t="s">
        <v>54</v>
      </c>
      <c r="H968" s="3" t="s">
        <v>2071</v>
      </c>
      <c r="I968" s="3" t="n">
        <v>4</v>
      </c>
      <c r="J968" s="3" t="n">
        <v>4</v>
      </c>
      <c r="K968" s="3" t="n">
        <v>4</v>
      </c>
      <c r="L968" s="3" t="n">
        <v>3</v>
      </c>
      <c r="M968" s="3" t="n">
        <v>5</v>
      </c>
      <c r="N968" s="3" t="n">
        <v>4</v>
      </c>
      <c r="O968" s="6" t="b">
        <f aca="false">FALSE()</f>
        <v>0</v>
      </c>
      <c r="P968" s="3"/>
      <c r="Q968" s="5" t="n">
        <v>46225.6763888889</v>
      </c>
      <c r="R968" s="5" t="n">
        <v>46225.6930555556</v>
      </c>
      <c r="S968" s="3" t="s">
        <v>1699</v>
      </c>
      <c r="T968" s="7" t="n">
        <f aca="false">ROUND(MIN(IF(OR(O968=TRUE(),O968="TRUE",O968="Yes"),59,100),(I968*Rubric!$C$2+J968*Rubric!$C$3+K968*Rubric!$C$4+L968*Rubric!$C$5+M968*Rubric!$C$6+N968*Rubric!$C$7)/5),1)</f>
        <v>79</v>
      </c>
      <c r="U968" s="8" t="str">
        <f aca="false">LOOKUP(T968,Bands!$A$2:$A$6,Bands!$B$2:$B$6)</f>
        <v>Meets Expectations</v>
      </c>
      <c r="V968" s="8" t="n">
        <f aca="false">IF(Q968="","",ROUND((Q968-B968)*24,1))</f>
        <v>0</v>
      </c>
    </row>
    <row r="969" customFormat="false" ht="15" hidden="false" customHeight="false" outlineLevel="0" collapsed="false">
      <c r="A969" s="3" t="s">
        <v>2072</v>
      </c>
      <c r="B969" s="5" t="n">
        <v>46225.6090277778</v>
      </c>
      <c r="C969" s="3" t="s">
        <v>68</v>
      </c>
      <c r="D969" s="3" t="s">
        <v>77</v>
      </c>
      <c r="E969" s="3" t="s">
        <v>78</v>
      </c>
      <c r="F969" s="3" t="s">
        <v>33</v>
      </c>
      <c r="G969" s="3" t="s">
        <v>42</v>
      </c>
      <c r="H969" s="3" t="s">
        <v>2073</v>
      </c>
      <c r="I969" s="3" t="n">
        <v>5</v>
      </c>
      <c r="J969" s="3" t="n">
        <v>3</v>
      </c>
      <c r="K969" s="3" t="n">
        <v>3</v>
      </c>
      <c r="L969" s="3" t="n">
        <v>5</v>
      </c>
      <c r="M969" s="3" t="n">
        <v>5</v>
      </c>
      <c r="N969" s="3" t="n">
        <v>5</v>
      </c>
      <c r="O969" s="6" t="b">
        <f aca="false">FALSE()</f>
        <v>0</v>
      </c>
      <c r="P969" s="3"/>
      <c r="Q969" s="5" t="n">
        <v>46225.6097222222</v>
      </c>
      <c r="R969" s="5" t="n">
        <v>46225.6340277778</v>
      </c>
      <c r="S969" s="3" t="s">
        <v>1699</v>
      </c>
      <c r="T969" s="7" t="n">
        <f aca="false">ROUND(MIN(IF(OR(O969=TRUE(),O969="TRUE",O969="Yes"),59,100),(I969*Rubric!$C$2+J969*Rubric!$C$3+K969*Rubric!$C$4+L969*Rubric!$C$5+M969*Rubric!$C$6+N969*Rubric!$C$7)/5),1)</f>
        <v>82</v>
      </c>
      <c r="U969" s="8" t="str">
        <f aca="false">LOOKUP(T969,Bands!$A$2:$A$6,Bands!$B$2:$B$6)</f>
        <v>Solid Performance</v>
      </c>
      <c r="V969" s="8" t="n">
        <f aca="false">IF(Q969="","",ROUND((Q969-B969)*24,1))</f>
        <v>0</v>
      </c>
    </row>
    <row r="970" customFormat="false" ht="15" hidden="false" customHeight="false" outlineLevel="0" collapsed="false">
      <c r="A970" s="3" t="s">
        <v>2074</v>
      </c>
      <c r="B970" s="5" t="n">
        <v>46225.4569444444</v>
      </c>
      <c r="C970" s="3" t="s">
        <v>39</v>
      </c>
      <c r="D970" s="3" t="s">
        <v>293</v>
      </c>
      <c r="E970" s="3" t="s">
        <v>294</v>
      </c>
      <c r="F970" s="3" t="s">
        <v>65</v>
      </c>
      <c r="G970" s="3" t="s">
        <v>42</v>
      </c>
      <c r="H970" s="3" t="s">
        <v>2075</v>
      </c>
      <c r="I970" s="3" t="n">
        <v>5</v>
      </c>
      <c r="J970" s="3" t="n">
        <v>5</v>
      </c>
      <c r="K970" s="3" t="n">
        <v>4</v>
      </c>
      <c r="L970" s="3" t="n">
        <v>4</v>
      </c>
      <c r="M970" s="3" t="n">
        <v>4</v>
      </c>
      <c r="N970" s="3" t="n">
        <v>4</v>
      </c>
      <c r="O970" s="6" t="b">
        <f aca="false">FALSE()</f>
        <v>0</v>
      </c>
      <c r="P970" s="3"/>
      <c r="Q970" s="5" t="n">
        <v>46225.4583333333</v>
      </c>
      <c r="R970" s="5" t="n">
        <v>46226.6486111111</v>
      </c>
      <c r="S970" s="3" t="s">
        <v>1699</v>
      </c>
      <c r="T970" s="7" t="n">
        <f aca="false">ROUND(MIN(IF(OR(O970=TRUE(),O970="TRUE",O970="Yes"),59,100),(I970*Rubric!$C$2+J970*Rubric!$C$3+K970*Rubric!$C$4+L970*Rubric!$C$5+M970*Rubric!$C$6+N970*Rubric!$C$7)/5),1)</f>
        <v>88</v>
      </c>
      <c r="U970" s="8" t="str">
        <f aca="false">LOOKUP(T970,Bands!$A$2:$A$6,Bands!$B$2:$B$6)</f>
        <v>Solid Performance</v>
      </c>
      <c r="V970" s="8" t="n">
        <f aca="false">IF(Q970="","",ROUND((Q970-B970)*24,1))</f>
        <v>0</v>
      </c>
    </row>
    <row r="971" customFormat="false" ht="15" hidden="false" customHeight="false" outlineLevel="0" collapsed="false">
      <c r="A971" s="3" t="s">
        <v>2076</v>
      </c>
      <c r="B971" s="5" t="n">
        <v>46225.6541666667</v>
      </c>
      <c r="C971" s="3" t="s">
        <v>68</v>
      </c>
      <c r="D971" s="3" t="s">
        <v>115</v>
      </c>
      <c r="E971" s="3" t="s">
        <v>116</v>
      </c>
      <c r="F971" s="3" t="s">
        <v>33</v>
      </c>
      <c r="G971" s="3" t="s">
        <v>34</v>
      </c>
      <c r="H971" s="3" t="s">
        <v>2077</v>
      </c>
      <c r="I971" s="3" t="n">
        <v>4</v>
      </c>
      <c r="J971" s="3" t="n">
        <v>4</v>
      </c>
      <c r="K971" s="3" t="n">
        <v>3</v>
      </c>
      <c r="L971" s="3" t="n">
        <v>4</v>
      </c>
      <c r="M971" s="3" t="n">
        <v>3</v>
      </c>
      <c r="N971" s="3" t="n">
        <v>5</v>
      </c>
      <c r="O971" s="6" t="b">
        <f aca="false">FALSE()</f>
        <v>0</v>
      </c>
      <c r="P971" s="3"/>
      <c r="Q971" s="5" t="n">
        <v>46225.6555555556</v>
      </c>
      <c r="R971" s="5" t="n">
        <v>46225.9847222222</v>
      </c>
      <c r="S971" s="3" t="s">
        <v>1699</v>
      </c>
      <c r="T971" s="7" t="n">
        <f aca="false">ROUND(MIN(IF(OR(O971=TRUE(),O971="TRUE",O971="Yes"),59,100),(I971*Rubric!$C$2+J971*Rubric!$C$3+K971*Rubric!$C$4+L971*Rubric!$C$5+M971*Rubric!$C$6+N971*Rubric!$C$7)/5),1)</f>
        <v>77</v>
      </c>
      <c r="U971" s="8" t="str">
        <f aca="false">LOOKUP(T971,Bands!$A$2:$A$6,Bands!$B$2:$B$6)</f>
        <v>Meets Expectations</v>
      </c>
      <c r="V971" s="8" t="n">
        <f aca="false">IF(Q971="","",ROUND((Q971-B971)*24,1))</f>
        <v>0</v>
      </c>
    </row>
    <row r="972" customFormat="false" ht="15" hidden="false" customHeight="false" outlineLevel="0" collapsed="false">
      <c r="A972" s="3" t="s">
        <v>2078</v>
      </c>
      <c r="B972" s="5" t="n">
        <v>46225.5354166667</v>
      </c>
      <c r="C972" s="3" t="s">
        <v>39</v>
      </c>
      <c r="D972" s="3" t="s">
        <v>307</v>
      </c>
      <c r="E972" s="3" t="s">
        <v>308</v>
      </c>
      <c r="F972" s="3" t="s">
        <v>33</v>
      </c>
      <c r="G972" s="3" t="s">
        <v>54</v>
      </c>
      <c r="H972" s="3" t="s">
        <v>2079</v>
      </c>
      <c r="I972" s="3" t="n">
        <v>5</v>
      </c>
      <c r="J972" s="3" t="n">
        <v>4</v>
      </c>
      <c r="K972" s="3" t="n">
        <v>5</v>
      </c>
      <c r="L972" s="3" t="n">
        <v>5</v>
      </c>
      <c r="M972" s="3" t="n">
        <v>5</v>
      </c>
      <c r="N972" s="3" t="n">
        <v>5</v>
      </c>
      <c r="O972" s="6" t="b">
        <f aca="false">FALSE()</f>
        <v>0</v>
      </c>
      <c r="P972" s="3"/>
      <c r="Q972" s="5" t="n">
        <v>46225.5375</v>
      </c>
      <c r="R972" s="5" t="n">
        <v>46225.8715277778</v>
      </c>
      <c r="S972" s="3" t="s">
        <v>1699</v>
      </c>
      <c r="T972" s="7" t="n">
        <f aca="false">ROUND(MIN(IF(OR(O972=TRUE(),O972="TRUE",O972="Yes"),59,100),(I972*Rubric!$C$2+J972*Rubric!$C$3+K972*Rubric!$C$4+L972*Rubric!$C$5+M972*Rubric!$C$6+N972*Rubric!$C$7)/5),1)</f>
        <v>95</v>
      </c>
      <c r="U972" s="8" t="str">
        <f aca="false">LOOKUP(T972,Bands!$A$2:$A$6,Bands!$B$2:$B$6)</f>
        <v>Outstanding</v>
      </c>
      <c r="V972" s="8" t="n">
        <f aca="false">IF(Q972="","",ROUND((Q972-B972)*24,1))</f>
        <v>0</v>
      </c>
    </row>
    <row r="973" customFormat="false" ht="15" hidden="false" customHeight="false" outlineLevel="0" collapsed="false">
      <c r="A973" s="3" t="s">
        <v>2080</v>
      </c>
      <c r="B973" s="5" t="n">
        <v>46225.5527777778</v>
      </c>
      <c r="C973" s="3" t="s">
        <v>68</v>
      </c>
      <c r="D973" s="3" t="s">
        <v>366</v>
      </c>
      <c r="E973" s="3" t="s">
        <v>367</v>
      </c>
      <c r="F973" s="3" t="s">
        <v>53</v>
      </c>
      <c r="G973" s="3" t="s">
        <v>42</v>
      </c>
      <c r="H973" s="3" t="s">
        <v>2081</v>
      </c>
      <c r="I973" s="3" t="n">
        <v>4</v>
      </c>
      <c r="J973" s="3" t="n">
        <v>5</v>
      </c>
      <c r="K973" s="3" t="n">
        <v>3</v>
      </c>
      <c r="L973" s="3" t="n">
        <v>4</v>
      </c>
      <c r="M973" s="3" t="n">
        <v>5</v>
      </c>
      <c r="N973" s="3" t="n">
        <v>4</v>
      </c>
      <c r="O973" s="6" t="b">
        <f aca="false">FALSE()</f>
        <v>0</v>
      </c>
      <c r="P973" s="3"/>
      <c r="Q973" s="5" t="n">
        <v>46225.5534722222</v>
      </c>
      <c r="R973" s="5" t="n">
        <v>46225.6930555556</v>
      </c>
      <c r="S973" s="3" t="s">
        <v>1699</v>
      </c>
      <c r="T973" s="7" t="n">
        <f aca="false">ROUND(MIN(IF(OR(O973=TRUE(),O973="TRUE",O973="Yes"),59,100),(I973*Rubric!$C$2+J973*Rubric!$C$3+K973*Rubric!$C$4+L973*Rubric!$C$5+M973*Rubric!$C$6+N973*Rubric!$C$7)/5),1)</f>
        <v>83</v>
      </c>
      <c r="U973" s="8" t="str">
        <f aca="false">LOOKUP(T973,Bands!$A$2:$A$6,Bands!$B$2:$B$6)</f>
        <v>Solid Performance</v>
      </c>
      <c r="V973" s="8" t="n">
        <f aca="false">IF(Q973="","",ROUND((Q973-B973)*24,1))</f>
        <v>0</v>
      </c>
    </row>
    <row r="974" customFormat="false" ht="15" hidden="false" customHeight="false" outlineLevel="0" collapsed="false">
      <c r="A974" s="3" t="s">
        <v>2082</v>
      </c>
      <c r="B974" s="5" t="n">
        <v>46226.39375</v>
      </c>
      <c r="C974" s="3" t="s">
        <v>39</v>
      </c>
      <c r="D974" s="3" t="s">
        <v>238</v>
      </c>
      <c r="E974" s="3" t="s">
        <v>239</v>
      </c>
      <c r="F974" s="3" t="s">
        <v>33</v>
      </c>
      <c r="G974" s="3" t="s">
        <v>42</v>
      </c>
      <c r="H974" s="3" t="s">
        <v>2083</v>
      </c>
      <c r="I974" s="3" t="n">
        <v>4</v>
      </c>
      <c r="J974" s="3" t="n">
        <v>3</v>
      </c>
      <c r="K974" s="3" t="n">
        <v>5</v>
      </c>
      <c r="L974" s="3" t="n">
        <v>3</v>
      </c>
      <c r="M974" s="3" t="n">
        <v>3</v>
      </c>
      <c r="N974" s="3" t="n">
        <v>5</v>
      </c>
      <c r="O974" s="6" t="b">
        <f aca="false">FALSE()</f>
        <v>0</v>
      </c>
      <c r="P974" s="3"/>
      <c r="Q974" s="5" t="n">
        <v>46226.3951388889</v>
      </c>
      <c r="R974" s="5" t="n">
        <v>46226.4506944444</v>
      </c>
      <c r="S974" s="3" t="s">
        <v>1699</v>
      </c>
      <c r="T974" s="7" t="n">
        <f aca="false">ROUND(MIN(IF(OR(O974=TRUE(),O974="TRUE",O974="Yes"),59,100),(I974*Rubric!$C$2+J974*Rubric!$C$3+K974*Rubric!$C$4+L974*Rubric!$C$5+M974*Rubric!$C$6+N974*Rubric!$C$7)/5),1)</f>
        <v>77</v>
      </c>
      <c r="U974" s="8" t="str">
        <f aca="false">LOOKUP(T974,Bands!$A$2:$A$6,Bands!$B$2:$B$6)</f>
        <v>Meets Expectations</v>
      </c>
      <c r="V974" s="8" t="n">
        <f aca="false">IF(Q974="","",ROUND((Q974-B974)*24,1))</f>
        <v>0</v>
      </c>
    </row>
    <row r="975" customFormat="false" ht="15" hidden="false" customHeight="false" outlineLevel="0" collapsed="false">
      <c r="A975" s="3" t="s">
        <v>2084</v>
      </c>
      <c r="B975" s="5" t="n">
        <v>46226.5902777778</v>
      </c>
      <c r="C975" s="3" t="s">
        <v>68</v>
      </c>
      <c r="D975" s="3" t="s">
        <v>125</v>
      </c>
      <c r="E975" s="3" t="s">
        <v>126</v>
      </c>
      <c r="F975" s="3" t="s">
        <v>53</v>
      </c>
      <c r="G975" s="3" t="s">
        <v>54</v>
      </c>
      <c r="H975" s="3" t="s">
        <v>2085</v>
      </c>
      <c r="I975" s="3" t="n">
        <v>5</v>
      </c>
      <c r="J975" s="3" t="n">
        <v>4</v>
      </c>
      <c r="K975" s="3" t="n">
        <v>4</v>
      </c>
      <c r="L975" s="3" t="n">
        <v>3</v>
      </c>
      <c r="M975" s="3" t="n">
        <v>4</v>
      </c>
      <c r="N975" s="3" t="n">
        <v>4</v>
      </c>
      <c r="O975" s="6" t="b">
        <f aca="false">FALSE()</f>
        <v>0</v>
      </c>
      <c r="P975" s="3"/>
      <c r="Q975" s="5" t="n">
        <v>46226.5909722222</v>
      </c>
      <c r="R975" s="5" t="n">
        <v>46226.9986111111</v>
      </c>
      <c r="S975" s="3" t="s">
        <v>1699</v>
      </c>
      <c r="T975" s="7" t="n">
        <f aca="false">ROUND(MIN(IF(OR(O975=TRUE(),O975="TRUE",O975="Yes"),59,100),(I975*Rubric!$C$2+J975*Rubric!$C$3+K975*Rubric!$C$4+L975*Rubric!$C$5+M975*Rubric!$C$6+N975*Rubric!$C$7)/5),1)</f>
        <v>80</v>
      </c>
      <c r="U975" s="8" t="str">
        <f aca="false">LOOKUP(T975,Bands!$A$2:$A$6,Bands!$B$2:$B$6)</f>
        <v>Solid Performance</v>
      </c>
      <c r="V975" s="8" t="n">
        <f aca="false">IF(Q975="","",ROUND((Q975-B975)*24,1))</f>
        <v>0</v>
      </c>
    </row>
    <row r="976" customFormat="false" ht="15" hidden="false" customHeight="false" outlineLevel="0" collapsed="false">
      <c r="A976" s="3" t="s">
        <v>2086</v>
      </c>
      <c r="B976" s="5" t="n">
        <v>46226.6409722222</v>
      </c>
      <c r="C976" s="3" t="s">
        <v>39</v>
      </c>
      <c r="D976" s="3" t="s">
        <v>90</v>
      </c>
      <c r="E976" s="3" t="s">
        <v>91</v>
      </c>
      <c r="F976" s="3" t="s">
        <v>65</v>
      </c>
      <c r="G976" s="3" t="s">
        <v>42</v>
      </c>
      <c r="H976" s="3" t="s">
        <v>2087</v>
      </c>
      <c r="I976" s="3" t="n">
        <v>5</v>
      </c>
      <c r="J976" s="3" t="n">
        <v>5</v>
      </c>
      <c r="K976" s="3" t="n">
        <v>3</v>
      </c>
      <c r="L976" s="3" t="n">
        <v>4</v>
      </c>
      <c r="M976" s="3" t="n">
        <v>4</v>
      </c>
      <c r="N976" s="3" t="n">
        <v>5</v>
      </c>
      <c r="O976" s="6" t="b">
        <f aca="false">FALSE()</f>
        <v>0</v>
      </c>
      <c r="P976" s="3"/>
      <c r="Q976" s="5" t="n">
        <v>46226.6423611111</v>
      </c>
      <c r="R976" s="5" t="n">
        <v>46226.7861111111</v>
      </c>
      <c r="S976" s="3" t="s">
        <v>1699</v>
      </c>
      <c r="T976" s="7" t="n">
        <f aca="false">ROUND(MIN(IF(OR(O976=TRUE(),O976="TRUE",O976="Yes"),59,100),(I976*Rubric!$C$2+J976*Rubric!$C$3+K976*Rubric!$C$4+L976*Rubric!$C$5+M976*Rubric!$C$6+N976*Rubric!$C$7)/5),1)</f>
        <v>87</v>
      </c>
      <c r="U976" s="8" t="str">
        <f aca="false">LOOKUP(T976,Bands!$A$2:$A$6,Bands!$B$2:$B$6)</f>
        <v>Solid Performance</v>
      </c>
      <c r="V976" s="8" t="n">
        <f aca="false">IF(Q976="","",ROUND((Q976-B976)*24,1))</f>
        <v>0</v>
      </c>
    </row>
    <row r="977" customFormat="false" ht="15" hidden="false" customHeight="false" outlineLevel="0" collapsed="false">
      <c r="A977" s="3" t="s">
        <v>2088</v>
      </c>
      <c r="B977" s="5" t="n">
        <v>46226.3930555556</v>
      </c>
      <c r="C977" s="3" t="s">
        <v>30</v>
      </c>
      <c r="D977" s="3" t="s">
        <v>167</v>
      </c>
      <c r="E977" s="3" t="s">
        <v>168</v>
      </c>
      <c r="F977" s="3" t="s">
        <v>33</v>
      </c>
      <c r="G977" s="3" t="s">
        <v>42</v>
      </c>
      <c r="H977" s="3" t="s">
        <v>2089</v>
      </c>
      <c r="I977" s="3" t="n">
        <v>3</v>
      </c>
      <c r="J977" s="3" t="n">
        <v>2</v>
      </c>
      <c r="K977" s="3" t="n">
        <v>4</v>
      </c>
      <c r="L977" s="3" t="n">
        <v>4</v>
      </c>
      <c r="M977" s="3" t="n">
        <v>3</v>
      </c>
      <c r="N977" s="3" t="n">
        <v>3</v>
      </c>
      <c r="O977" s="6" t="b">
        <f aca="false">FALSE()</f>
        <v>0</v>
      </c>
      <c r="P977" s="3" t="s">
        <v>56</v>
      </c>
      <c r="Q977" s="5" t="n">
        <v>46226.3944444444</v>
      </c>
      <c r="R977" s="5" t="n">
        <v>46226.5222222222</v>
      </c>
      <c r="S977" s="3" t="s">
        <v>1699</v>
      </c>
      <c r="T977" s="7" t="n">
        <f aca="false">ROUND(MIN(IF(OR(O977=TRUE(),O977="TRUE",O977="Yes"),59,100),(I977*Rubric!$C$2+J977*Rubric!$C$3+K977*Rubric!$C$4+L977*Rubric!$C$5+M977*Rubric!$C$6+N977*Rubric!$C$7)/5),1)</f>
        <v>62</v>
      </c>
      <c r="U977" s="8" t="str">
        <f aca="false">LOOKUP(T977,Bands!$A$2:$A$6,Bands!$B$2:$B$6)</f>
        <v>Needs Improvement</v>
      </c>
      <c r="V977" s="8" t="n">
        <f aca="false">IF(Q977="","",ROUND((Q977-B977)*24,1))</f>
        <v>0</v>
      </c>
    </row>
    <row r="978" customFormat="false" ht="15" hidden="false" customHeight="false" outlineLevel="0" collapsed="false">
      <c r="A978" s="3" t="s">
        <v>2090</v>
      </c>
      <c r="B978" s="5" t="n">
        <v>46226.5951388889</v>
      </c>
      <c r="C978" s="3" t="s">
        <v>68</v>
      </c>
      <c r="D978" s="3" t="s">
        <v>51</v>
      </c>
      <c r="E978" s="3" t="s">
        <v>52</v>
      </c>
      <c r="F978" s="3" t="s">
        <v>53</v>
      </c>
      <c r="G978" s="3" t="s">
        <v>54</v>
      </c>
      <c r="H978" s="3" t="s">
        <v>2091</v>
      </c>
      <c r="I978" s="3" t="n">
        <v>4</v>
      </c>
      <c r="J978" s="3" t="n">
        <v>2</v>
      </c>
      <c r="K978" s="3" t="n">
        <v>4</v>
      </c>
      <c r="L978" s="3" t="n">
        <v>4</v>
      </c>
      <c r="M978" s="3" t="n">
        <v>3</v>
      </c>
      <c r="N978" s="3" t="n">
        <v>4</v>
      </c>
      <c r="O978" s="6" t="b">
        <f aca="false">FALSE()</f>
        <v>0</v>
      </c>
      <c r="P978" s="3" t="s">
        <v>56</v>
      </c>
      <c r="Q978" s="5" t="n">
        <v>46226.5972222222</v>
      </c>
      <c r="R978" s="5" t="n">
        <v>46226.8576388889</v>
      </c>
      <c r="S978" s="3" t="s">
        <v>1699</v>
      </c>
      <c r="T978" s="7" t="n">
        <f aca="false">ROUND(MIN(IF(OR(O978=TRUE(),O978="TRUE",O978="Yes"),59,100),(I978*Rubric!$C$2+J978*Rubric!$C$3+K978*Rubric!$C$4+L978*Rubric!$C$5+M978*Rubric!$C$6+N978*Rubric!$C$7)/5),1)</f>
        <v>68</v>
      </c>
      <c r="U978" s="8" t="str">
        <f aca="false">LOOKUP(T978,Bands!$A$2:$A$6,Bands!$B$2:$B$6)</f>
        <v>Needs Improvement</v>
      </c>
      <c r="V978" s="8" t="n">
        <f aca="false">IF(Q978="","",ROUND((Q978-B978)*24,1))</f>
        <v>0</v>
      </c>
    </row>
    <row r="979" customFormat="false" ht="15" hidden="false" customHeight="false" outlineLevel="0" collapsed="false">
      <c r="A979" s="3" t="s">
        <v>2092</v>
      </c>
      <c r="B979" s="5" t="n">
        <v>46226.6430555556</v>
      </c>
      <c r="C979" s="3" t="s">
        <v>68</v>
      </c>
      <c r="D979" s="3" t="s">
        <v>81</v>
      </c>
      <c r="E979" s="3" t="s">
        <v>82</v>
      </c>
      <c r="F979" s="3" t="s">
        <v>65</v>
      </c>
      <c r="G979" s="3" t="s">
        <v>34</v>
      </c>
      <c r="H979" s="3" t="s">
        <v>2093</v>
      </c>
      <c r="I979" s="3" t="n">
        <v>4</v>
      </c>
      <c r="J979" s="3" t="n">
        <v>3</v>
      </c>
      <c r="K979" s="3" t="n">
        <v>4</v>
      </c>
      <c r="L979" s="3" t="n">
        <v>5</v>
      </c>
      <c r="M979" s="3" t="n">
        <v>5</v>
      </c>
      <c r="N979" s="3" t="n">
        <v>5</v>
      </c>
      <c r="O979" s="6" t="b">
        <f aca="false">FALSE()</f>
        <v>0</v>
      </c>
      <c r="P979" s="3"/>
      <c r="Q979" s="5" t="n">
        <v>46226.64375</v>
      </c>
      <c r="R979" s="5" t="n">
        <v>46227.3354166667</v>
      </c>
      <c r="S979" s="3" t="s">
        <v>1699</v>
      </c>
      <c r="T979" s="7" t="n">
        <f aca="false">ROUND(MIN(IF(OR(O979=TRUE(),O979="TRUE",O979="Yes"),59,100),(I979*Rubric!$C$2+J979*Rubric!$C$3+K979*Rubric!$C$4+L979*Rubric!$C$5+M979*Rubric!$C$6+N979*Rubric!$C$7)/5),1)</f>
        <v>83</v>
      </c>
      <c r="U979" s="8" t="str">
        <f aca="false">LOOKUP(T979,Bands!$A$2:$A$6,Bands!$B$2:$B$6)</f>
        <v>Solid Performance</v>
      </c>
      <c r="V979" s="8" t="n">
        <f aca="false">IF(Q979="","",ROUND((Q979-B979)*24,1))</f>
        <v>0</v>
      </c>
    </row>
    <row r="980" customFormat="false" ht="15" hidden="false" customHeight="false" outlineLevel="0" collapsed="false">
      <c r="A980" s="3" t="s">
        <v>2094</v>
      </c>
      <c r="B980" s="5" t="n">
        <v>46226.6909722222</v>
      </c>
      <c r="C980" s="3" t="s">
        <v>30</v>
      </c>
      <c r="D980" s="3" t="s">
        <v>202</v>
      </c>
      <c r="E980" s="3" t="s">
        <v>203</v>
      </c>
      <c r="F980" s="3" t="s">
        <v>53</v>
      </c>
      <c r="G980" s="3" t="s">
        <v>54</v>
      </c>
      <c r="H980" s="3" t="s">
        <v>2095</v>
      </c>
      <c r="I980" s="3" t="n">
        <v>2</v>
      </c>
      <c r="J980" s="3" t="n">
        <v>4</v>
      </c>
      <c r="K980" s="3" t="n">
        <v>3</v>
      </c>
      <c r="L980" s="3" t="n">
        <v>3</v>
      </c>
      <c r="M980" s="3" t="n">
        <v>3</v>
      </c>
      <c r="N980" s="3" t="n">
        <v>3</v>
      </c>
      <c r="O980" s="6" t="b">
        <f aca="false">FALSE()</f>
        <v>0</v>
      </c>
      <c r="P980" s="3" t="s">
        <v>88</v>
      </c>
      <c r="Q980" s="5" t="n">
        <v>46226.6930555556</v>
      </c>
      <c r="R980" s="5" t="n">
        <v>46226.9416666667</v>
      </c>
      <c r="S980" s="3" t="s">
        <v>1699</v>
      </c>
      <c r="T980" s="7" t="n">
        <f aca="false">ROUND(MIN(IF(OR(O980=TRUE(),O980="TRUE",O980="Yes"),59,100),(I980*Rubric!$C$2+J980*Rubric!$C$3+K980*Rubric!$C$4+L980*Rubric!$C$5+M980*Rubric!$C$6+N980*Rubric!$C$7)/5),1)</f>
        <v>62</v>
      </c>
      <c r="U980" s="8" t="str">
        <f aca="false">LOOKUP(T980,Bands!$A$2:$A$6,Bands!$B$2:$B$6)</f>
        <v>Needs Improvement</v>
      </c>
      <c r="V980" s="8" t="n">
        <f aca="false">IF(Q980="","",ROUND((Q980-B980)*24,1))</f>
        <v>0.1</v>
      </c>
    </row>
    <row r="981" customFormat="false" ht="15" hidden="false" customHeight="false" outlineLevel="0" collapsed="false">
      <c r="A981" s="3" t="s">
        <v>2096</v>
      </c>
      <c r="B981" s="5" t="n">
        <v>46226.4729166667</v>
      </c>
      <c r="C981" s="3" t="s">
        <v>68</v>
      </c>
      <c r="D981" s="3" t="s">
        <v>194</v>
      </c>
      <c r="E981" s="3" t="s">
        <v>195</v>
      </c>
      <c r="F981" s="3" t="s">
        <v>53</v>
      </c>
      <c r="G981" s="3" t="s">
        <v>54</v>
      </c>
      <c r="H981" s="3" t="s">
        <v>2097</v>
      </c>
      <c r="I981" s="3" t="n">
        <v>4</v>
      </c>
      <c r="J981" s="3" t="n">
        <v>5</v>
      </c>
      <c r="K981" s="3" t="n">
        <v>4</v>
      </c>
      <c r="L981" s="3" t="n">
        <v>3</v>
      </c>
      <c r="M981" s="3" t="n">
        <v>4</v>
      </c>
      <c r="N981" s="3" t="n">
        <v>5</v>
      </c>
      <c r="O981" s="6" t="b">
        <f aca="false">FALSE()</f>
        <v>0</v>
      </c>
      <c r="P981" s="3"/>
      <c r="Q981" s="5" t="n">
        <v>46226.4736111111</v>
      </c>
      <c r="R981" s="5" t="n">
        <v>46226.5520833333</v>
      </c>
      <c r="S981" s="3" t="s">
        <v>1699</v>
      </c>
      <c r="T981" s="7" t="n">
        <f aca="false">ROUND(MIN(IF(OR(O981=TRUE(),O981="TRUE",O981="Yes"),59,100),(I981*Rubric!$C$2+J981*Rubric!$C$3+K981*Rubric!$C$4+L981*Rubric!$C$5+M981*Rubric!$C$6+N981*Rubric!$C$7)/5),1)</f>
        <v>85</v>
      </c>
      <c r="U981" s="8" t="str">
        <f aca="false">LOOKUP(T981,Bands!$A$2:$A$6,Bands!$B$2:$B$6)</f>
        <v>Solid Performance</v>
      </c>
      <c r="V981" s="8" t="n">
        <f aca="false">IF(Q981="","",ROUND((Q981-B981)*24,1))</f>
        <v>0</v>
      </c>
    </row>
    <row r="982" customFormat="false" ht="15" hidden="false" customHeight="false" outlineLevel="0" collapsed="false">
      <c r="A982" s="3" t="s">
        <v>2098</v>
      </c>
      <c r="B982" s="5" t="n">
        <v>46226.6444444444</v>
      </c>
      <c r="C982" s="3" t="s">
        <v>68</v>
      </c>
      <c r="D982" s="3" t="s">
        <v>293</v>
      </c>
      <c r="E982" s="3" t="s">
        <v>294</v>
      </c>
      <c r="F982" s="3" t="s">
        <v>65</v>
      </c>
      <c r="G982" s="3" t="s">
        <v>54</v>
      </c>
      <c r="H982" s="3" t="s">
        <v>2099</v>
      </c>
      <c r="I982" s="3" t="n">
        <v>5</v>
      </c>
      <c r="J982" s="3" t="n">
        <v>5</v>
      </c>
      <c r="K982" s="3" t="n">
        <v>5</v>
      </c>
      <c r="L982" s="3" t="n">
        <v>3</v>
      </c>
      <c r="M982" s="3" t="n">
        <v>5</v>
      </c>
      <c r="N982" s="3" t="n">
        <v>5</v>
      </c>
      <c r="O982" s="6" t="b">
        <f aca="false">FALSE()</f>
        <v>0</v>
      </c>
      <c r="P982" s="3"/>
      <c r="Q982" s="5" t="n">
        <v>46226.6451388889</v>
      </c>
      <c r="R982" s="5" t="n">
        <v>46227.725</v>
      </c>
      <c r="S982" s="3" t="s">
        <v>1699</v>
      </c>
      <c r="T982" s="7" t="n">
        <f aca="false">ROUND(MIN(IF(OR(O982=TRUE(),O982="TRUE",O982="Yes"),59,100),(I982*Rubric!$C$2+J982*Rubric!$C$3+K982*Rubric!$C$4+L982*Rubric!$C$5+M982*Rubric!$C$6+N982*Rubric!$C$7)/5),1)</f>
        <v>94</v>
      </c>
      <c r="U982" s="8" t="str">
        <f aca="false">LOOKUP(T982,Bands!$A$2:$A$6,Bands!$B$2:$B$6)</f>
        <v>Outstanding</v>
      </c>
      <c r="V982" s="8" t="n">
        <f aca="false">IF(Q982="","",ROUND((Q982-B982)*24,1))</f>
        <v>0</v>
      </c>
    </row>
    <row r="983" customFormat="false" ht="15" hidden="false" customHeight="false" outlineLevel="0" collapsed="false">
      <c r="A983" s="3" t="s">
        <v>2100</v>
      </c>
      <c r="B983" s="5" t="n">
        <v>46226.3826388889</v>
      </c>
      <c r="C983" s="3" t="s">
        <v>39</v>
      </c>
      <c r="D983" s="3" t="s">
        <v>96</v>
      </c>
      <c r="E983" s="3" t="s">
        <v>97</v>
      </c>
      <c r="F983" s="3" t="s">
        <v>33</v>
      </c>
      <c r="G983" s="3" t="s">
        <v>54</v>
      </c>
      <c r="H983" s="3" t="s">
        <v>2101</v>
      </c>
      <c r="I983" s="3" t="n">
        <v>5</v>
      </c>
      <c r="J983" s="3" t="n">
        <v>3</v>
      </c>
      <c r="K983" s="3" t="n">
        <v>5</v>
      </c>
      <c r="L983" s="3" t="n">
        <v>4</v>
      </c>
      <c r="M983" s="3" t="n">
        <v>5</v>
      </c>
      <c r="N983" s="3" t="n">
        <v>5</v>
      </c>
      <c r="O983" s="6" t="b">
        <f aca="false">FALSE()</f>
        <v>0</v>
      </c>
      <c r="P983" s="3"/>
      <c r="Q983" s="5" t="n">
        <v>46226.3847222222</v>
      </c>
      <c r="R983" s="5" t="n">
        <v>46226.5381944445</v>
      </c>
      <c r="S983" s="3" t="s">
        <v>1699</v>
      </c>
      <c r="T983" s="7" t="n">
        <f aca="false">ROUND(MIN(IF(OR(O983=TRUE(),O983="TRUE",O983="Yes"),59,100),(I983*Rubric!$C$2+J983*Rubric!$C$3+K983*Rubric!$C$4+L983*Rubric!$C$5+M983*Rubric!$C$6+N983*Rubric!$C$7)/5),1)</f>
        <v>87</v>
      </c>
      <c r="U983" s="8" t="str">
        <f aca="false">LOOKUP(T983,Bands!$A$2:$A$6,Bands!$B$2:$B$6)</f>
        <v>Solid Performance</v>
      </c>
      <c r="V983" s="8" t="n">
        <f aca="false">IF(Q983="","",ROUND((Q983-B983)*24,1))</f>
        <v>0</v>
      </c>
    </row>
    <row r="984" customFormat="false" ht="15" hidden="false" customHeight="false" outlineLevel="0" collapsed="false">
      <c r="A984" s="3" t="s">
        <v>2102</v>
      </c>
      <c r="B984" s="5" t="n">
        <v>46226.6909722222</v>
      </c>
      <c r="C984" s="3" t="s">
        <v>68</v>
      </c>
      <c r="D984" s="3" t="s">
        <v>161</v>
      </c>
      <c r="E984" s="3" t="s">
        <v>162</v>
      </c>
      <c r="F984" s="3" t="s">
        <v>33</v>
      </c>
      <c r="G984" s="3" t="s">
        <v>54</v>
      </c>
      <c r="H984" s="3" t="s">
        <v>2103</v>
      </c>
      <c r="I984" s="3" t="n">
        <v>5</v>
      </c>
      <c r="J984" s="3" t="n">
        <v>4</v>
      </c>
      <c r="K984" s="3" t="n">
        <v>5</v>
      </c>
      <c r="L984" s="3" t="n">
        <v>4</v>
      </c>
      <c r="M984" s="3" t="n">
        <v>3</v>
      </c>
      <c r="N984" s="3" t="n">
        <v>5</v>
      </c>
      <c r="O984" s="6" t="b">
        <f aca="false">FALSE()</f>
        <v>0</v>
      </c>
      <c r="P984" s="3"/>
      <c r="Q984" s="5" t="n">
        <v>46226.6916666667</v>
      </c>
      <c r="R984" s="5" t="n">
        <v>46227.0430555556</v>
      </c>
      <c r="S984" s="3" t="s">
        <v>1699</v>
      </c>
      <c r="T984" s="7" t="n">
        <f aca="false">ROUND(MIN(IF(OR(O984=TRUE(),O984="TRUE",O984="Yes"),59,100),(I984*Rubric!$C$2+J984*Rubric!$C$3+K984*Rubric!$C$4+L984*Rubric!$C$5+M984*Rubric!$C$6+N984*Rubric!$C$7)/5),1)</f>
        <v>88</v>
      </c>
      <c r="U984" s="8" t="str">
        <f aca="false">LOOKUP(T984,Bands!$A$2:$A$6,Bands!$B$2:$B$6)</f>
        <v>Solid Performance</v>
      </c>
      <c r="V984" s="8" t="n">
        <f aca="false">IF(Q984="","",ROUND((Q984-B984)*24,1))</f>
        <v>0</v>
      </c>
    </row>
    <row r="985" customFormat="false" ht="15" hidden="false" customHeight="false" outlineLevel="0" collapsed="false">
      <c r="A985" s="3" t="s">
        <v>2104</v>
      </c>
      <c r="B985" s="5" t="n">
        <v>46226.5854166667</v>
      </c>
      <c r="C985" s="3" t="s">
        <v>68</v>
      </c>
      <c r="D985" s="3" t="s">
        <v>222</v>
      </c>
      <c r="E985" s="3" t="s">
        <v>223</v>
      </c>
      <c r="F985" s="3" t="s">
        <v>53</v>
      </c>
      <c r="G985" s="3" t="s">
        <v>54</v>
      </c>
      <c r="H985" s="3" t="s">
        <v>2105</v>
      </c>
      <c r="I985" s="3" t="n">
        <v>3</v>
      </c>
      <c r="J985" s="3" t="n">
        <v>4</v>
      </c>
      <c r="K985" s="3" t="n">
        <v>3</v>
      </c>
      <c r="L985" s="3" t="n">
        <v>5</v>
      </c>
      <c r="M985" s="3" t="n">
        <v>4</v>
      </c>
      <c r="N985" s="3" t="n">
        <v>3</v>
      </c>
      <c r="O985" s="6" t="b">
        <f aca="false">FALSE()</f>
        <v>0</v>
      </c>
      <c r="P985" s="3"/>
      <c r="Q985" s="5" t="n">
        <v>46226.5861111111</v>
      </c>
      <c r="R985" s="5" t="n">
        <v>46226.5902777778</v>
      </c>
      <c r="S985" s="3" t="s">
        <v>1699</v>
      </c>
      <c r="T985" s="7" t="n">
        <f aca="false">ROUND(MIN(IF(OR(O985=TRUE(),O985="TRUE",O985="Yes"),59,100),(I985*Rubric!$C$2+J985*Rubric!$C$3+K985*Rubric!$C$4+L985*Rubric!$C$5+M985*Rubric!$C$6+N985*Rubric!$C$7)/5),1)</f>
        <v>73</v>
      </c>
      <c r="U985" s="8" t="str">
        <f aca="false">LOOKUP(T985,Bands!$A$2:$A$6,Bands!$B$2:$B$6)</f>
        <v>Meets Expectations</v>
      </c>
      <c r="V985" s="8" t="n">
        <f aca="false">IF(Q985="","",ROUND((Q985-B985)*24,1))</f>
        <v>0</v>
      </c>
    </row>
    <row r="986" customFormat="false" ht="15" hidden="false" customHeight="false" outlineLevel="0" collapsed="false">
      <c r="A986" s="3" t="s">
        <v>2106</v>
      </c>
      <c r="B986" s="5" t="n">
        <v>46227.4222222222</v>
      </c>
      <c r="C986" s="3" t="s">
        <v>39</v>
      </c>
      <c r="D986" s="3" t="s">
        <v>155</v>
      </c>
      <c r="E986" s="3" t="s">
        <v>156</v>
      </c>
      <c r="F986" s="3" t="s">
        <v>65</v>
      </c>
      <c r="G986" s="3" t="s">
        <v>54</v>
      </c>
      <c r="H986" s="3" t="s">
        <v>2107</v>
      </c>
      <c r="I986" s="3" t="n">
        <v>4</v>
      </c>
      <c r="J986" s="3" t="n">
        <v>4</v>
      </c>
      <c r="K986" s="3" t="n">
        <v>4</v>
      </c>
      <c r="L986" s="3" t="n">
        <v>4</v>
      </c>
      <c r="M986" s="3" t="n">
        <v>5</v>
      </c>
      <c r="N986" s="3" t="n">
        <v>5</v>
      </c>
      <c r="O986" s="6" t="b">
        <f aca="false">FALSE()</f>
        <v>0</v>
      </c>
      <c r="P986" s="3"/>
      <c r="Q986" s="5" t="n">
        <v>46227.4229166667</v>
      </c>
      <c r="R986" s="5" t="n">
        <v>46227.4458333333</v>
      </c>
      <c r="S986" s="3" t="s">
        <v>1699</v>
      </c>
      <c r="T986" s="7" t="n">
        <f aca="false">ROUND(MIN(IF(OR(O986=TRUE(),O986="TRUE",O986="Yes"),59,100),(I986*Rubric!$C$2+J986*Rubric!$C$3+K986*Rubric!$C$4+L986*Rubric!$C$5+M986*Rubric!$C$6+N986*Rubric!$C$7)/5),1)</f>
        <v>85</v>
      </c>
      <c r="U986" s="8" t="str">
        <f aca="false">LOOKUP(T986,Bands!$A$2:$A$6,Bands!$B$2:$B$6)</f>
        <v>Solid Performance</v>
      </c>
      <c r="V986" s="8" t="n">
        <f aca="false">IF(Q986="","",ROUND((Q986-B986)*24,1))</f>
        <v>0</v>
      </c>
    </row>
    <row r="987" customFormat="false" ht="15" hidden="false" customHeight="false" outlineLevel="0" collapsed="false">
      <c r="A987" s="3" t="s">
        <v>2108</v>
      </c>
      <c r="B987" s="5" t="n">
        <v>46227.6243055556</v>
      </c>
      <c r="C987" s="3" t="s">
        <v>39</v>
      </c>
      <c r="D987" s="3" t="s">
        <v>228</v>
      </c>
      <c r="E987" s="3" t="s">
        <v>229</v>
      </c>
      <c r="F987" s="3" t="s">
        <v>65</v>
      </c>
      <c r="G987" s="3" t="s">
        <v>34</v>
      </c>
      <c r="H987" s="3" t="s">
        <v>2109</v>
      </c>
      <c r="I987" s="3" t="n">
        <v>3</v>
      </c>
      <c r="J987" s="3" t="n">
        <v>2</v>
      </c>
      <c r="K987" s="3" t="n">
        <v>3</v>
      </c>
      <c r="L987" s="3" t="n">
        <v>4</v>
      </c>
      <c r="M987" s="3" t="n">
        <v>2</v>
      </c>
      <c r="N987" s="3" t="n">
        <v>4</v>
      </c>
      <c r="O987" s="6" t="b">
        <f aca="false">FALSE()</f>
        <v>0</v>
      </c>
      <c r="P987" s="3" t="s">
        <v>371</v>
      </c>
      <c r="Q987" s="5" t="n">
        <v>46227.6256944445</v>
      </c>
      <c r="R987" s="5" t="n">
        <v>46227.9368055556</v>
      </c>
      <c r="S987" s="3" t="s">
        <v>1699</v>
      </c>
      <c r="T987" s="7" t="n">
        <f aca="false">ROUND(MIN(IF(OR(O987=TRUE(),O987="TRUE",O987="Yes"),59,100),(I987*Rubric!$C$2+J987*Rubric!$C$3+K987*Rubric!$C$4+L987*Rubric!$C$5+M987*Rubric!$C$6+N987*Rubric!$C$7)/5),1)</f>
        <v>59</v>
      </c>
      <c r="U987" s="8" t="str">
        <f aca="false">LOOKUP(T987,Bands!$A$2:$A$6,Bands!$B$2:$B$6)</f>
        <v>Critical</v>
      </c>
      <c r="V987" s="8" t="n">
        <f aca="false">IF(Q987="","",ROUND((Q987-B987)*24,1))</f>
        <v>0</v>
      </c>
    </row>
    <row r="988" customFormat="false" ht="15" hidden="false" customHeight="false" outlineLevel="0" collapsed="false">
      <c r="A988" s="3" t="s">
        <v>2110</v>
      </c>
      <c r="B988" s="5" t="n">
        <v>46227.4534722222</v>
      </c>
      <c r="C988" s="3" t="s">
        <v>30</v>
      </c>
      <c r="D988" s="3" t="s">
        <v>119</v>
      </c>
      <c r="E988" s="3" t="s">
        <v>120</v>
      </c>
      <c r="F988" s="3" t="s">
        <v>33</v>
      </c>
      <c r="G988" s="3" t="s">
        <v>42</v>
      </c>
      <c r="H988" s="3" t="s">
        <v>2111</v>
      </c>
      <c r="I988" s="3" t="n">
        <v>4</v>
      </c>
      <c r="J988" s="3" t="n">
        <v>3</v>
      </c>
      <c r="K988" s="3" t="n">
        <v>4</v>
      </c>
      <c r="L988" s="3" t="n">
        <v>3</v>
      </c>
      <c r="M988" s="3" t="n">
        <v>5</v>
      </c>
      <c r="N988" s="3" t="n">
        <v>3</v>
      </c>
      <c r="O988" s="6" t="b">
        <f aca="false">FALSE()</f>
        <v>0</v>
      </c>
      <c r="P988" s="3"/>
      <c r="Q988" s="5" t="n">
        <v>46227.4541666667</v>
      </c>
      <c r="R988" s="5" t="n">
        <v>46227.5326388889</v>
      </c>
      <c r="S988" s="3" t="s">
        <v>1699</v>
      </c>
      <c r="T988" s="7" t="n">
        <f aca="false">ROUND(MIN(IF(OR(O988=TRUE(),O988="TRUE",O988="Yes"),59,100),(I988*Rubric!$C$2+J988*Rubric!$C$3+K988*Rubric!$C$4+L988*Rubric!$C$5+M988*Rubric!$C$6+N988*Rubric!$C$7)/5),1)</f>
        <v>71</v>
      </c>
      <c r="U988" s="8" t="str">
        <f aca="false">LOOKUP(T988,Bands!$A$2:$A$6,Bands!$B$2:$B$6)</f>
        <v>Meets Expectations</v>
      </c>
      <c r="V988" s="8" t="n">
        <f aca="false">IF(Q988="","",ROUND((Q988-B988)*24,1))</f>
        <v>0</v>
      </c>
    </row>
    <row r="989" customFormat="false" ht="15" hidden="false" customHeight="false" outlineLevel="0" collapsed="false">
      <c r="A989" s="3" t="s">
        <v>2112</v>
      </c>
      <c r="B989" s="5" t="n">
        <v>46227.4965277778</v>
      </c>
      <c r="C989" s="3" t="s">
        <v>68</v>
      </c>
      <c r="D989" s="3" t="s">
        <v>46</v>
      </c>
      <c r="E989" s="3" t="s">
        <v>47</v>
      </c>
      <c r="F989" s="3" t="s">
        <v>33</v>
      </c>
      <c r="G989" s="3" t="s">
        <v>34</v>
      </c>
      <c r="H989" s="3" t="s">
        <v>2113</v>
      </c>
      <c r="I989" s="3" t="n">
        <v>5</v>
      </c>
      <c r="J989" s="3" t="n">
        <v>5</v>
      </c>
      <c r="K989" s="3" t="n">
        <v>2</v>
      </c>
      <c r="L989" s="3" t="n">
        <v>4</v>
      </c>
      <c r="M989" s="3" t="n">
        <v>4</v>
      </c>
      <c r="N989" s="3" t="n">
        <v>4</v>
      </c>
      <c r="O989" s="6" t="b">
        <f aca="false">FALSE()</f>
        <v>0</v>
      </c>
      <c r="P989" s="3" t="s">
        <v>49</v>
      </c>
      <c r="Q989" s="5" t="n">
        <v>46227.4979166667</v>
      </c>
      <c r="R989" s="5" t="n">
        <v>46227.5423611111</v>
      </c>
      <c r="S989" s="3" t="s">
        <v>1699</v>
      </c>
      <c r="T989" s="7" t="n">
        <f aca="false">ROUND(MIN(IF(OR(O989=TRUE(),O989="TRUE",O989="Yes"),59,100),(I989*Rubric!$C$2+J989*Rubric!$C$3+K989*Rubric!$C$4+L989*Rubric!$C$5+M989*Rubric!$C$6+N989*Rubric!$C$7)/5),1)</f>
        <v>80</v>
      </c>
      <c r="U989" s="8" t="str">
        <f aca="false">LOOKUP(T989,Bands!$A$2:$A$6,Bands!$B$2:$B$6)</f>
        <v>Solid Performance</v>
      </c>
      <c r="V989" s="8" t="n">
        <f aca="false">IF(Q989="","",ROUND((Q989-B989)*24,1))</f>
        <v>0</v>
      </c>
    </row>
    <row r="990" customFormat="false" ht="15" hidden="false" customHeight="false" outlineLevel="0" collapsed="false">
      <c r="A990" s="3" t="s">
        <v>2114</v>
      </c>
      <c r="B990" s="5" t="n">
        <v>46227.6416666667</v>
      </c>
      <c r="C990" s="3" t="s">
        <v>30</v>
      </c>
      <c r="D990" s="3" t="s">
        <v>81</v>
      </c>
      <c r="E990" s="3" t="s">
        <v>82</v>
      </c>
      <c r="F990" s="3" t="s">
        <v>65</v>
      </c>
      <c r="G990" s="3" t="s">
        <v>34</v>
      </c>
      <c r="H990" s="3" t="s">
        <v>2115</v>
      </c>
      <c r="I990" s="3" t="n">
        <v>4</v>
      </c>
      <c r="J990" s="3" t="n">
        <v>3</v>
      </c>
      <c r="K990" s="3" t="n">
        <v>3</v>
      </c>
      <c r="L990" s="3" t="n">
        <v>4</v>
      </c>
      <c r="M990" s="3" t="n">
        <v>4</v>
      </c>
      <c r="N990" s="3" t="n">
        <v>4</v>
      </c>
      <c r="O990" s="6" t="b">
        <f aca="false">FALSE()</f>
        <v>0</v>
      </c>
      <c r="P990" s="3"/>
      <c r="Q990" s="5" t="n">
        <v>46227.6430555556</v>
      </c>
      <c r="R990" s="5" t="n">
        <v>46227.6520833333</v>
      </c>
      <c r="S990" s="3" t="s">
        <v>1699</v>
      </c>
      <c r="T990" s="7" t="n">
        <f aca="false">ROUND(MIN(IF(OR(O990=TRUE(),O990="TRUE",O990="Yes"),59,100),(I990*Rubric!$C$2+J990*Rubric!$C$3+K990*Rubric!$C$4+L990*Rubric!$C$5+M990*Rubric!$C$6+N990*Rubric!$C$7)/5),1)</f>
        <v>71</v>
      </c>
      <c r="U990" s="8" t="str">
        <f aca="false">LOOKUP(T990,Bands!$A$2:$A$6,Bands!$B$2:$B$6)</f>
        <v>Meets Expectations</v>
      </c>
      <c r="V990" s="8" t="n">
        <f aca="false">IF(Q990="","",ROUND((Q990-B990)*24,1))</f>
        <v>0</v>
      </c>
    </row>
    <row r="991" customFormat="false" ht="15" hidden="false" customHeight="false" outlineLevel="0" collapsed="false">
      <c r="A991" s="3" t="s">
        <v>2116</v>
      </c>
      <c r="B991" s="5" t="n">
        <v>46227.6597222222</v>
      </c>
      <c r="C991" s="3" t="s">
        <v>68</v>
      </c>
      <c r="D991" s="3" t="s">
        <v>125</v>
      </c>
      <c r="E991" s="3" t="s">
        <v>126</v>
      </c>
      <c r="F991" s="3" t="s">
        <v>53</v>
      </c>
      <c r="G991" s="3" t="s">
        <v>42</v>
      </c>
      <c r="H991" s="3" t="s">
        <v>2117</v>
      </c>
      <c r="I991" s="3" t="n">
        <v>5</v>
      </c>
      <c r="J991" s="3" t="n">
        <v>4</v>
      </c>
      <c r="K991" s="3" t="n">
        <v>5</v>
      </c>
      <c r="L991" s="3" t="n">
        <v>2</v>
      </c>
      <c r="M991" s="3" t="n">
        <v>5</v>
      </c>
      <c r="N991" s="3" t="n">
        <v>5</v>
      </c>
      <c r="O991" s="6" t="b">
        <f aca="false">FALSE()</f>
        <v>0</v>
      </c>
      <c r="P991" s="3" t="s">
        <v>44</v>
      </c>
      <c r="Q991" s="5" t="n">
        <v>46227.6618055556</v>
      </c>
      <c r="R991" s="5" t="n">
        <v>46227.7743055556</v>
      </c>
      <c r="S991" s="3" t="s">
        <v>1699</v>
      </c>
      <c r="T991" s="7" t="n">
        <f aca="false">ROUND(MIN(IF(OR(O991=TRUE(),O991="TRUE",O991="Yes"),59,100),(I991*Rubric!$C$2+J991*Rubric!$C$3+K991*Rubric!$C$4+L991*Rubric!$C$5+M991*Rubric!$C$6+N991*Rubric!$C$7)/5),1)</f>
        <v>86</v>
      </c>
      <c r="U991" s="8" t="str">
        <f aca="false">LOOKUP(T991,Bands!$A$2:$A$6,Bands!$B$2:$B$6)</f>
        <v>Solid Performance</v>
      </c>
      <c r="V991" s="8" t="n">
        <f aca="false">IF(Q991="","",ROUND((Q991-B991)*24,1))</f>
        <v>0.1</v>
      </c>
    </row>
    <row r="992" customFormat="false" ht="15" hidden="false" customHeight="false" outlineLevel="0" collapsed="false">
      <c r="A992" s="3" t="s">
        <v>2118</v>
      </c>
      <c r="B992" s="5" t="n">
        <v>46227.6472222222</v>
      </c>
      <c r="C992" s="3" t="s">
        <v>39</v>
      </c>
      <c r="D992" s="3" t="s">
        <v>31</v>
      </c>
      <c r="E992" s="3" t="s">
        <v>32</v>
      </c>
      <c r="F992" s="3" t="s">
        <v>33</v>
      </c>
      <c r="G992" s="3" t="s">
        <v>42</v>
      </c>
      <c r="H992" s="3" t="s">
        <v>2119</v>
      </c>
      <c r="I992" s="3" t="n">
        <v>5</v>
      </c>
      <c r="J992" s="3" t="n">
        <v>4</v>
      </c>
      <c r="K992" s="3" t="n">
        <v>4</v>
      </c>
      <c r="L992" s="3" t="n">
        <v>4</v>
      </c>
      <c r="M992" s="3" t="n">
        <v>4</v>
      </c>
      <c r="N992" s="3" t="n">
        <v>3</v>
      </c>
      <c r="O992" s="6" t="b">
        <f aca="false">FALSE()</f>
        <v>0</v>
      </c>
      <c r="P992" s="3"/>
      <c r="Q992" s="5" t="n">
        <v>46227.6479166667</v>
      </c>
      <c r="R992" s="5" t="n">
        <v>46227.8986111111</v>
      </c>
      <c r="S992" s="3" t="s">
        <v>1699</v>
      </c>
      <c r="T992" s="7" t="n">
        <f aca="false">ROUND(MIN(IF(OR(O992=TRUE(),O992="TRUE",O992="Yes"),59,100),(I992*Rubric!$C$2+J992*Rubric!$C$3+K992*Rubric!$C$4+L992*Rubric!$C$5+M992*Rubric!$C$6+N992*Rubric!$C$7)/5),1)</f>
        <v>80</v>
      </c>
      <c r="U992" s="8" t="str">
        <f aca="false">LOOKUP(T992,Bands!$A$2:$A$6,Bands!$B$2:$B$6)</f>
        <v>Solid Performance</v>
      </c>
      <c r="V992" s="8" t="n">
        <f aca="false">IF(Q992="","",ROUND((Q992-B992)*24,1))</f>
        <v>0</v>
      </c>
    </row>
    <row r="993" customFormat="false" ht="15" hidden="false" customHeight="false" outlineLevel="0" collapsed="false">
      <c r="A993" s="3" t="s">
        <v>2120</v>
      </c>
      <c r="B993" s="5" t="n">
        <v>46227.4333333333</v>
      </c>
      <c r="C993" s="3" t="s">
        <v>68</v>
      </c>
      <c r="D993" s="3" t="s">
        <v>73</v>
      </c>
      <c r="E993" s="3" t="s">
        <v>74</v>
      </c>
      <c r="F993" s="3" t="s">
        <v>33</v>
      </c>
      <c r="G993" s="3" t="s">
        <v>54</v>
      </c>
      <c r="H993" s="3" t="s">
        <v>2121</v>
      </c>
      <c r="I993" s="3" t="n">
        <v>5</v>
      </c>
      <c r="J993" s="3" t="n">
        <v>5</v>
      </c>
      <c r="K993" s="3" t="n">
        <v>4</v>
      </c>
      <c r="L993" s="3" t="n">
        <v>5</v>
      </c>
      <c r="M993" s="3" t="n">
        <v>5</v>
      </c>
      <c r="N993" s="3" t="n">
        <v>4</v>
      </c>
      <c r="O993" s="6" t="b">
        <f aca="false">FALSE()</f>
        <v>0</v>
      </c>
      <c r="P993" s="3"/>
      <c r="Q993" s="5" t="n">
        <v>46227.4340277778</v>
      </c>
      <c r="R993" s="5" t="n">
        <v>46227.6173611111</v>
      </c>
      <c r="S993" s="3" t="s">
        <v>1699</v>
      </c>
      <c r="T993" s="7" t="n">
        <f aca="false">ROUND(MIN(IF(OR(O993=TRUE(),O993="TRUE",O993="Yes"),59,100),(I993*Rubric!$C$2+J993*Rubric!$C$3+K993*Rubric!$C$4+L993*Rubric!$C$5+M993*Rubric!$C$6+N993*Rubric!$C$7)/5),1)</f>
        <v>93</v>
      </c>
      <c r="U993" s="8" t="str">
        <f aca="false">LOOKUP(T993,Bands!$A$2:$A$6,Bands!$B$2:$B$6)</f>
        <v>Outstanding</v>
      </c>
      <c r="V993" s="8" t="n">
        <f aca="false">IF(Q993="","",ROUND((Q993-B993)*24,1))</f>
        <v>0</v>
      </c>
    </row>
    <row r="994" customFormat="false" ht="15" hidden="false" customHeight="false" outlineLevel="0" collapsed="false">
      <c r="A994" s="3" t="s">
        <v>2122</v>
      </c>
      <c r="B994" s="5" t="n">
        <v>46227.4902777778</v>
      </c>
      <c r="C994" s="3" t="s">
        <v>39</v>
      </c>
      <c r="D994" s="3" t="s">
        <v>194</v>
      </c>
      <c r="E994" s="3" t="s">
        <v>195</v>
      </c>
      <c r="F994" s="3" t="s">
        <v>53</v>
      </c>
      <c r="G994" s="3" t="s">
        <v>54</v>
      </c>
      <c r="H994" s="3" t="s">
        <v>2123</v>
      </c>
      <c r="I994" s="3" t="n">
        <v>5</v>
      </c>
      <c r="J994" s="3" t="n">
        <v>4</v>
      </c>
      <c r="K994" s="3" t="n">
        <v>4</v>
      </c>
      <c r="L994" s="3" t="n">
        <v>2</v>
      </c>
      <c r="M994" s="3" t="n">
        <v>5</v>
      </c>
      <c r="N994" s="3" t="n">
        <v>1</v>
      </c>
      <c r="O994" s="6" t="b">
        <f aca="false">TRUE()</f>
        <v>1</v>
      </c>
      <c r="P994" s="3" t="s">
        <v>128</v>
      </c>
      <c r="Q994" s="5" t="n">
        <v>46227.4909722222</v>
      </c>
      <c r="R994" s="5" t="n">
        <v>46227.6701388889</v>
      </c>
      <c r="S994" s="3" t="s">
        <v>1699</v>
      </c>
      <c r="T994" s="7" t="n">
        <f aca="false">ROUND(MIN(IF(OR(O994=TRUE(),O994="TRUE",O994="Yes"),59,100),(I994*Rubric!$C$2+J994*Rubric!$C$3+K994*Rubric!$C$4+L994*Rubric!$C$5+M994*Rubric!$C$6+N994*Rubric!$C$7)/5),1)</f>
        <v>59</v>
      </c>
      <c r="U994" s="8" t="str">
        <f aca="false">LOOKUP(T994,Bands!$A$2:$A$6,Bands!$B$2:$B$6)</f>
        <v>Critical</v>
      </c>
      <c r="V994" s="8" t="n">
        <f aca="false">IF(Q994="","",ROUND((Q994-B994)*24,1))</f>
        <v>0</v>
      </c>
    </row>
    <row r="995" customFormat="false" ht="15" hidden="false" customHeight="false" outlineLevel="0" collapsed="false">
      <c r="A995" s="3" t="s">
        <v>2124</v>
      </c>
      <c r="B995" s="5" t="n">
        <v>46227.64375</v>
      </c>
      <c r="C995" s="3" t="s">
        <v>68</v>
      </c>
      <c r="D995" s="3" t="s">
        <v>238</v>
      </c>
      <c r="E995" s="3" t="s">
        <v>239</v>
      </c>
      <c r="F995" s="3" t="s">
        <v>33</v>
      </c>
      <c r="G995" s="3" t="s">
        <v>54</v>
      </c>
      <c r="H995" s="3" t="s">
        <v>2125</v>
      </c>
      <c r="I995" s="3" t="n">
        <v>3</v>
      </c>
      <c r="J995" s="3" t="n">
        <v>4</v>
      </c>
      <c r="K995" s="3" t="n">
        <v>4</v>
      </c>
      <c r="L995" s="3" t="n">
        <v>4</v>
      </c>
      <c r="M995" s="3" t="n">
        <v>3</v>
      </c>
      <c r="N995" s="3" t="n">
        <v>3</v>
      </c>
      <c r="O995" s="6" t="b">
        <f aca="false">FALSE()</f>
        <v>0</v>
      </c>
      <c r="P995" s="3"/>
      <c r="Q995" s="5" t="n">
        <v>46227.6451388889</v>
      </c>
      <c r="R995" s="5" t="n">
        <v>46227.6569444445</v>
      </c>
      <c r="S995" s="3" t="s">
        <v>1699</v>
      </c>
      <c r="T995" s="7" t="n">
        <f aca="false">ROUND(MIN(IF(OR(O995=TRUE(),O995="TRUE",O995="Yes"),59,100),(I995*Rubric!$C$2+J995*Rubric!$C$3+K995*Rubric!$C$4+L995*Rubric!$C$5+M995*Rubric!$C$6+N995*Rubric!$C$7)/5),1)</f>
        <v>72</v>
      </c>
      <c r="U995" s="8" t="str">
        <f aca="false">LOOKUP(T995,Bands!$A$2:$A$6,Bands!$B$2:$B$6)</f>
        <v>Meets Expectations</v>
      </c>
      <c r="V995" s="8" t="n">
        <f aca="false">IF(Q995="","",ROUND((Q995-B995)*24,1))</f>
        <v>0</v>
      </c>
    </row>
    <row r="996" customFormat="false" ht="15" hidden="false" customHeight="false" outlineLevel="0" collapsed="false">
      <c r="A996" s="3" t="s">
        <v>2126</v>
      </c>
      <c r="B996" s="5" t="n">
        <v>46227.4013888889</v>
      </c>
      <c r="C996" s="3" t="s">
        <v>68</v>
      </c>
      <c r="D996" s="3" t="s">
        <v>63</v>
      </c>
      <c r="E996" s="3" t="s">
        <v>64</v>
      </c>
      <c r="F996" s="3" t="s">
        <v>65</v>
      </c>
      <c r="G996" s="3" t="s">
        <v>34</v>
      </c>
      <c r="H996" s="3" t="s">
        <v>2127</v>
      </c>
      <c r="I996" s="3" t="n">
        <v>4</v>
      </c>
      <c r="J996" s="3" t="n">
        <v>5</v>
      </c>
      <c r="K996" s="3" t="n">
        <v>3</v>
      </c>
      <c r="L996" s="3" t="n">
        <v>4</v>
      </c>
      <c r="M996" s="3" t="n">
        <v>4</v>
      </c>
      <c r="N996" s="3" t="n">
        <v>4</v>
      </c>
      <c r="O996" s="6" t="b">
        <f aca="false">FALSE()</f>
        <v>0</v>
      </c>
      <c r="P996" s="3"/>
      <c r="Q996" s="5" t="n">
        <v>46227.4027777778</v>
      </c>
      <c r="R996" s="5" t="n">
        <v>46227.4180555556</v>
      </c>
      <c r="S996" s="3" t="s">
        <v>1699</v>
      </c>
      <c r="T996" s="7" t="n">
        <f aca="false">ROUND(MIN(IF(OR(O996=TRUE(),O996="TRUE",O996="Yes"),59,100),(I996*Rubric!$C$2+J996*Rubric!$C$3+K996*Rubric!$C$4+L996*Rubric!$C$5+M996*Rubric!$C$6+N996*Rubric!$C$7)/5),1)</f>
        <v>81</v>
      </c>
      <c r="U996" s="8" t="str">
        <f aca="false">LOOKUP(T996,Bands!$A$2:$A$6,Bands!$B$2:$B$6)</f>
        <v>Solid Performance</v>
      </c>
      <c r="V996" s="8" t="n">
        <f aca="false">IF(Q996="","",ROUND((Q996-B996)*24,1))</f>
        <v>0</v>
      </c>
    </row>
    <row r="997" customFormat="false" ht="15" hidden="false" customHeight="false" outlineLevel="0" collapsed="false">
      <c r="A997" s="3" t="s">
        <v>2128</v>
      </c>
      <c r="B997" s="5" t="n">
        <v>46227.6465277778</v>
      </c>
      <c r="C997" s="3" t="s">
        <v>39</v>
      </c>
      <c r="D997" s="3" t="s">
        <v>259</v>
      </c>
      <c r="E997" s="3" t="s">
        <v>260</v>
      </c>
      <c r="F997" s="3" t="s">
        <v>33</v>
      </c>
      <c r="G997" s="3" t="s">
        <v>54</v>
      </c>
      <c r="H997" s="3" t="s">
        <v>2129</v>
      </c>
      <c r="I997" s="3" t="n">
        <v>5</v>
      </c>
      <c r="J997" s="3" t="n">
        <v>5</v>
      </c>
      <c r="K997" s="3" t="n">
        <v>2</v>
      </c>
      <c r="L997" s="3" t="n">
        <v>5</v>
      </c>
      <c r="M997" s="3" t="n">
        <v>5</v>
      </c>
      <c r="N997" s="3" t="n">
        <v>5</v>
      </c>
      <c r="O997" s="6" t="b">
        <f aca="false">FALSE()</f>
        <v>0</v>
      </c>
      <c r="P997" s="3" t="s">
        <v>49</v>
      </c>
      <c r="Q997" s="5" t="n">
        <v>46227.6486111111</v>
      </c>
      <c r="R997" s="5" t="n">
        <v>46227.7006944444</v>
      </c>
      <c r="S997" s="3" t="s">
        <v>1699</v>
      </c>
      <c r="T997" s="7" t="n">
        <f aca="false">ROUND(MIN(IF(OR(O997=TRUE(),O997="TRUE",O997="Yes"),59,100),(I997*Rubric!$C$2+J997*Rubric!$C$3+K997*Rubric!$C$4+L997*Rubric!$C$5+M997*Rubric!$C$6+N997*Rubric!$C$7)/5),1)</f>
        <v>88</v>
      </c>
      <c r="U997" s="8" t="str">
        <f aca="false">LOOKUP(T997,Bands!$A$2:$A$6,Bands!$B$2:$B$6)</f>
        <v>Solid Performance</v>
      </c>
      <c r="V997" s="8" t="n">
        <f aca="false">IF(Q997="","",ROUND((Q997-B997)*24,1))</f>
        <v>0</v>
      </c>
    </row>
    <row r="998" customFormat="false" ht="15" hidden="false" customHeight="false" outlineLevel="0" collapsed="false">
      <c r="A998" s="3" t="s">
        <v>2130</v>
      </c>
      <c r="B998" s="5" t="n">
        <v>46230.6333333333</v>
      </c>
      <c r="C998" s="3" t="s">
        <v>30</v>
      </c>
      <c r="D998" s="3" t="s">
        <v>31</v>
      </c>
      <c r="E998" s="3" t="s">
        <v>32</v>
      </c>
      <c r="F998" s="3" t="s">
        <v>33</v>
      </c>
      <c r="G998" s="3" t="s">
        <v>42</v>
      </c>
      <c r="H998" s="3" t="s">
        <v>2131</v>
      </c>
      <c r="I998" s="3" t="n">
        <v>4</v>
      </c>
      <c r="J998" s="3" t="n">
        <v>3</v>
      </c>
      <c r="K998" s="3" t="n">
        <v>4</v>
      </c>
      <c r="L998" s="3" t="n">
        <v>4</v>
      </c>
      <c r="M998" s="3" t="n">
        <v>4</v>
      </c>
      <c r="N998" s="3" t="n">
        <v>2</v>
      </c>
      <c r="O998" s="6" t="b">
        <f aca="false">FALSE()</f>
        <v>0</v>
      </c>
      <c r="P998" s="3" t="s">
        <v>36</v>
      </c>
      <c r="Q998" s="5" t="n">
        <v>46230.6347222222</v>
      </c>
      <c r="R998" s="5" t="n">
        <v>46230.9673611111</v>
      </c>
      <c r="S998" s="3" t="s">
        <v>1699</v>
      </c>
      <c r="T998" s="7" t="n">
        <f aca="false">ROUND(MIN(IF(OR(O998=TRUE(),O998="TRUE",O998="Yes"),59,100),(I998*Rubric!$C$2+J998*Rubric!$C$3+K998*Rubric!$C$4+L998*Rubric!$C$5+M998*Rubric!$C$6+N998*Rubric!$C$7)/5),1)</f>
        <v>69</v>
      </c>
      <c r="U998" s="8" t="str">
        <f aca="false">LOOKUP(T998,Bands!$A$2:$A$6,Bands!$B$2:$B$6)</f>
        <v>Needs Improvement</v>
      </c>
      <c r="V998" s="8" t="n">
        <f aca="false">IF(Q998="","",ROUND((Q998-B998)*24,1))</f>
        <v>0</v>
      </c>
    </row>
    <row r="999" customFormat="false" ht="15" hidden="false" customHeight="false" outlineLevel="0" collapsed="false">
      <c r="A999" s="3" t="s">
        <v>2132</v>
      </c>
      <c r="B999" s="5" t="n">
        <v>46230.7069444444</v>
      </c>
      <c r="C999" s="3" t="s">
        <v>39</v>
      </c>
      <c r="D999" s="3" t="s">
        <v>228</v>
      </c>
      <c r="E999" s="3" t="s">
        <v>229</v>
      </c>
      <c r="F999" s="3" t="s">
        <v>65</v>
      </c>
      <c r="G999" s="3" t="s">
        <v>42</v>
      </c>
      <c r="H999" s="3" t="s">
        <v>2133</v>
      </c>
      <c r="I999" s="3" t="n">
        <v>2</v>
      </c>
      <c r="J999" s="3" t="n">
        <v>3</v>
      </c>
      <c r="K999" s="3" t="n">
        <v>3</v>
      </c>
      <c r="L999" s="3" t="n">
        <v>3</v>
      </c>
      <c r="M999" s="3" t="n">
        <v>3</v>
      </c>
      <c r="N999" s="3" t="n">
        <v>4</v>
      </c>
      <c r="O999" s="6" t="b">
        <f aca="false">FALSE()</f>
        <v>0</v>
      </c>
      <c r="P999" s="3" t="s">
        <v>88</v>
      </c>
      <c r="Q999" s="5" t="n">
        <v>46230.7083333333</v>
      </c>
      <c r="R999" s="5" t="n">
        <v>46230.8145833333</v>
      </c>
      <c r="S999" s="3" t="s">
        <v>1699</v>
      </c>
      <c r="T999" s="7" t="n">
        <f aca="false">ROUND(MIN(IF(OR(O999=TRUE(),O999="TRUE",O999="Yes"),59,100),(I999*Rubric!$C$2+J999*Rubric!$C$3+K999*Rubric!$C$4+L999*Rubric!$C$5+M999*Rubric!$C$6+N999*Rubric!$C$7)/5),1)</f>
        <v>60</v>
      </c>
      <c r="U999" s="8" t="str">
        <f aca="false">LOOKUP(T999,Bands!$A$2:$A$6,Bands!$B$2:$B$6)</f>
        <v>Needs Improvement</v>
      </c>
      <c r="V999" s="8" t="n">
        <f aca="false">IF(Q999="","",ROUND((Q999-B999)*24,1))</f>
        <v>0</v>
      </c>
    </row>
    <row r="1000" customFormat="false" ht="15" hidden="false" customHeight="false" outlineLevel="0" collapsed="false">
      <c r="A1000" s="3" t="s">
        <v>2134</v>
      </c>
      <c r="B1000" s="5" t="n">
        <v>46230.5291666667</v>
      </c>
      <c r="C1000" s="3" t="s">
        <v>30</v>
      </c>
      <c r="D1000" s="3" t="s">
        <v>198</v>
      </c>
      <c r="E1000" s="3" t="s">
        <v>199</v>
      </c>
      <c r="F1000" s="3" t="s">
        <v>33</v>
      </c>
      <c r="G1000" s="3" t="s">
        <v>42</v>
      </c>
      <c r="H1000" s="3" t="s">
        <v>2135</v>
      </c>
      <c r="I1000" s="3" t="n">
        <v>3</v>
      </c>
      <c r="J1000" s="3" t="n">
        <v>3</v>
      </c>
      <c r="K1000" s="3" t="n">
        <v>4</v>
      </c>
      <c r="L1000" s="3" t="n">
        <v>4</v>
      </c>
      <c r="M1000" s="3" t="n">
        <v>4</v>
      </c>
      <c r="N1000" s="3" t="n">
        <v>1</v>
      </c>
      <c r="O1000" s="6" t="b">
        <f aca="false">TRUE()</f>
        <v>1</v>
      </c>
      <c r="P1000" s="3" t="s">
        <v>36</v>
      </c>
      <c r="Q1000" s="5" t="n">
        <v>46230.5298611111</v>
      </c>
      <c r="R1000" s="5" t="n">
        <v>46231.0805555556</v>
      </c>
      <c r="S1000" s="3" t="s">
        <v>1699</v>
      </c>
      <c r="T1000" s="7" t="n">
        <f aca="false">ROUND(MIN(IF(OR(O1000=TRUE(),O1000="TRUE",O1000="Yes"),59,100),(I1000*Rubric!$C$2+J1000*Rubric!$C$3+K1000*Rubric!$C$4+L1000*Rubric!$C$5+M1000*Rubric!$C$6+N1000*Rubric!$C$7)/5),1)</f>
        <v>59</v>
      </c>
      <c r="U1000" s="8" t="str">
        <f aca="false">LOOKUP(T1000,Bands!$A$2:$A$6,Bands!$B$2:$B$6)</f>
        <v>Critical</v>
      </c>
      <c r="V1000" s="8" t="n">
        <f aca="false">IF(Q1000="","",ROUND((Q1000-B1000)*24,1))</f>
        <v>0</v>
      </c>
    </row>
    <row r="1001" customFormat="false" ht="15" hidden="false" customHeight="false" outlineLevel="0" collapsed="false">
      <c r="A1001" s="3" t="s">
        <v>2136</v>
      </c>
      <c r="B1001" s="5" t="n">
        <v>46230.4798611111</v>
      </c>
      <c r="C1001" s="3" t="s">
        <v>30</v>
      </c>
      <c r="D1001" s="3" t="s">
        <v>307</v>
      </c>
      <c r="E1001" s="3" t="s">
        <v>308</v>
      </c>
      <c r="F1001" s="3" t="s">
        <v>33</v>
      </c>
      <c r="G1001" s="3" t="s">
        <v>54</v>
      </c>
      <c r="H1001" s="3" t="s">
        <v>2137</v>
      </c>
      <c r="I1001" s="3" t="n">
        <v>5</v>
      </c>
      <c r="J1001" s="3" t="n">
        <v>3</v>
      </c>
      <c r="K1001" s="3" t="n">
        <v>5</v>
      </c>
      <c r="L1001" s="3" t="n">
        <v>5</v>
      </c>
      <c r="M1001" s="3" t="n">
        <v>5</v>
      </c>
      <c r="N1001" s="3" t="n">
        <v>5</v>
      </c>
      <c r="O1001" s="6" t="b">
        <f aca="false">FALSE()</f>
        <v>0</v>
      </c>
      <c r="P1001" s="3"/>
      <c r="Q1001" s="5" t="n">
        <v>46230.4819444444</v>
      </c>
      <c r="R1001" s="5" t="n">
        <v>46230.5381944445</v>
      </c>
      <c r="S1001" s="3" t="s">
        <v>1699</v>
      </c>
      <c r="T1001" s="7" t="n">
        <f aca="false">ROUND(MIN(IF(OR(O1001=TRUE(),O1001="TRUE",O1001="Yes"),59,100),(I1001*Rubric!$C$2+J1001*Rubric!$C$3+K1001*Rubric!$C$4+L1001*Rubric!$C$5+M1001*Rubric!$C$6+N1001*Rubric!$C$7)/5),1)</f>
        <v>90</v>
      </c>
      <c r="U1001" s="8" t="str">
        <f aca="false">LOOKUP(T1001,Bands!$A$2:$A$6,Bands!$B$2:$B$6)</f>
        <v>Outstanding</v>
      </c>
      <c r="V1001" s="8" t="n">
        <f aca="false">IF(Q1001="","",ROUND((Q1001-B1001)*24,1))</f>
        <v>0</v>
      </c>
    </row>
    <row r="1002" customFormat="false" ht="15" hidden="false" customHeight="false" outlineLevel="0" collapsed="false">
      <c r="A1002" s="3" t="s">
        <v>2138</v>
      </c>
      <c r="B1002" s="5" t="n">
        <v>46230.5097222222</v>
      </c>
      <c r="C1002" s="3" t="s">
        <v>39</v>
      </c>
      <c r="D1002" s="3" t="s">
        <v>145</v>
      </c>
      <c r="E1002" s="3" t="s">
        <v>146</v>
      </c>
      <c r="F1002" s="3" t="s">
        <v>33</v>
      </c>
      <c r="G1002" s="3" t="s">
        <v>42</v>
      </c>
      <c r="H1002" s="3" t="s">
        <v>2139</v>
      </c>
      <c r="I1002" s="3" t="n">
        <v>4</v>
      </c>
      <c r="J1002" s="3" t="n">
        <v>4</v>
      </c>
      <c r="K1002" s="3" t="n">
        <v>3</v>
      </c>
      <c r="L1002" s="3" t="n">
        <v>4</v>
      </c>
      <c r="M1002" s="3" t="n">
        <v>4</v>
      </c>
      <c r="N1002" s="3" t="n">
        <v>5</v>
      </c>
      <c r="O1002" s="6" t="b">
        <f aca="false">FALSE()</f>
        <v>0</v>
      </c>
      <c r="P1002" s="3"/>
      <c r="Q1002" s="5" t="n">
        <v>46230.5104166667</v>
      </c>
      <c r="R1002" s="5" t="n">
        <v>46230.8465277778</v>
      </c>
      <c r="S1002" s="3" t="s">
        <v>1699</v>
      </c>
      <c r="T1002" s="7" t="n">
        <f aca="false">ROUND(MIN(IF(OR(O1002=TRUE(),O1002="TRUE",O1002="Yes"),59,100),(I1002*Rubric!$C$2+J1002*Rubric!$C$3+K1002*Rubric!$C$4+L1002*Rubric!$C$5+M1002*Rubric!$C$6+N1002*Rubric!$C$7)/5),1)</f>
        <v>79</v>
      </c>
      <c r="U1002" s="8" t="str">
        <f aca="false">LOOKUP(T1002,Bands!$A$2:$A$6,Bands!$B$2:$B$6)</f>
        <v>Meets Expectations</v>
      </c>
      <c r="V1002" s="8" t="n">
        <f aca="false">IF(Q1002="","",ROUND((Q1002-B1002)*24,1))</f>
        <v>0</v>
      </c>
    </row>
    <row r="1003" customFormat="false" ht="15" hidden="false" customHeight="false" outlineLevel="0" collapsed="false">
      <c r="A1003" s="3" t="s">
        <v>2140</v>
      </c>
      <c r="B1003" s="5" t="n">
        <v>46230.3833333333</v>
      </c>
      <c r="C1003" s="3" t="s">
        <v>39</v>
      </c>
      <c r="D1003" s="3" t="s">
        <v>63</v>
      </c>
      <c r="E1003" s="3" t="s">
        <v>64</v>
      </c>
      <c r="F1003" s="3" t="s">
        <v>65</v>
      </c>
      <c r="G1003" s="3" t="s">
        <v>54</v>
      </c>
      <c r="H1003" s="3" t="s">
        <v>2141</v>
      </c>
      <c r="I1003" s="3" t="n">
        <v>4</v>
      </c>
      <c r="J1003" s="3" t="n">
        <v>4</v>
      </c>
      <c r="K1003" s="3" t="n">
        <v>3</v>
      </c>
      <c r="L1003" s="3" t="n">
        <v>4</v>
      </c>
      <c r="M1003" s="3" t="n">
        <v>4</v>
      </c>
      <c r="N1003" s="3" t="n">
        <v>4</v>
      </c>
      <c r="O1003" s="6" t="b">
        <f aca="false">FALSE()</f>
        <v>0</v>
      </c>
      <c r="P1003" s="3"/>
      <c r="Q1003" s="5" t="n">
        <v>46230.3854166667</v>
      </c>
      <c r="R1003" s="5" t="n">
        <v>46230.5291666667</v>
      </c>
      <c r="S1003" s="3" t="s">
        <v>1699</v>
      </c>
      <c r="T1003" s="7" t="n">
        <f aca="false">ROUND(MIN(IF(OR(O1003=TRUE(),O1003="TRUE",O1003="Yes"),59,100),(I1003*Rubric!$C$2+J1003*Rubric!$C$3+K1003*Rubric!$C$4+L1003*Rubric!$C$5+M1003*Rubric!$C$6+N1003*Rubric!$C$7)/5),1)</f>
        <v>76</v>
      </c>
      <c r="U1003" s="8" t="str">
        <f aca="false">LOOKUP(T1003,Bands!$A$2:$A$6,Bands!$B$2:$B$6)</f>
        <v>Meets Expectations</v>
      </c>
      <c r="V1003" s="8" t="n">
        <f aca="false">IF(Q1003="","",ROUND((Q1003-B1003)*24,1))</f>
        <v>0.1</v>
      </c>
    </row>
    <row r="1004" customFormat="false" ht="15" hidden="false" customHeight="false" outlineLevel="0" collapsed="false">
      <c r="A1004" s="3" t="s">
        <v>2142</v>
      </c>
      <c r="B1004" s="5" t="n">
        <v>46230.6597222222</v>
      </c>
      <c r="C1004" s="3" t="s">
        <v>30</v>
      </c>
      <c r="D1004" s="3" t="s">
        <v>486</v>
      </c>
      <c r="E1004" s="3" t="s">
        <v>487</v>
      </c>
      <c r="F1004" s="3" t="s">
        <v>65</v>
      </c>
      <c r="G1004" s="3" t="s">
        <v>42</v>
      </c>
      <c r="H1004" s="3" t="s">
        <v>2143</v>
      </c>
      <c r="I1004" s="3" t="n">
        <v>5</v>
      </c>
      <c r="J1004" s="3" t="n">
        <v>3</v>
      </c>
      <c r="K1004" s="3" t="n">
        <v>5</v>
      </c>
      <c r="L1004" s="3" t="n">
        <v>5</v>
      </c>
      <c r="M1004" s="3" t="n">
        <v>4</v>
      </c>
      <c r="N1004" s="3" t="n">
        <v>4</v>
      </c>
      <c r="O1004" s="6" t="b">
        <f aca="false">FALSE()</f>
        <v>0</v>
      </c>
      <c r="P1004" s="3"/>
      <c r="Q1004" s="5" t="n">
        <v>46230.6604166667</v>
      </c>
      <c r="R1004" s="5" t="n">
        <v>46231.0166666667</v>
      </c>
      <c r="S1004" s="3" t="s">
        <v>1699</v>
      </c>
      <c r="T1004" s="7" t="n">
        <f aca="false">ROUND(MIN(IF(OR(O1004=TRUE(),O1004="TRUE",O1004="Yes"),59,100),(I1004*Rubric!$C$2+J1004*Rubric!$C$3+K1004*Rubric!$C$4+L1004*Rubric!$C$5+M1004*Rubric!$C$6+N1004*Rubric!$C$7)/5),1)</f>
        <v>85</v>
      </c>
      <c r="U1004" s="8" t="str">
        <f aca="false">LOOKUP(T1004,Bands!$A$2:$A$6,Bands!$B$2:$B$6)</f>
        <v>Solid Performance</v>
      </c>
      <c r="V1004" s="8" t="n">
        <f aca="false">IF(Q1004="","",ROUND((Q1004-B1004)*24,1))</f>
        <v>0</v>
      </c>
    </row>
    <row r="1005" customFormat="false" ht="15" hidden="false" customHeight="false" outlineLevel="0" collapsed="false">
      <c r="A1005" s="3" t="s">
        <v>2144</v>
      </c>
      <c r="B1005" s="5" t="n">
        <v>46230.6902777778</v>
      </c>
      <c r="C1005" s="3" t="s">
        <v>68</v>
      </c>
      <c r="D1005" s="3" t="s">
        <v>265</v>
      </c>
      <c r="E1005" s="3" t="s">
        <v>266</v>
      </c>
      <c r="F1005" s="3" t="s">
        <v>33</v>
      </c>
      <c r="G1005" s="3" t="s">
        <v>42</v>
      </c>
      <c r="H1005" s="3" t="s">
        <v>2145</v>
      </c>
      <c r="I1005" s="3" t="n">
        <v>4</v>
      </c>
      <c r="J1005" s="3" t="n">
        <v>3</v>
      </c>
      <c r="K1005" s="3" t="n">
        <v>4</v>
      </c>
      <c r="L1005" s="3" t="n">
        <v>4</v>
      </c>
      <c r="M1005" s="3" t="n">
        <v>4</v>
      </c>
      <c r="N1005" s="3" t="n">
        <v>3</v>
      </c>
      <c r="O1005" s="6" t="b">
        <f aca="false">FALSE()</f>
        <v>0</v>
      </c>
      <c r="P1005" s="3"/>
      <c r="Q1005" s="5" t="n">
        <v>46230.6909722222</v>
      </c>
      <c r="R1005" s="5" t="n">
        <v>46230.7333333333</v>
      </c>
      <c r="S1005" s="3" t="s">
        <v>1699</v>
      </c>
      <c r="T1005" s="7" t="n">
        <f aca="false">ROUND(MIN(IF(OR(O1005=TRUE(),O1005="TRUE",O1005="Yes"),59,100),(I1005*Rubric!$C$2+J1005*Rubric!$C$3+K1005*Rubric!$C$4+L1005*Rubric!$C$5+M1005*Rubric!$C$6+N1005*Rubric!$C$7)/5),1)</f>
        <v>72</v>
      </c>
      <c r="U1005" s="8" t="str">
        <f aca="false">LOOKUP(T1005,Bands!$A$2:$A$6,Bands!$B$2:$B$6)</f>
        <v>Meets Expectations</v>
      </c>
      <c r="V1005" s="8" t="n">
        <f aca="false">IF(Q1005="","",ROUND((Q1005-B1005)*24,1))</f>
        <v>0</v>
      </c>
    </row>
    <row r="1006" customFormat="false" ht="15" hidden="false" customHeight="false" outlineLevel="0" collapsed="false">
      <c r="A1006" s="3" t="s">
        <v>2146</v>
      </c>
      <c r="B1006" s="5" t="n">
        <v>46230.4277777778</v>
      </c>
      <c r="C1006" s="3" t="s">
        <v>30</v>
      </c>
      <c r="D1006" s="3" t="s">
        <v>51</v>
      </c>
      <c r="E1006" s="3" t="s">
        <v>52</v>
      </c>
      <c r="F1006" s="3" t="s">
        <v>53</v>
      </c>
      <c r="G1006" s="3" t="s">
        <v>54</v>
      </c>
      <c r="H1006" s="3" t="s">
        <v>2147</v>
      </c>
      <c r="I1006" s="3" t="n">
        <v>4</v>
      </c>
      <c r="J1006" s="3" t="n">
        <v>3</v>
      </c>
      <c r="K1006" s="3" t="n">
        <v>5</v>
      </c>
      <c r="L1006" s="3" t="n">
        <v>3</v>
      </c>
      <c r="M1006" s="3" t="n">
        <v>4</v>
      </c>
      <c r="N1006" s="3" t="n">
        <v>4</v>
      </c>
      <c r="O1006" s="6" t="b">
        <f aca="false">FALSE()</f>
        <v>0</v>
      </c>
      <c r="P1006" s="3"/>
      <c r="Q1006" s="5" t="n">
        <v>46230.4284722222</v>
      </c>
      <c r="R1006" s="5" t="n">
        <v>46230.55625</v>
      </c>
      <c r="S1006" s="3" t="s">
        <v>1699</v>
      </c>
      <c r="T1006" s="7" t="n">
        <f aca="false">ROUND(MIN(IF(OR(O1006=TRUE(),O1006="TRUE",O1006="Yes"),59,100),(I1006*Rubric!$C$2+J1006*Rubric!$C$3+K1006*Rubric!$C$4+L1006*Rubric!$C$5+M1006*Rubric!$C$6+N1006*Rubric!$C$7)/5),1)</f>
        <v>76</v>
      </c>
      <c r="U1006" s="8" t="str">
        <f aca="false">LOOKUP(T1006,Bands!$A$2:$A$6,Bands!$B$2:$B$6)</f>
        <v>Meets Expectations</v>
      </c>
      <c r="V1006" s="8" t="n">
        <f aca="false">IF(Q1006="","",ROUND((Q1006-B1006)*24,1))</f>
        <v>0</v>
      </c>
    </row>
    <row r="1007" customFormat="false" ht="15" hidden="false" customHeight="false" outlineLevel="0" collapsed="false">
      <c r="A1007" s="3" t="s">
        <v>2148</v>
      </c>
      <c r="B1007" s="5" t="n">
        <v>46230.4243055556</v>
      </c>
      <c r="C1007" s="3" t="s">
        <v>39</v>
      </c>
      <c r="D1007" s="3" t="s">
        <v>251</v>
      </c>
      <c r="E1007" s="3" t="s">
        <v>252</v>
      </c>
      <c r="F1007" s="3" t="s">
        <v>53</v>
      </c>
      <c r="G1007" s="3" t="s">
        <v>42</v>
      </c>
      <c r="H1007" s="3" t="s">
        <v>2149</v>
      </c>
      <c r="I1007" s="3" t="n">
        <v>3</v>
      </c>
      <c r="J1007" s="3" t="n">
        <v>4</v>
      </c>
      <c r="K1007" s="3" t="n">
        <v>3</v>
      </c>
      <c r="L1007" s="3" t="n">
        <v>4</v>
      </c>
      <c r="M1007" s="3" t="n">
        <v>4</v>
      </c>
      <c r="N1007" s="3" t="n">
        <v>4</v>
      </c>
      <c r="O1007" s="6" t="b">
        <f aca="false">FALSE()</f>
        <v>0</v>
      </c>
      <c r="P1007" s="3"/>
      <c r="Q1007" s="5" t="n">
        <v>46230.4263888889</v>
      </c>
      <c r="R1007" s="5" t="n">
        <v>46230.4340277778</v>
      </c>
      <c r="S1007" s="3" t="s">
        <v>1699</v>
      </c>
      <c r="T1007" s="7" t="n">
        <f aca="false">ROUND(MIN(IF(OR(O1007=TRUE(),O1007="TRUE",O1007="Yes"),59,100),(I1007*Rubric!$C$2+J1007*Rubric!$C$3+K1007*Rubric!$C$4+L1007*Rubric!$C$5+M1007*Rubric!$C$6+N1007*Rubric!$C$7)/5),1)</f>
        <v>73</v>
      </c>
      <c r="U1007" s="8" t="str">
        <f aca="false">LOOKUP(T1007,Bands!$A$2:$A$6,Bands!$B$2:$B$6)</f>
        <v>Meets Expectations</v>
      </c>
      <c r="V1007" s="8" t="n">
        <f aca="false">IF(Q1007="","",ROUND((Q1007-B1007)*24,1))</f>
        <v>0</v>
      </c>
    </row>
    <row r="1008" customFormat="false" ht="15" hidden="false" customHeight="false" outlineLevel="0" collapsed="false">
      <c r="A1008" s="3" t="s">
        <v>2150</v>
      </c>
      <c r="B1008" s="5" t="n">
        <v>46230.4208333333</v>
      </c>
      <c r="C1008" s="3" t="s">
        <v>30</v>
      </c>
      <c r="D1008" s="3" t="s">
        <v>105</v>
      </c>
      <c r="E1008" s="3" t="s">
        <v>106</v>
      </c>
      <c r="F1008" s="3" t="s">
        <v>65</v>
      </c>
      <c r="G1008" s="3" t="s">
        <v>54</v>
      </c>
      <c r="H1008" s="3" t="s">
        <v>2151</v>
      </c>
      <c r="I1008" s="3" t="n">
        <v>5</v>
      </c>
      <c r="J1008" s="3" t="n">
        <v>2</v>
      </c>
      <c r="K1008" s="3" t="n">
        <v>4</v>
      </c>
      <c r="L1008" s="3" t="n">
        <v>4</v>
      </c>
      <c r="M1008" s="3" t="n">
        <v>4</v>
      </c>
      <c r="N1008" s="3" t="n">
        <v>4</v>
      </c>
      <c r="O1008" s="6" t="b">
        <f aca="false">FALSE()</f>
        <v>0</v>
      </c>
      <c r="P1008" s="3" t="s">
        <v>56</v>
      </c>
      <c r="Q1008" s="5" t="n">
        <v>46230.4229166667</v>
      </c>
      <c r="R1008" s="5" t="n">
        <v>46230.4666666667</v>
      </c>
      <c r="S1008" s="3" t="s">
        <v>1699</v>
      </c>
      <c r="T1008" s="7" t="n">
        <f aca="false">ROUND(MIN(IF(OR(O1008=TRUE(),O1008="TRUE",O1008="Yes"),59,100),(I1008*Rubric!$C$2+J1008*Rubric!$C$3+K1008*Rubric!$C$4+L1008*Rubric!$C$5+M1008*Rubric!$C$6+N1008*Rubric!$C$7)/5),1)</f>
        <v>73</v>
      </c>
      <c r="U1008" s="8" t="str">
        <f aca="false">LOOKUP(T1008,Bands!$A$2:$A$6,Bands!$B$2:$B$6)</f>
        <v>Meets Expectations</v>
      </c>
      <c r="V1008" s="8" t="n">
        <f aca="false">IF(Q1008="","",ROUND((Q1008-B1008)*24,1))</f>
        <v>0.1</v>
      </c>
    </row>
    <row r="1009" customFormat="false" ht="15" hidden="false" customHeight="false" outlineLevel="0" collapsed="false">
      <c r="A1009" s="3" t="s">
        <v>2152</v>
      </c>
      <c r="B1009" s="5" t="n">
        <v>46230.5868055556</v>
      </c>
      <c r="C1009" s="3" t="s">
        <v>30</v>
      </c>
      <c r="D1009" s="3" t="s">
        <v>111</v>
      </c>
      <c r="E1009" s="3" t="s">
        <v>112</v>
      </c>
      <c r="F1009" s="3" t="s">
        <v>33</v>
      </c>
      <c r="G1009" s="3" t="s">
        <v>42</v>
      </c>
      <c r="H1009" s="3" t="s">
        <v>2153</v>
      </c>
      <c r="I1009" s="3" t="n">
        <v>3</v>
      </c>
      <c r="J1009" s="3" t="n">
        <v>5</v>
      </c>
      <c r="K1009" s="3" t="n">
        <v>5</v>
      </c>
      <c r="L1009" s="3" t="n">
        <v>4</v>
      </c>
      <c r="M1009" s="3" t="n">
        <v>4</v>
      </c>
      <c r="N1009" s="3" t="n">
        <v>4</v>
      </c>
      <c r="O1009" s="6" t="b">
        <f aca="false">FALSE()</f>
        <v>0</v>
      </c>
      <c r="P1009" s="3"/>
      <c r="Q1009" s="5" t="n">
        <v>46230.5881944444</v>
      </c>
      <c r="R1009" s="5" t="n">
        <v>46230.9423611111</v>
      </c>
      <c r="S1009" s="3" t="s">
        <v>1699</v>
      </c>
      <c r="T1009" s="7" t="n">
        <f aca="false">ROUND(MIN(IF(OR(O1009=TRUE(),O1009="TRUE",O1009="Yes"),59,100),(I1009*Rubric!$C$2+J1009*Rubric!$C$3+K1009*Rubric!$C$4+L1009*Rubric!$C$5+M1009*Rubric!$C$6+N1009*Rubric!$C$7)/5),1)</f>
        <v>86</v>
      </c>
      <c r="U1009" s="8" t="str">
        <f aca="false">LOOKUP(T1009,Bands!$A$2:$A$6,Bands!$B$2:$B$6)</f>
        <v>Solid Performance</v>
      </c>
      <c r="V1009" s="8" t="n">
        <f aca="false">IF(Q1009="","",ROUND((Q1009-B1009)*24,1))</f>
        <v>0</v>
      </c>
    </row>
    <row r="1010" customFormat="false" ht="15" hidden="false" customHeight="false" outlineLevel="0" collapsed="false">
      <c r="A1010" s="3" t="s">
        <v>2154</v>
      </c>
      <c r="B1010" s="5" t="n">
        <v>46231.4055555556</v>
      </c>
      <c r="C1010" s="3" t="s">
        <v>68</v>
      </c>
      <c r="D1010" s="3" t="s">
        <v>222</v>
      </c>
      <c r="E1010" s="3" t="s">
        <v>223</v>
      </c>
      <c r="F1010" s="3" t="s">
        <v>53</v>
      </c>
      <c r="G1010" s="3" t="s">
        <v>54</v>
      </c>
      <c r="H1010" s="3" t="s">
        <v>2155</v>
      </c>
      <c r="I1010" s="3" t="n">
        <v>5</v>
      </c>
      <c r="J1010" s="3" t="n">
        <v>3</v>
      </c>
      <c r="K1010" s="3" t="n">
        <v>4</v>
      </c>
      <c r="L1010" s="3" t="n">
        <v>4</v>
      </c>
      <c r="M1010" s="3" t="n">
        <v>4</v>
      </c>
      <c r="N1010" s="3" t="n">
        <v>3</v>
      </c>
      <c r="O1010" s="6" t="b">
        <f aca="false">FALSE()</f>
        <v>0</v>
      </c>
      <c r="P1010" s="3"/>
      <c r="Q1010" s="5" t="n">
        <v>46231.4076388889</v>
      </c>
      <c r="R1010" s="5" t="n">
        <v>46232.19375</v>
      </c>
      <c r="S1010" s="3" t="s">
        <v>1699</v>
      </c>
      <c r="T1010" s="7" t="n">
        <f aca="false">ROUND(MIN(IF(OR(O1010=TRUE(),O1010="TRUE",O1010="Yes"),59,100),(I1010*Rubric!$C$2+J1010*Rubric!$C$3+K1010*Rubric!$C$4+L1010*Rubric!$C$5+M1010*Rubric!$C$6+N1010*Rubric!$C$7)/5),1)</f>
        <v>75</v>
      </c>
      <c r="U1010" s="8" t="str">
        <f aca="false">LOOKUP(T1010,Bands!$A$2:$A$6,Bands!$B$2:$B$6)</f>
        <v>Meets Expectations</v>
      </c>
      <c r="V1010" s="8" t="n">
        <f aca="false">IF(Q1010="","",ROUND((Q1010-B1010)*24,1))</f>
        <v>0</v>
      </c>
    </row>
    <row r="1011" customFormat="false" ht="15" hidden="false" customHeight="false" outlineLevel="0" collapsed="false">
      <c r="A1011" s="3" t="s">
        <v>2156</v>
      </c>
      <c r="B1011" s="5" t="n">
        <v>46231.3763888889</v>
      </c>
      <c r="C1011" s="3" t="s">
        <v>30</v>
      </c>
      <c r="D1011" s="3" t="s">
        <v>40</v>
      </c>
      <c r="E1011" s="3" t="s">
        <v>41</v>
      </c>
      <c r="F1011" s="3" t="s">
        <v>33</v>
      </c>
      <c r="G1011" s="3" t="s">
        <v>54</v>
      </c>
      <c r="H1011" s="3" t="s">
        <v>2157</v>
      </c>
      <c r="I1011" s="3" t="n">
        <v>4</v>
      </c>
      <c r="J1011" s="3" t="n">
        <v>5</v>
      </c>
      <c r="K1011" s="3" t="n">
        <v>4</v>
      </c>
      <c r="L1011" s="3" t="n">
        <v>4</v>
      </c>
      <c r="M1011" s="3" t="n">
        <v>5</v>
      </c>
      <c r="N1011" s="3" t="n">
        <v>4</v>
      </c>
      <c r="O1011" s="6" t="b">
        <f aca="false">FALSE()</f>
        <v>0</v>
      </c>
      <c r="P1011" s="3"/>
      <c r="Q1011" s="5" t="n">
        <v>46231.3784722222</v>
      </c>
      <c r="R1011" s="5" t="n">
        <v>46231.80625</v>
      </c>
      <c r="S1011" s="3" t="s">
        <v>1699</v>
      </c>
      <c r="T1011" s="7" t="n">
        <f aca="false">ROUND(MIN(IF(OR(O1011=TRUE(),O1011="TRUE",O1011="Yes"),59,100),(I1011*Rubric!$C$2+J1011*Rubric!$C$3+K1011*Rubric!$C$4+L1011*Rubric!$C$5+M1011*Rubric!$C$6+N1011*Rubric!$C$7)/5),1)</f>
        <v>87</v>
      </c>
      <c r="U1011" s="8" t="str">
        <f aca="false">LOOKUP(T1011,Bands!$A$2:$A$6,Bands!$B$2:$B$6)</f>
        <v>Solid Performance</v>
      </c>
      <c r="V1011" s="8" t="n">
        <f aca="false">IF(Q1011="","",ROUND((Q1011-B1011)*24,1))</f>
        <v>0</v>
      </c>
    </row>
    <row r="1012" customFormat="false" ht="15" hidden="false" customHeight="false" outlineLevel="0" collapsed="false">
      <c r="A1012" s="3" t="s">
        <v>2158</v>
      </c>
      <c r="B1012" s="5" t="n">
        <v>46231.5881944444</v>
      </c>
      <c r="C1012" s="3" t="s">
        <v>39</v>
      </c>
      <c r="D1012" s="3" t="s">
        <v>293</v>
      </c>
      <c r="E1012" s="3" t="s">
        <v>294</v>
      </c>
      <c r="F1012" s="3" t="s">
        <v>65</v>
      </c>
      <c r="G1012" s="3" t="s">
        <v>42</v>
      </c>
      <c r="H1012" s="3" t="s">
        <v>2159</v>
      </c>
      <c r="I1012" s="3" t="n">
        <v>5</v>
      </c>
      <c r="J1012" s="3" t="n">
        <v>5</v>
      </c>
      <c r="K1012" s="3" t="n">
        <v>5</v>
      </c>
      <c r="L1012" s="3" t="n">
        <v>3</v>
      </c>
      <c r="M1012" s="3" t="n">
        <v>5</v>
      </c>
      <c r="N1012" s="3" t="n">
        <v>5</v>
      </c>
      <c r="O1012" s="6" t="b">
        <f aca="false">FALSE()</f>
        <v>0</v>
      </c>
      <c r="P1012" s="3"/>
      <c r="Q1012" s="5" t="n">
        <v>46231.5902777778</v>
      </c>
      <c r="R1012" s="5" t="n">
        <v>46231.6270833333</v>
      </c>
      <c r="S1012" s="3" t="s">
        <v>1699</v>
      </c>
      <c r="T1012" s="7" t="n">
        <f aca="false">ROUND(MIN(IF(OR(O1012=TRUE(),O1012="TRUE",O1012="Yes"),59,100),(I1012*Rubric!$C$2+J1012*Rubric!$C$3+K1012*Rubric!$C$4+L1012*Rubric!$C$5+M1012*Rubric!$C$6+N1012*Rubric!$C$7)/5),1)</f>
        <v>94</v>
      </c>
      <c r="U1012" s="8" t="str">
        <f aca="false">LOOKUP(T1012,Bands!$A$2:$A$6,Bands!$B$2:$B$6)</f>
        <v>Outstanding</v>
      </c>
      <c r="V1012" s="8" t="n">
        <f aca="false">IF(Q1012="","",ROUND((Q1012-B1012)*24,1))</f>
        <v>0.1</v>
      </c>
    </row>
    <row r="1013" customFormat="false" ht="15" hidden="false" customHeight="false" outlineLevel="0" collapsed="false">
      <c r="A1013" s="3" t="s">
        <v>2160</v>
      </c>
      <c r="B1013" s="5" t="n">
        <v>46231.6604166667</v>
      </c>
      <c r="C1013" s="3" t="s">
        <v>68</v>
      </c>
      <c r="D1013" s="3" t="s">
        <v>307</v>
      </c>
      <c r="E1013" s="3" t="s">
        <v>308</v>
      </c>
      <c r="F1013" s="3" t="s">
        <v>33</v>
      </c>
      <c r="G1013" s="3" t="s">
        <v>34</v>
      </c>
      <c r="H1013" s="3" t="s">
        <v>2161</v>
      </c>
      <c r="I1013" s="3" t="n">
        <v>5</v>
      </c>
      <c r="J1013" s="3" t="n">
        <v>4</v>
      </c>
      <c r="K1013" s="3" t="n">
        <v>5</v>
      </c>
      <c r="L1013" s="3" t="n">
        <v>5</v>
      </c>
      <c r="M1013" s="3" t="n">
        <v>5</v>
      </c>
      <c r="N1013" s="3" t="n">
        <v>5</v>
      </c>
      <c r="O1013" s="6" t="b">
        <f aca="false">FALSE()</f>
        <v>0</v>
      </c>
      <c r="P1013" s="3"/>
      <c r="Q1013" s="5" t="n">
        <v>46231.6611111111</v>
      </c>
      <c r="R1013" s="5" t="n">
        <v>46231.6638888889</v>
      </c>
      <c r="S1013" s="3" t="s">
        <v>1699</v>
      </c>
      <c r="T1013" s="7" t="n">
        <f aca="false">ROUND(MIN(IF(OR(O1013=TRUE(),O1013="TRUE",O1013="Yes"),59,100),(I1013*Rubric!$C$2+J1013*Rubric!$C$3+K1013*Rubric!$C$4+L1013*Rubric!$C$5+M1013*Rubric!$C$6+N1013*Rubric!$C$7)/5),1)</f>
        <v>95</v>
      </c>
      <c r="U1013" s="8" t="str">
        <f aca="false">LOOKUP(T1013,Bands!$A$2:$A$6,Bands!$B$2:$B$6)</f>
        <v>Outstanding</v>
      </c>
      <c r="V1013" s="8" t="n">
        <f aca="false">IF(Q1013="","",ROUND((Q1013-B1013)*24,1))</f>
        <v>0</v>
      </c>
    </row>
    <row r="1014" customFormat="false" ht="15" hidden="false" customHeight="false" outlineLevel="0" collapsed="false">
      <c r="A1014" s="3" t="s">
        <v>2162</v>
      </c>
      <c r="B1014" s="5" t="n">
        <v>46231.6548611111</v>
      </c>
      <c r="C1014" s="3" t="s">
        <v>30</v>
      </c>
      <c r="D1014" s="3" t="s">
        <v>202</v>
      </c>
      <c r="E1014" s="3" t="s">
        <v>203</v>
      </c>
      <c r="F1014" s="3" t="s">
        <v>53</v>
      </c>
      <c r="G1014" s="3" t="s">
        <v>42</v>
      </c>
      <c r="H1014" s="3" t="s">
        <v>2163</v>
      </c>
      <c r="I1014" s="3" t="n">
        <v>3</v>
      </c>
      <c r="J1014" s="3" t="n">
        <v>4</v>
      </c>
      <c r="K1014" s="3" t="n">
        <v>4</v>
      </c>
      <c r="L1014" s="3" t="n">
        <v>3</v>
      </c>
      <c r="M1014" s="3" t="n">
        <v>3</v>
      </c>
      <c r="N1014" s="3" t="n">
        <v>4</v>
      </c>
      <c r="O1014" s="6" t="b">
        <f aca="false">FALSE()</f>
        <v>0</v>
      </c>
      <c r="P1014" s="3"/>
      <c r="Q1014" s="5" t="n">
        <v>46231.6569444445</v>
      </c>
      <c r="R1014" s="5" t="n">
        <v>46231.7180555556</v>
      </c>
      <c r="S1014" s="3" t="s">
        <v>1699</v>
      </c>
      <c r="T1014" s="7" t="n">
        <f aca="false">ROUND(MIN(IF(OR(O1014=TRUE(),O1014="TRUE",O1014="Yes"),59,100),(I1014*Rubric!$C$2+J1014*Rubric!$C$3+K1014*Rubric!$C$4+L1014*Rubric!$C$5+M1014*Rubric!$C$6+N1014*Rubric!$C$7)/5),1)</f>
        <v>72</v>
      </c>
      <c r="U1014" s="8" t="str">
        <f aca="false">LOOKUP(T1014,Bands!$A$2:$A$6,Bands!$B$2:$B$6)</f>
        <v>Meets Expectations</v>
      </c>
      <c r="V1014" s="8" t="n">
        <f aca="false">IF(Q1014="","",ROUND((Q1014-B1014)*24,1))</f>
        <v>0.1</v>
      </c>
    </row>
    <row r="1015" customFormat="false" ht="15" hidden="false" customHeight="false" outlineLevel="0" collapsed="false">
      <c r="A1015" s="3" t="s">
        <v>2164</v>
      </c>
      <c r="B1015" s="5" t="n">
        <v>46231.5729166667</v>
      </c>
      <c r="C1015" s="3" t="s">
        <v>30</v>
      </c>
      <c r="D1015" s="3" t="s">
        <v>96</v>
      </c>
      <c r="E1015" s="3" t="s">
        <v>97</v>
      </c>
      <c r="F1015" s="3" t="s">
        <v>33</v>
      </c>
      <c r="G1015" s="3" t="s">
        <v>42</v>
      </c>
      <c r="H1015" s="3" t="s">
        <v>2165</v>
      </c>
      <c r="I1015" s="3" t="n">
        <v>4</v>
      </c>
      <c r="J1015" s="3" t="n">
        <v>2</v>
      </c>
      <c r="K1015" s="3" t="n">
        <v>5</v>
      </c>
      <c r="L1015" s="3" t="n">
        <v>5</v>
      </c>
      <c r="M1015" s="3" t="n">
        <v>5</v>
      </c>
      <c r="N1015" s="3" t="n">
        <v>5</v>
      </c>
      <c r="O1015" s="6" t="b">
        <f aca="false">FALSE()</f>
        <v>0</v>
      </c>
      <c r="P1015" s="3" t="s">
        <v>56</v>
      </c>
      <c r="Q1015" s="5" t="n">
        <v>46231.5743055556</v>
      </c>
      <c r="R1015" s="5" t="n">
        <v>46231.6090277778</v>
      </c>
      <c r="S1015" s="3" t="s">
        <v>1699</v>
      </c>
      <c r="T1015" s="7" t="n">
        <f aca="false">ROUND(MIN(IF(OR(O1015=TRUE(),O1015="TRUE",O1015="Yes"),59,100),(I1015*Rubric!$C$2+J1015*Rubric!$C$3+K1015*Rubric!$C$4+L1015*Rubric!$C$5+M1015*Rubric!$C$6+N1015*Rubric!$C$7)/5),1)</f>
        <v>82</v>
      </c>
      <c r="U1015" s="8" t="str">
        <f aca="false">LOOKUP(T1015,Bands!$A$2:$A$6,Bands!$B$2:$B$6)</f>
        <v>Solid Performance</v>
      </c>
      <c r="V1015" s="8" t="n">
        <f aca="false">IF(Q1015="","",ROUND((Q1015-B1015)*24,1))</f>
        <v>0</v>
      </c>
    </row>
    <row r="1016" customFormat="false" ht="15" hidden="false" customHeight="false" outlineLevel="0" collapsed="false">
      <c r="A1016" s="3" t="s">
        <v>2166</v>
      </c>
      <c r="B1016" s="5" t="n">
        <v>46231.3798611111</v>
      </c>
      <c r="C1016" s="3" t="s">
        <v>68</v>
      </c>
      <c r="D1016" s="3" t="s">
        <v>137</v>
      </c>
      <c r="E1016" s="3" t="s">
        <v>138</v>
      </c>
      <c r="F1016" s="3" t="s">
        <v>65</v>
      </c>
      <c r="G1016" s="3" t="s">
        <v>42</v>
      </c>
      <c r="H1016" s="3" t="s">
        <v>2167</v>
      </c>
      <c r="I1016" s="3" t="n">
        <v>4</v>
      </c>
      <c r="J1016" s="3" t="n">
        <v>5</v>
      </c>
      <c r="K1016" s="3" t="n">
        <v>4</v>
      </c>
      <c r="L1016" s="3" t="n">
        <v>5</v>
      </c>
      <c r="M1016" s="3" t="n">
        <v>5</v>
      </c>
      <c r="N1016" s="3" t="n">
        <v>4</v>
      </c>
      <c r="O1016" s="6" t="b">
        <f aca="false">FALSE()</f>
        <v>0</v>
      </c>
      <c r="P1016" s="3"/>
      <c r="Q1016" s="5" t="n">
        <v>46231.3805555556</v>
      </c>
      <c r="R1016" s="5" t="n">
        <v>46231.3902777778</v>
      </c>
      <c r="S1016" s="3" t="s">
        <v>1699</v>
      </c>
      <c r="T1016" s="7" t="n">
        <f aca="false">ROUND(MIN(IF(OR(O1016=TRUE(),O1016="TRUE",O1016="Yes"),59,100),(I1016*Rubric!$C$2+J1016*Rubric!$C$3+K1016*Rubric!$C$4+L1016*Rubric!$C$5+M1016*Rubric!$C$6+N1016*Rubric!$C$7)/5),1)</f>
        <v>90</v>
      </c>
      <c r="U1016" s="8" t="str">
        <f aca="false">LOOKUP(T1016,Bands!$A$2:$A$6,Bands!$B$2:$B$6)</f>
        <v>Outstanding</v>
      </c>
      <c r="V1016" s="8" t="n">
        <f aca="false">IF(Q1016="","",ROUND((Q1016-B1016)*24,1))</f>
        <v>0</v>
      </c>
    </row>
    <row r="1017" customFormat="false" ht="15" hidden="false" customHeight="false" outlineLevel="0" collapsed="false">
      <c r="A1017" s="3" t="s">
        <v>2168</v>
      </c>
      <c r="B1017" s="5" t="n">
        <v>46231.6229166667</v>
      </c>
      <c r="C1017" s="3" t="s">
        <v>68</v>
      </c>
      <c r="D1017" s="3" t="s">
        <v>251</v>
      </c>
      <c r="E1017" s="3" t="s">
        <v>252</v>
      </c>
      <c r="F1017" s="3" t="s">
        <v>53</v>
      </c>
      <c r="G1017" s="3" t="s">
        <v>42</v>
      </c>
      <c r="H1017" s="3" t="s">
        <v>2169</v>
      </c>
      <c r="I1017" s="3" t="n">
        <v>4</v>
      </c>
      <c r="J1017" s="3" t="n">
        <v>4</v>
      </c>
      <c r="K1017" s="3" t="n">
        <v>4</v>
      </c>
      <c r="L1017" s="3" t="n">
        <v>3</v>
      </c>
      <c r="M1017" s="3" t="n">
        <v>3</v>
      </c>
      <c r="N1017" s="3" t="n">
        <v>5</v>
      </c>
      <c r="O1017" s="6" t="b">
        <f aca="false">FALSE()</f>
        <v>0</v>
      </c>
      <c r="P1017" s="3"/>
      <c r="Q1017" s="5" t="n">
        <v>46231.6236111111</v>
      </c>
      <c r="R1017" s="5" t="n">
        <v>46231.8097222222</v>
      </c>
      <c r="S1017" s="3" t="s">
        <v>1699</v>
      </c>
      <c r="T1017" s="7" t="n">
        <f aca="false">ROUND(MIN(IF(OR(O1017=TRUE(),O1017="TRUE",O1017="Yes"),59,100),(I1017*Rubric!$C$2+J1017*Rubric!$C$3+K1017*Rubric!$C$4+L1017*Rubric!$C$5+M1017*Rubric!$C$6+N1017*Rubric!$C$7)/5),1)</f>
        <v>78</v>
      </c>
      <c r="U1017" s="8" t="str">
        <f aca="false">LOOKUP(T1017,Bands!$A$2:$A$6,Bands!$B$2:$B$6)</f>
        <v>Meets Expectations</v>
      </c>
      <c r="V1017" s="8" t="n">
        <f aca="false">IF(Q1017="","",ROUND((Q1017-B1017)*24,1))</f>
        <v>0</v>
      </c>
    </row>
    <row r="1018" customFormat="false" ht="15" hidden="false" customHeight="false" outlineLevel="0" collapsed="false">
      <c r="A1018" s="3" t="s">
        <v>2170</v>
      </c>
      <c r="B1018" s="5" t="n">
        <v>46231.5034722222</v>
      </c>
      <c r="C1018" s="3" t="s">
        <v>68</v>
      </c>
      <c r="D1018" s="3" t="s">
        <v>115</v>
      </c>
      <c r="E1018" s="3" t="s">
        <v>116</v>
      </c>
      <c r="F1018" s="3" t="s">
        <v>33</v>
      </c>
      <c r="G1018" s="3" t="s">
        <v>42</v>
      </c>
      <c r="H1018" s="3" t="s">
        <v>2171</v>
      </c>
      <c r="I1018" s="3" t="n">
        <v>5</v>
      </c>
      <c r="J1018" s="3" t="n">
        <v>4</v>
      </c>
      <c r="K1018" s="3" t="n">
        <v>3</v>
      </c>
      <c r="L1018" s="3" t="n">
        <v>5</v>
      </c>
      <c r="M1018" s="3" t="n">
        <v>4</v>
      </c>
      <c r="N1018" s="3" t="n">
        <v>4</v>
      </c>
      <c r="O1018" s="6" t="b">
        <f aca="false">FALSE()</f>
        <v>0</v>
      </c>
      <c r="P1018" s="3"/>
      <c r="Q1018" s="5" t="n">
        <v>46231.5055555556</v>
      </c>
      <c r="R1018" s="5" t="n">
        <v>46231.7180555556</v>
      </c>
      <c r="S1018" s="3" t="s">
        <v>1699</v>
      </c>
      <c r="T1018" s="7" t="n">
        <f aca="false">ROUND(MIN(IF(OR(O1018=TRUE(),O1018="TRUE",O1018="Yes"),59,100),(I1018*Rubric!$C$2+J1018*Rubric!$C$3+K1018*Rubric!$C$4+L1018*Rubric!$C$5+M1018*Rubric!$C$6+N1018*Rubric!$C$7)/5),1)</f>
        <v>82</v>
      </c>
      <c r="U1018" s="8" t="str">
        <f aca="false">LOOKUP(T1018,Bands!$A$2:$A$6,Bands!$B$2:$B$6)</f>
        <v>Solid Performance</v>
      </c>
      <c r="V1018" s="8" t="n">
        <f aca="false">IF(Q1018="","",ROUND((Q1018-B1018)*24,1))</f>
        <v>0.1</v>
      </c>
    </row>
    <row r="1019" customFormat="false" ht="15" hidden="false" customHeight="false" outlineLevel="0" collapsed="false">
      <c r="A1019" s="3" t="s">
        <v>2172</v>
      </c>
      <c r="B1019" s="5" t="n">
        <v>46231.5291666667</v>
      </c>
      <c r="C1019" s="3" t="s">
        <v>68</v>
      </c>
      <c r="D1019" s="3" t="s">
        <v>238</v>
      </c>
      <c r="E1019" s="3" t="s">
        <v>239</v>
      </c>
      <c r="F1019" s="3" t="s">
        <v>33</v>
      </c>
      <c r="G1019" s="3" t="s">
        <v>54</v>
      </c>
      <c r="H1019" s="3" t="s">
        <v>2173</v>
      </c>
      <c r="I1019" s="3" t="n">
        <v>4</v>
      </c>
      <c r="J1019" s="3" t="n">
        <v>3</v>
      </c>
      <c r="K1019" s="3" t="n">
        <v>4</v>
      </c>
      <c r="L1019" s="3" t="n">
        <v>4</v>
      </c>
      <c r="M1019" s="3" t="n">
        <v>2</v>
      </c>
      <c r="N1019" s="3" t="n">
        <v>3</v>
      </c>
      <c r="O1019" s="6" t="b">
        <f aca="false">FALSE()</f>
        <v>0</v>
      </c>
      <c r="P1019" s="3" t="s">
        <v>103</v>
      </c>
      <c r="Q1019" s="5" t="n">
        <v>46231.5305555556</v>
      </c>
      <c r="R1019" s="5" t="n">
        <v>46231.7638888889</v>
      </c>
      <c r="S1019" s="3" t="s">
        <v>1699</v>
      </c>
      <c r="T1019" s="7" t="n">
        <f aca="false">ROUND(MIN(IF(OR(O1019=TRUE(),O1019="TRUE",O1019="Yes"),59,100),(I1019*Rubric!$C$2+J1019*Rubric!$C$3+K1019*Rubric!$C$4+L1019*Rubric!$C$5+M1019*Rubric!$C$6+N1019*Rubric!$C$7)/5),1)</f>
        <v>68</v>
      </c>
      <c r="U1019" s="8" t="str">
        <f aca="false">LOOKUP(T1019,Bands!$A$2:$A$6,Bands!$B$2:$B$6)</f>
        <v>Needs Improvement</v>
      </c>
      <c r="V1019" s="8" t="n">
        <f aca="false">IF(Q1019="","",ROUND((Q1019-B1019)*24,1))</f>
        <v>0</v>
      </c>
    </row>
    <row r="1020" customFormat="false" ht="15" hidden="false" customHeight="false" outlineLevel="0" collapsed="false">
      <c r="A1020" s="3" t="s">
        <v>2174</v>
      </c>
      <c r="B1020" s="5" t="n">
        <v>46231.4763888889</v>
      </c>
      <c r="C1020" s="3" t="s">
        <v>30</v>
      </c>
      <c r="D1020" s="3" t="s">
        <v>259</v>
      </c>
      <c r="E1020" s="3" t="s">
        <v>260</v>
      </c>
      <c r="F1020" s="3" t="s">
        <v>33</v>
      </c>
      <c r="G1020" s="3" t="s">
        <v>42</v>
      </c>
      <c r="H1020" s="3" t="s">
        <v>2175</v>
      </c>
      <c r="I1020" s="3" t="n">
        <v>5</v>
      </c>
      <c r="J1020" s="3" t="n">
        <v>5</v>
      </c>
      <c r="K1020" s="3" t="n">
        <v>3</v>
      </c>
      <c r="L1020" s="3" t="n">
        <v>5</v>
      </c>
      <c r="M1020" s="3" t="n">
        <v>5</v>
      </c>
      <c r="N1020" s="3" t="n">
        <v>4</v>
      </c>
      <c r="O1020" s="6" t="b">
        <f aca="false">FALSE()</f>
        <v>0</v>
      </c>
      <c r="P1020" s="3"/>
      <c r="Q1020" s="5" t="n">
        <v>46231.4784722222</v>
      </c>
      <c r="R1020" s="5" t="n">
        <v>46231.80625</v>
      </c>
      <c r="S1020" s="3" t="s">
        <v>1699</v>
      </c>
      <c r="T1020" s="7" t="n">
        <f aca="false">ROUND(MIN(IF(OR(O1020=TRUE(),O1020="TRUE",O1020="Yes"),59,100),(I1020*Rubric!$C$2+J1020*Rubric!$C$3+K1020*Rubric!$C$4+L1020*Rubric!$C$5+M1020*Rubric!$C$6+N1020*Rubric!$C$7)/5),1)</f>
        <v>89</v>
      </c>
      <c r="U1020" s="8" t="str">
        <f aca="false">LOOKUP(T1020,Bands!$A$2:$A$6,Bands!$B$2:$B$6)</f>
        <v>Solid Performance</v>
      </c>
      <c r="V1020" s="8" t="n">
        <f aca="false">IF(Q1020="","",ROUND((Q1020-B1020)*24,1))</f>
        <v>0</v>
      </c>
    </row>
    <row r="1021" customFormat="false" ht="15" hidden="false" customHeight="false" outlineLevel="0" collapsed="false">
      <c r="A1021" s="3" t="s">
        <v>2176</v>
      </c>
      <c r="B1021" s="5" t="n">
        <v>46231.4708333333</v>
      </c>
      <c r="C1021" s="3" t="s">
        <v>30</v>
      </c>
      <c r="D1021" s="3" t="s">
        <v>155</v>
      </c>
      <c r="E1021" s="3" t="s">
        <v>156</v>
      </c>
      <c r="F1021" s="3" t="s">
        <v>65</v>
      </c>
      <c r="G1021" s="3" t="s">
        <v>54</v>
      </c>
      <c r="H1021" s="3" t="s">
        <v>2177</v>
      </c>
      <c r="I1021" s="3" t="n">
        <v>3</v>
      </c>
      <c r="J1021" s="3" t="n">
        <v>4</v>
      </c>
      <c r="K1021" s="3" t="n">
        <v>4</v>
      </c>
      <c r="L1021" s="3" t="n">
        <v>4</v>
      </c>
      <c r="M1021" s="3" t="n">
        <v>4</v>
      </c>
      <c r="N1021" s="3" t="n">
        <v>5</v>
      </c>
      <c r="O1021" s="6" t="b">
        <f aca="false">FALSE()</f>
        <v>0</v>
      </c>
      <c r="P1021" s="3"/>
      <c r="Q1021" s="5" t="n">
        <v>46231.4715277778</v>
      </c>
      <c r="R1021" s="5" t="n">
        <v>46231.50625</v>
      </c>
      <c r="S1021" s="3" t="s">
        <v>1699</v>
      </c>
      <c r="T1021" s="7" t="n">
        <f aca="false">ROUND(MIN(IF(OR(O1021=TRUE(),O1021="TRUE",O1021="Yes"),59,100),(I1021*Rubric!$C$2+J1021*Rubric!$C$3+K1021*Rubric!$C$4+L1021*Rubric!$C$5+M1021*Rubric!$C$6+N1021*Rubric!$C$7)/5),1)</f>
        <v>80</v>
      </c>
      <c r="U1021" s="8" t="str">
        <f aca="false">LOOKUP(T1021,Bands!$A$2:$A$6,Bands!$B$2:$B$6)</f>
        <v>Solid Performance</v>
      </c>
      <c r="V1021" s="8" t="n">
        <f aca="false">IF(Q1021="","",ROUND((Q1021-B1021)*24,1))</f>
        <v>0</v>
      </c>
    </row>
    <row r="1022" customFormat="false" ht="15" hidden="false" customHeight="false" outlineLevel="0" collapsed="false">
      <c r="A1022" s="3" t="s">
        <v>2178</v>
      </c>
      <c r="B1022" s="5" t="n">
        <v>46232.4888888889</v>
      </c>
      <c r="C1022" s="3" t="s">
        <v>39</v>
      </c>
      <c r="D1022" s="3" t="s">
        <v>238</v>
      </c>
      <c r="E1022" s="3" t="s">
        <v>239</v>
      </c>
      <c r="F1022" s="3" t="s">
        <v>33</v>
      </c>
      <c r="G1022" s="3" t="s">
        <v>54</v>
      </c>
      <c r="H1022" s="3" t="s">
        <v>2179</v>
      </c>
      <c r="I1022" s="3" t="n">
        <v>4</v>
      </c>
      <c r="J1022" s="3" t="n">
        <v>4</v>
      </c>
      <c r="K1022" s="3" t="n">
        <v>3</v>
      </c>
      <c r="L1022" s="3" t="n">
        <v>3</v>
      </c>
      <c r="M1022" s="3" t="n">
        <v>3</v>
      </c>
      <c r="N1022" s="3" t="n">
        <v>5</v>
      </c>
      <c r="O1022" s="6" t="b">
        <f aca="false">FALSE()</f>
        <v>0</v>
      </c>
      <c r="P1022" s="3"/>
      <c r="Q1022" s="5" t="n">
        <v>46232.4895833333</v>
      </c>
      <c r="R1022" s="5" t="n">
        <v>46232.6125</v>
      </c>
      <c r="S1022" s="3" t="s">
        <v>1699</v>
      </c>
      <c r="T1022" s="7" t="n">
        <f aca="false">ROUND(MIN(IF(OR(O1022=TRUE(),O1022="TRUE",O1022="Yes"),59,100),(I1022*Rubric!$C$2+J1022*Rubric!$C$3+K1022*Rubric!$C$4+L1022*Rubric!$C$5+M1022*Rubric!$C$6+N1022*Rubric!$C$7)/5),1)</f>
        <v>74</v>
      </c>
      <c r="U1022" s="8" t="str">
        <f aca="false">LOOKUP(T1022,Bands!$A$2:$A$6,Bands!$B$2:$B$6)</f>
        <v>Meets Expectations</v>
      </c>
      <c r="V1022" s="8" t="n">
        <f aca="false">IF(Q1022="","",ROUND((Q1022-B1022)*24,1))</f>
        <v>0</v>
      </c>
    </row>
    <row r="1023" customFormat="false" ht="15" hidden="false" customHeight="false" outlineLevel="0" collapsed="false">
      <c r="A1023" s="3" t="s">
        <v>2180</v>
      </c>
      <c r="B1023" s="5" t="n">
        <v>46232.5888888889</v>
      </c>
      <c r="C1023" s="3" t="s">
        <v>68</v>
      </c>
      <c r="D1023" s="3" t="s">
        <v>96</v>
      </c>
      <c r="E1023" s="3" t="s">
        <v>97</v>
      </c>
      <c r="F1023" s="3" t="s">
        <v>33</v>
      </c>
      <c r="G1023" s="3" t="s">
        <v>54</v>
      </c>
      <c r="H1023" s="3" t="s">
        <v>2181</v>
      </c>
      <c r="I1023" s="3" t="n">
        <v>5</v>
      </c>
      <c r="J1023" s="3" t="n">
        <v>4</v>
      </c>
      <c r="K1023" s="3" t="n">
        <v>4</v>
      </c>
      <c r="L1023" s="3" t="n">
        <v>5</v>
      </c>
      <c r="M1023" s="3" t="n">
        <v>5</v>
      </c>
      <c r="N1023" s="3" t="n">
        <v>5</v>
      </c>
      <c r="O1023" s="6" t="b">
        <f aca="false">FALSE()</f>
        <v>0</v>
      </c>
      <c r="P1023" s="3"/>
      <c r="Q1023" s="5" t="n">
        <v>46232.5902777778</v>
      </c>
      <c r="R1023" s="5" t="n">
        <v>46232.7048611111</v>
      </c>
      <c r="S1023" s="3" t="s">
        <v>1699</v>
      </c>
      <c r="T1023" s="7" t="n">
        <f aca="false">ROUND(MIN(IF(OR(O1023=TRUE(),O1023="TRUE",O1023="Yes"),59,100),(I1023*Rubric!$C$2+J1023*Rubric!$C$3+K1023*Rubric!$C$4+L1023*Rubric!$C$5+M1023*Rubric!$C$6+N1023*Rubric!$C$7)/5),1)</f>
        <v>91</v>
      </c>
      <c r="U1023" s="8" t="str">
        <f aca="false">LOOKUP(T1023,Bands!$A$2:$A$6,Bands!$B$2:$B$6)</f>
        <v>Outstanding</v>
      </c>
      <c r="V1023" s="8" t="n">
        <f aca="false">IF(Q1023="","",ROUND((Q1023-B1023)*24,1))</f>
        <v>0</v>
      </c>
    </row>
    <row r="1024" customFormat="false" ht="15" hidden="false" customHeight="false" outlineLevel="0" collapsed="false">
      <c r="A1024" s="3" t="s">
        <v>2182</v>
      </c>
      <c r="B1024" s="5" t="n">
        <v>46232.6756944444</v>
      </c>
      <c r="C1024" s="3" t="s">
        <v>68</v>
      </c>
      <c r="D1024" s="3" t="s">
        <v>111</v>
      </c>
      <c r="E1024" s="3" t="s">
        <v>112</v>
      </c>
      <c r="F1024" s="3" t="s">
        <v>33</v>
      </c>
      <c r="G1024" s="3" t="s">
        <v>42</v>
      </c>
      <c r="H1024" s="3" t="s">
        <v>2183</v>
      </c>
      <c r="I1024" s="3" t="n">
        <v>3</v>
      </c>
      <c r="J1024" s="3" t="n">
        <v>4</v>
      </c>
      <c r="K1024" s="3" t="n">
        <v>5</v>
      </c>
      <c r="L1024" s="3" t="n">
        <v>4</v>
      </c>
      <c r="M1024" s="3" t="n">
        <v>5</v>
      </c>
      <c r="N1024" s="3" t="n">
        <v>4</v>
      </c>
      <c r="O1024" s="6" t="b">
        <f aca="false">FALSE()</f>
        <v>0</v>
      </c>
      <c r="P1024" s="3"/>
      <c r="Q1024" s="5" t="n">
        <v>46232.6770833333</v>
      </c>
      <c r="R1024" s="5" t="n">
        <v>46232.7979166667</v>
      </c>
      <c r="S1024" s="3" t="s">
        <v>1699</v>
      </c>
      <c r="T1024" s="7" t="n">
        <f aca="false">ROUND(MIN(IF(OR(O1024=TRUE(),O1024="TRUE",O1024="Yes"),59,100),(I1024*Rubric!$C$2+J1024*Rubric!$C$3+K1024*Rubric!$C$4+L1024*Rubric!$C$5+M1024*Rubric!$C$6+N1024*Rubric!$C$7)/5),1)</f>
        <v>83</v>
      </c>
      <c r="U1024" s="8" t="str">
        <f aca="false">LOOKUP(T1024,Bands!$A$2:$A$6,Bands!$B$2:$B$6)</f>
        <v>Solid Performance</v>
      </c>
      <c r="V1024" s="8" t="n">
        <f aca="false">IF(Q1024="","",ROUND((Q1024-B1024)*24,1))</f>
        <v>0</v>
      </c>
    </row>
    <row r="1025" customFormat="false" ht="15" hidden="false" customHeight="false" outlineLevel="0" collapsed="false">
      <c r="A1025" s="3" t="s">
        <v>2184</v>
      </c>
      <c r="B1025" s="5" t="n">
        <v>46232.5347222222</v>
      </c>
      <c r="C1025" s="3" t="s">
        <v>68</v>
      </c>
      <c r="D1025" s="3" t="s">
        <v>194</v>
      </c>
      <c r="E1025" s="3" t="s">
        <v>195</v>
      </c>
      <c r="F1025" s="3" t="s">
        <v>53</v>
      </c>
      <c r="G1025" s="3" t="s">
        <v>34</v>
      </c>
      <c r="H1025" s="3" t="s">
        <v>2185</v>
      </c>
      <c r="I1025" s="3" t="n">
        <v>5</v>
      </c>
      <c r="J1025" s="3" t="n">
        <v>4</v>
      </c>
      <c r="K1025" s="3" t="n">
        <v>4</v>
      </c>
      <c r="L1025" s="3" t="n">
        <v>3</v>
      </c>
      <c r="M1025" s="3" t="n">
        <v>4</v>
      </c>
      <c r="N1025" s="3" t="n">
        <v>5</v>
      </c>
      <c r="O1025" s="6" t="b">
        <f aca="false">FALSE()</f>
        <v>0</v>
      </c>
      <c r="P1025" s="3"/>
      <c r="Q1025" s="5" t="n">
        <v>46232.5368055556</v>
      </c>
      <c r="R1025" s="5" t="n">
        <v>46232.6479166667</v>
      </c>
      <c r="S1025" s="3" t="s">
        <v>1699</v>
      </c>
      <c r="T1025" s="7" t="n">
        <f aca="false">ROUND(MIN(IF(OR(O1025=TRUE(),O1025="TRUE",O1025="Yes"),59,100),(I1025*Rubric!$C$2+J1025*Rubric!$C$3+K1025*Rubric!$C$4+L1025*Rubric!$C$5+M1025*Rubric!$C$6+N1025*Rubric!$C$7)/5),1)</f>
        <v>83</v>
      </c>
      <c r="U1025" s="8" t="str">
        <f aca="false">LOOKUP(T1025,Bands!$A$2:$A$6,Bands!$B$2:$B$6)</f>
        <v>Solid Performance</v>
      </c>
      <c r="V1025" s="8" t="n">
        <f aca="false">IF(Q1025="","",ROUND((Q1025-B1025)*24,1))</f>
        <v>0.1</v>
      </c>
    </row>
    <row r="1026" customFormat="false" ht="15" hidden="false" customHeight="false" outlineLevel="0" collapsed="false">
      <c r="A1026" s="3" t="s">
        <v>2186</v>
      </c>
      <c r="B1026" s="5" t="n">
        <v>46232.5305555556</v>
      </c>
      <c r="C1026" s="3" t="s">
        <v>30</v>
      </c>
      <c r="D1026" s="3" t="s">
        <v>51</v>
      </c>
      <c r="E1026" s="3" t="s">
        <v>52</v>
      </c>
      <c r="F1026" s="3" t="s">
        <v>53</v>
      </c>
      <c r="G1026" s="3" t="s">
        <v>42</v>
      </c>
      <c r="H1026" s="3" t="s">
        <v>2187</v>
      </c>
      <c r="I1026" s="3" t="n">
        <v>4</v>
      </c>
      <c r="J1026" s="3" t="n">
        <v>4</v>
      </c>
      <c r="K1026" s="3" t="n">
        <v>4</v>
      </c>
      <c r="L1026" s="3" t="n">
        <v>4</v>
      </c>
      <c r="M1026" s="3" t="n">
        <v>5</v>
      </c>
      <c r="N1026" s="3" t="n">
        <v>3</v>
      </c>
      <c r="O1026" s="6" t="b">
        <f aca="false">FALSE()</f>
        <v>0</v>
      </c>
      <c r="P1026" s="3"/>
      <c r="Q1026" s="5" t="n">
        <v>46232.5326388889</v>
      </c>
      <c r="R1026" s="5" t="n">
        <v>46232.7902777778</v>
      </c>
      <c r="S1026" s="3" t="s">
        <v>1699</v>
      </c>
      <c r="T1026" s="7" t="n">
        <f aca="false">ROUND(MIN(IF(OR(O1026=TRUE(),O1026="TRUE",O1026="Yes"),59,100),(I1026*Rubric!$C$2+J1026*Rubric!$C$3+K1026*Rubric!$C$4+L1026*Rubric!$C$5+M1026*Rubric!$C$6+N1026*Rubric!$C$7)/5),1)</f>
        <v>79</v>
      </c>
      <c r="U1026" s="8" t="str">
        <f aca="false">LOOKUP(T1026,Bands!$A$2:$A$6,Bands!$B$2:$B$6)</f>
        <v>Meets Expectations</v>
      </c>
      <c r="V1026" s="8" t="n">
        <f aca="false">IF(Q1026="","",ROUND((Q1026-B1026)*24,1))</f>
        <v>0</v>
      </c>
    </row>
    <row r="1027" customFormat="false" ht="15" hidden="false" customHeight="false" outlineLevel="0" collapsed="false">
      <c r="A1027" s="3" t="s">
        <v>2188</v>
      </c>
      <c r="B1027" s="5" t="n">
        <v>46232.4798611111</v>
      </c>
      <c r="C1027" s="3" t="s">
        <v>68</v>
      </c>
      <c r="D1027" s="3" t="s">
        <v>222</v>
      </c>
      <c r="E1027" s="3" t="s">
        <v>223</v>
      </c>
      <c r="F1027" s="3" t="s">
        <v>53</v>
      </c>
      <c r="G1027" s="3" t="s">
        <v>54</v>
      </c>
      <c r="H1027" s="3" t="s">
        <v>2189</v>
      </c>
      <c r="I1027" s="3" t="n">
        <v>4</v>
      </c>
      <c r="J1027" s="3" t="n">
        <v>3</v>
      </c>
      <c r="K1027" s="3" t="n">
        <v>5</v>
      </c>
      <c r="L1027" s="3" t="n">
        <v>5</v>
      </c>
      <c r="M1027" s="3" t="n">
        <v>5</v>
      </c>
      <c r="N1027" s="3" t="n">
        <v>2</v>
      </c>
      <c r="O1027" s="6" t="b">
        <f aca="false">FALSE()</f>
        <v>0</v>
      </c>
      <c r="P1027" s="3" t="s">
        <v>36</v>
      </c>
      <c r="Q1027" s="5" t="n">
        <v>46232.48125</v>
      </c>
      <c r="R1027" s="5" t="n">
        <v>46232.6569444445</v>
      </c>
      <c r="S1027" s="3" t="s">
        <v>1699</v>
      </c>
      <c r="T1027" s="7" t="n">
        <f aca="false">ROUND(MIN(IF(OR(O1027=TRUE(),O1027="TRUE",O1027="Yes"),59,100),(I1027*Rubric!$C$2+J1027*Rubric!$C$3+K1027*Rubric!$C$4+L1027*Rubric!$C$5+M1027*Rubric!$C$6+N1027*Rubric!$C$7)/5),1)</f>
        <v>78</v>
      </c>
      <c r="U1027" s="8" t="str">
        <f aca="false">LOOKUP(T1027,Bands!$A$2:$A$6,Bands!$B$2:$B$6)</f>
        <v>Meets Expectations</v>
      </c>
      <c r="V1027" s="8" t="n">
        <f aca="false">IF(Q1027="","",ROUND((Q1027-B1027)*24,1))</f>
        <v>0</v>
      </c>
    </row>
    <row r="1028" customFormat="false" ht="15" hidden="false" customHeight="false" outlineLevel="0" collapsed="false">
      <c r="A1028" s="3" t="s">
        <v>2190</v>
      </c>
      <c r="B1028" s="5" t="n">
        <v>46232.3798611111</v>
      </c>
      <c r="C1028" s="3" t="s">
        <v>30</v>
      </c>
      <c r="D1028" s="3" t="s">
        <v>265</v>
      </c>
      <c r="E1028" s="3" t="s">
        <v>266</v>
      </c>
      <c r="F1028" s="3" t="s">
        <v>33</v>
      </c>
      <c r="G1028" s="3" t="s">
        <v>42</v>
      </c>
      <c r="H1028" s="3" t="s">
        <v>2191</v>
      </c>
      <c r="I1028" s="3" t="n">
        <v>3</v>
      </c>
      <c r="J1028" s="3" t="n">
        <v>3</v>
      </c>
      <c r="K1028" s="3" t="n">
        <v>4</v>
      </c>
      <c r="L1028" s="3" t="n">
        <v>3</v>
      </c>
      <c r="M1028" s="3" t="n">
        <v>4</v>
      </c>
      <c r="N1028" s="3" t="n">
        <v>3</v>
      </c>
      <c r="O1028" s="6" t="b">
        <f aca="false">FALSE()</f>
        <v>0</v>
      </c>
      <c r="P1028" s="3"/>
      <c r="Q1028" s="5" t="n">
        <v>46232.3819444445</v>
      </c>
      <c r="R1028" s="5" t="n">
        <v>46232.4902777778</v>
      </c>
      <c r="S1028" s="3" t="s">
        <v>1699</v>
      </c>
      <c r="T1028" s="7" t="n">
        <f aca="false">ROUND(MIN(IF(OR(O1028=TRUE(),O1028="TRUE",O1028="Yes"),59,100),(I1028*Rubric!$C$2+J1028*Rubric!$C$3+K1028*Rubric!$C$4+L1028*Rubric!$C$5+M1028*Rubric!$C$6+N1028*Rubric!$C$7)/5),1)</f>
        <v>66</v>
      </c>
      <c r="U1028" s="8" t="str">
        <f aca="false">LOOKUP(T1028,Bands!$A$2:$A$6,Bands!$B$2:$B$6)</f>
        <v>Needs Improvement</v>
      </c>
      <c r="V1028" s="8" t="n">
        <f aca="false">IF(Q1028="","",ROUND((Q1028-B1028)*24,1))</f>
        <v>0.1</v>
      </c>
    </row>
    <row r="1029" customFormat="false" ht="15" hidden="false" customHeight="false" outlineLevel="0" collapsed="false">
      <c r="A1029" s="3" t="s">
        <v>2192</v>
      </c>
      <c r="B1029" s="5" t="n">
        <v>46232.5</v>
      </c>
      <c r="C1029" s="3" t="s">
        <v>39</v>
      </c>
      <c r="D1029" s="3" t="s">
        <v>155</v>
      </c>
      <c r="E1029" s="3" t="s">
        <v>156</v>
      </c>
      <c r="F1029" s="3" t="s">
        <v>65</v>
      </c>
      <c r="G1029" s="3" t="s">
        <v>54</v>
      </c>
      <c r="H1029" s="3" t="s">
        <v>2193</v>
      </c>
      <c r="I1029" s="3" t="n">
        <v>3</v>
      </c>
      <c r="J1029" s="3" t="n">
        <v>4</v>
      </c>
      <c r="K1029" s="3" t="n">
        <v>4</v>
      </c>
      <c r="L1029" s="3" t="n">
        <v>4</v>
      </c>
      <c r="M1029" s="3" t="n">
        <v>4</v>
      </c>
      <c r="N1029" s="3" t="n">
        <v>4</v>
      </c>
      <c r="O1029" s="6" t="b">
        <f aca="false">FALSE()</f>
        <v>0</v>
      </c>
      <c r="P1029" s="3"/>
      <c r="Q1029" s="5" t="n">
        <v>46232.5020833333</v>
      </c>
      <c r="R1029" s="5" t="n">
        <v>46232.5201388889</v>
      </c>
      <c r="S1029" s="3" t="s">
        <v>1699</v>
      </c>
      <c r="T1029" s="7" t="n">
        <f aca="false">ROUND(MIN(IF(OR(O1029=TRUE(),O1029="TRUE",O1029="Yes"),59,100),(I1029*Rubric!$C$2+J1029*Rubric!$C$3+K1029*Rubric!$C$4+L1029*Rubric!$C$5+M1029*Rubric!$C$6+N1029*Rubric!$C$7)/5),1)</f>
        <v>77</v>
      </c>
      <c r="U1029" s="8" t="str">
        <f aca="false">LOOKUP(T1029,Bands!$A$2:$A$6,Bands!$B$2:$B$6)</f>
        <v>Meets Expectations</v>
      </c>
      <c r="V1029" s="8" t="n">
        <f aca="false">IF(Q1029="","",ROUND((Q1029-B1029)*24,1))</f>
        <v>0</v>
      </c>
    </row>
    <row r="1030" customFormat="false" ht="15" hidden="false" customHeight="false" outlineLevel="0" collapsed="false">
      <c r="A1030" s="3" t="s">
        <v>2194</v>
      </c>
      <c r="B1030" s="5" t="n">
        <v>46232.4076388889</v>
      </c>
      <c r="C1030" s="3" t="s">
        <v>39</v>
      </c>
      <c r="D1030" s="3" t="s">
        <v>81</v>
      </c>
      <c r="E1030" s="3" t="s">
        <v>82</v>
      </c>
      <c r="F1030" s="3" t="s">
        <v>65</v>
      </c>
      <c r="G1030" s="3" t="s">
        <v>54</v>
      </c>
      <c r="H1030" s="3" t="s">
        <v>2195</v>
      </c>
      <c r="I1030" s="3" t="n">
        <v>4</v>
      </c>
      <c r="J1030" s="3" t="n">
        <v>4</v>
      </c>
      <c r="K1030" s="3" t="n">
        <v>4</v>
      </c>
      <c r="L1030" s="3" t="n">
        <v>5</v>
      </c>
      <c r="M1030" s="3" t="n">
        <v>4</v>
      </c>
      <c r="N1030" s="3" t="n">
        <v>4</v>
      </c>
      <c r="O1030" s="6" t="b">
        <f aca="false">FALSE()</f>
        <v>0</v>
      </c>
      <c r="P1030" s="3"/>
      <c r="Q1030" s="5" t="n">
        <v>46232.4097222222</v>
      </c>
      <c r="R1030" s="5" t="n">
        <v>46232.5319444445</v>
      </c>
      <c r="S1030" s="3" t="s">
        <v>1699</v>
      </c>
      <c r="T1030" s="7" t="n">
        <f aca="false">ROUND(MIN(IF(OR(O1030=TRUE(),O1030="TRUE",O1030="Yes"),59,100),(I1030*Rubric!$C$2+J1030*Rubric!$C$3+K1030*Rubric!$C$4+L1030*Rubric!$C$5+M1030*Rubric!$C$6+N1030*Rubric!$C$7)/5),1)</f>
        <v>83</v>
      </c>
      <c r="U1030" s="8" t="str">
        <f aca="false">LOOKUP(T1030,Bands!$A$2:$A$6,Bands!$B$2:$B$6)</f>
        <v>Solid Performance</v>
      </c>
      <c r="V1030" s="8" t="n">
        <f aca="false">IF(Q1030="","",ROUND((Q1030-B1030)*24,1))</f>
        <v>0</v>
      </c>
    </row>
    <row r="1031" customFormat="false" ht="15" hidden="false" customHeight="false" outlineLevel="0" collapsed="false">
      <c r="A1031" s="3" t="s">
        <v>2196</v>
      </c>
      <c r="B1031" s="5" t="n">
        <v>46232.65625</v>
      </c>
      <c r="C1031" s="3" t="s">
        <v>30</v>
      </c>
      <c r="D1031" s="3" t="s">
        <v>145</v>
      </c>
      <c r="E1031" s="3" t="s">
        <v>146</v>
      </c>
      <c r="F1031" s="3" t="s">
        <v>33</v>
      </c>
      <c r="G1031" s="3" t="s">
        <v>42</v>
      </c>
      <c r="H1031" s="3" t="s">
        <v>2197</v>
      </c>
      <c r="I1031" s="3" t="n">
        <v>4</v>
      </c>
      <c r="J1031" s="3" t="n">
        <v>3</v>
      </c>
      <c r="K1031" s="3" t="n">
        <v>4</v>
      </c>
      <c r="L1031" s="3" t="n">
        <v>4</v>
      </c>
      <c r="M1031" s="3" t="n">
        <v>5</v>
      </c>
      <c r="N1031" s="3" t="n">
        <v>5</v>
      </c>
      <c r="O1031" s="6" t="b">
        <f aca="false">FALSE()</f>
        <v>0</v>
      </c>
      <c r="P1031" s="3"/>
      <c r="Q1031" s="5" t="n">
        <v>46232.6583333333</v>
      </c>
      <c r="R1031" s="5" t="n">
        <v>46232.8666666667</v>
      </c>
      <c r="S1031" s="3" t="s">
        <v>1699</v>
      </c>
      <c r="T1031" s="7" t="n">
        <f aca="false">ROUND(MIN(IF(OR(O1031=TRUE(),O1031="TRUE",O1031="Yes"),59,100),(I1031*Rubric!$C$2+J1031*Rubric!$C$3+K1031*Rubric!$C$4+L1031*Rubric!$C$5+M1031*Rubric!$C$6+N1031*Rubric!$C$7)/5),1)</f>
        <v>80</v>
      </c>
      <c r="U1031" s="8" t="str">
        <f aca="false">LOOKUP(T1031,Bands!$A$2:$A$6,Bands!$B$2:$B$6)</f>
        <v>Solid Performance</v>
      </c>
      <c r="V1031" s="8" t="n">
        <f aca="false">IF(Q1031="","",ROUND((Q1031-B1031)*24,1))</f>
        <v>0</v>
      </c>
    </row>
    <row r="1032" customFormat="false" ht="15" hidden="false" customHeight="false" outlineLevel="0" collapsed="false">
      <c r="A1032" s="3" t="s">
        <v>2198</v>
      </c>
      <c r="B1032" s="5" t="n">
        <v>46232.4375</v>
      </c>
      <c r="C1032" s="3" t="s">
        <v>30</v>
      </c>
      <c r="D1032" s="3" t="s">
        <v>125</v>
      </c>
      <c r="E1032" s="3" t="s">
        <v>126</v>
      </c>
      <c r="F1032" s="3" t="s">
        <v>53</v>
      </c>
      <c r="G1032" s="3" t="s">
        <v>42</v>
      </c>
      <c r="H1032" s="3" t="s">
        <v>2199</v>
      </c>
      <c r="I1032" s="3" t="n">
        <v>4</v>
      </c>
      <c r="J1032" s="3" t="n">
        <v>5</v>
      </c>
      <c r="K1032" s="3" t="n">
        <v>5</v>
      </c>
      <c r="L1032" s="3" t="n">
        <v>3</v>
      </c>
      <c r="M1032" s="3" t="n">
        <v>4</v>
      </c>
      <c r="N1032" s="3" t="n">
        <v>4</v>
      </c>
      <c r="O1032" s="6" t="b">
        <f aca="false">FALSE()</f>
        <v>0</v>
      </c>
      <c r="P1032" s="3"/>
      <c r="Q1032" s="5" t="n">
        <v>46232.4381944445</v>
      </c>
      <c r="R1032" s="5" t="n">
        <v>46232.5548611111</v>
      </c>
      <c r="S1032" s="3" t="s">
        <v>1699</v>
      </c>
      <c r="T1032" s="7" t="n">
        <f aca="false">ROUND(MIN(IF(OR(O1032=TRUE(),O1032="TRUE",O1032="Yes"),59,100),(I1032*Rubric!$C$2+J1032*Rubric!$C$3+K1032*Rubric!$C$4+L1032*Rubric!$C$5+M1032*Rubric!$C$6+N1032*Rubric!$C$7)/5),1)</f>
        <v>86</v>
      </c>
      <c r="U1032" s="8" t="str">
        <f aca="false">LOOKUP(T1032,Bands!$A$2:$A$6,Bands!$B$2:$B$6)</f>
        <v>Solid Performance</v>
      </c>
      <c r="V1032" s="8" t="n">
        <f aca="false">IF(Q1032="","",ROUND((Q1032-B1032)*24,1))</f>
        <v>0</v>
      </c>
    </row>
    <row r="1033" customFormat="false" ht="15" hidden="false" customHeight="false" outlineLevel="0" collapsed="false">
      <c r="A1033" s="3" t="s">
        <v>2200</v>
      </c>
      <c r="B1033" s="5" t="n">
        <v>46232.4361111111</v>
      </c>
      <c r="C1033" s="3" t="s">
        <v>30</v>
      </c>
      <c r="D1033" s="3" t="s">
        <v>31</v>
      </c>
      <c r="E1033" s="3" t="s">
        <v>32</v>
      </c>
      <c r="F1033" s="3" t="s">
        <v>33</v>
      </c>
      <c r="G1033" s="3" t="s">
        <v>54</v>
      </c>
      <c r="H1033" s="3" t="s">
        <v>2201</v>
      </c>
      <c r="I1033" s="3" t="n">
        <v>4</v>
      </c>
      <c r="J1033" s="3" t="n">
        <v>5</v>
      </c>
      <c r="K1033" s="3" t="n">
        <v>5</v>
      </c>
      <c r="L1033" s="3" t="n">
        <v>5</v>
      </c>
      <c r="M1033" s="3" t="n">
        <v>3</v>
      </c>
      <c r="N1033" s="3" t="n">
        <v>0</v>
      </c>
      <c r="O1033" s="6" t="b">
        <f aca="false">TRUE()</f>
        <v>1</v>
      </c>
      <c r="P1033" s="3" t="s">
        <v>36</v>
      </c>
      <c r="Q1033" s="5" t="n">
        <v>46232.4381944445</v>
      </c>
      <c r="R1033" s="5" t="n">
        <v>46232.5222222222</v>
      </c>
      <c r="S1033" s="3" t="s">
        <v>1699</v>
      </c>
      <c r="T1033" s="7" t="n">
        <f aca="false">ROUND(MIN(IF(OR(O1033=TRUE(),O1033="TRUE",O1033="Yes"),59,100),(I1033*Rubric!$C$2+J1033*Rubric!$C$3+K1033*Rubric!$C$4+L1033*Rubric!$C$5+M1033*Rubric!$C$6+N1033*Rubric!$C$7)/5),1)</f>
        <v>59</v>
      </c>
      <c r="U1033" s="8" t="str">
        <f aca="false">LOOKUP(T1033,Bands!$A$2:$A$6,Bands!$B$2:$B$6)</f>
        <v>Critical</v>
      </c>
      <c r="V1033" s="8" t="n">
        <f aca="false">IF(Q1033="","",ROUND((Q1033-B1033)*24,1))</f>
        <v>0.1</v>
      </c>
    </row>
    <row r="1034" customFormat="false" ht="15" hidden="false" customHeight="false" outlineLevel="0" collapsed="false">
      <c r="A1034" s="3" t="s">
        <v>2202</v>
      </c>
      <c r="B1034" s="5" t="n">
        <v>46233.4694444445</v>
      </c>
      <c r="C1034" s="3" t="s">
        <v>39</v>
      </c>
      <c r="D1034" s="3" t="s">
        <v>31</v>
      </c>
      <c r="E1034" s="3" t="s">
        <v>32</v>
      </c>
      <c r="F1034" s="3" t="s">
        <v>33</v>
      </c>
      <c r="G1034" s="3" t="s">
        <v>42</v>
      </c>
      <c r="H1034" s="3" t="s">
        <v>2203</v>
      </c>
      <c r="I1034" s="3" t="n">
        <v>4</v>
      </c>
      <c r="J1034" s="3" t="n">
        <v>4</v>
      </c>
      <c r="K1034" s="3" t="n">
        <v>3</v>
      </c>
      <c r="L1034" s="3" t="n">
        <v>4</v>
      </c>
      <c r="M1034" s="3" t="n">
        <v>5</v>
      </c>
      <c r="N1034" s="3" t="n">
        <v>3</v>
      </c>
      <c r="O1034" s="6" t="b">
        <f aca="false">FALSE()</f>
        <v>0</v>
      </c>
      <c r="P1034" s="3"/>
      <c r="Q1034" s="5" t="n">
        <v>46233.4715277778</v>
      </c>
      <c r="R1034" s="5" t="n">
        <v>46233.7645833333</v>
      </c>
      <c r="S1034" s="3" t="s">
        <v>1699</v>
      </c>
      <c r="T1034" s="7" t="n">
        <f aca="false">ROUND(MIN(IF(OR(O1034=TRUE(),O1034="TRUE",O1034="Yes"),59,100),(I1034*Rubric!$C$2+J1034*Rubric!$C$3+K1034*Rubric!$C$4+L1034*Rubric!$C$5+M1034*Rubric!$C$6+N1034*Rubric!$C$7)/5),1)</f>
        <v>75</v>
      </c>
      <c r="U1034" s="8" t="str">
        <f aca="false">LOOKUP(T1034,Bands!$A$2:$A$6,Bands!$B$2:$B$6)</f>
        <v>Meets Expectations</v>
      </c>
      <c r="V1034" s="8" t="n">
        <f aca="false">IF(Q1034="","",ROUND((Q1034-B1034)*24,1))</f>
        <v>0</v>
      </c>
    </row>
    <row r="1035" customFormat="false" ht="15" hidden="false" customHeight="false" outlineLevel="0" collapsed="false">
      <c r="A1035" s="3" t="s">
        <v>2204</v>
      </c>
      <c r="B1035" s="5" t="n">
        <v>46233.5222222222</v>
      </c>
      <c r="C1035" s="3" t="s">
        <v>68</v>
      </c>
      <c r="D1035" s="3" t="s">
        <v>73</v>
      </c>
      <c r="E1035" s="3" t="s">
        <v>74</v>
      </c>
      <c r="F1035" s="3" t="s">
        <v>33</v>
      </c>
      <c r="G1035" s="3" t="s">
        <v>34</v>
      </c>
      <c r="H1035" s="3" t="s">
        <v>2205</v>
      </c>
      <c r="I1035" s="3" t="n">
        <v>5</v>
      </c>
      <c r="J1035" s="3" t="n">
        <v>4</v>
      </c>
      <c r="K1035" s="3" t="n">
        <v>4</v>
      </c>
      <c r="L1035" s="3" t="n">
        <v>5</v>
      </c>
      <c r="M1035" s="3" t="n">
        <v>4</v>
      </c>
      <c r="N1035" s="3" t="n">
        <v>3</v>
      </c>
      <c r="O1035" s="6" t="b">
        <f aca="false">FALSE()</f>
        <v>0</v>
      </c>
      <c r="P1035" s="3"/>
      <c r="Q1035" s="5" t="n">
        <v>46233.5229166667</v>
      </c>
      <c r="R1035" s="5" t="n">
        <v>46233.68125</v>
      </c>
      <c r="S1035" s="3" t="s">
        <v>1699</v>
      </c>
      <c r="T1035" s="7" t="n">
        <f aca="false">ROUND(MIN(IF(OR(O1035=TRUE(),O1035="TRUE",O1035="Yes"),59,100),(I1035*Rubric!$C$2+J1035*Rubric!$C$3+K1035*Rubric!$C$4+L1035*Rubric!$C$5+M1035*Rubric!$C$6+N1035*Rubric!$C$7)/5),1)</f>
        <v>83</v>
      </c>
      <c r="U1035" s="8" t="str">
        <f aca="false">LOOKUP(T1035,Bands!$A$2:$A$6,Bands!$B$2:$B$6)</f>
        <v>Solid Performance</v>
      </c>
      <c r="V1035" s="8" t="n">
        <f aca="false">IF(Q1035="","",ROUND((Q1035-B1035)*24,1))</f>
        <v>0</v>
      </c>
    </row>
    <row r="1036" customFormat="false" ht="15" hidden="false" customHeight="false" outlineLevel="0" collapsed="false">
      <c r="A1036" s="3" t="s">
        <v>2206</v>
      </c>
      <c r="B1036" s="5" t="n">
        <v>46233.6527777778</v>
      </c>
      <c r="C1036" s="3" t="s">
        <v>39</v>
      </c>
      <c r="D1036" s="3" t="s">
        <v>293</v>
      </c>
      <c r="E1036" s="3" t="s">
        <v>294</v>
      </c>
      <c r="F1036" s="3" t="s">
        <v>65</v>
      </c>
      <c r="G1036" s="3" t="s">
        <v>54</v>
      </c>
      <c r="H1036" s="3" t="s">
        <v>2207</v>
      </c>
      <c r="I1036" s="3" t="n">
        <v>4</v>
      </c>
      <c r="J1036" s="3" t="n">
        <v>5</v>
      </c>
      <c r="K1036" s="3" t="n">
        <v>5</v>
      </c>
      <c r="L1036" s="3" t="n">
        <v>4</v>
      </c>
      <c r="M1036" s="3" t="n">
        <v>4</v>
      </c>
      <c r="N1036" s="3" t="n">
        <v>5</v>
      </c>
      <c r="O1036" s="6" t="b">
        <f aca="false">FALSE()</f>
        <v>0</v>
      </c>
      <c r="P1036" s="3"/>
      <c r="Q1036" s="5" t="n">
        <v>46233.6534722222</v>
      </c>
      <c r="R1036" s="5" t="n">
        <v>46234.1881944445</v>
      </c>
      <c r="S1036" s="3" t="s">
        <v>1699</v>
      </c>
      <c r="T1036" s="7" t="n">
        <f aca="false">ROUND(MIN(IF(OR(O1036=TRUE(),O1036="TRUE",O1036="Yes"),59,100),(I1036*Rubric!$C$2+J1036*Rubric!$C$3+K1036*Rubric!$C$4+L1036*Rubric!$C$5+M1036*Rubric!$C$6+N1036*Rubric!$C$7)/5),1)</f>
        <v>92</v>
      </c>
      <c r="U1036" s="8" t="str">
        <f aca="false">LOOKUP(T1036,Bands!$A$2:$A$6,Bands!$B$2:$B$6)</f>
        <v>Outstanding</v>
      </c>
      <c r="V1036" s="8" t="n">
        <f aca="false">IF(Q1036="","",ROUND((Q1036-B1036)*24,1))</f>
        <v>0</v>
      </c>
    </row>
    <row r="1037" customFormat="false" ht="15" hidden="false" customHeight="false" outlineLevel="0" collapsed="false">
      <c r="A1037" s="3" t="s">
        <v>2208</v>
      </c>
      <c r="B1037" s="5" t="n">
        <v>46233.4166666667</v>
      </c>
      <c r="C1037" s="3" t="s">
        <v>68</v>
      </c>
      <c r="D1037" s="3" t="s">
        <v>222</v>
      </c>
      <c r="E1037" s="3" t="s">
        <v>223</v>
      </c>
      <c r="F1037" s="3" t="s">
        <v>53</v>
      </c>
      <c r="G1037" s="3" t="s">
        <v>42</v>
      </c>
      <c r="H1037" s="3" t="s">
        <v>2209</v>
      </c>
      <c r="I1037" s="3" t="n">
        <v>5</v>
      </c>
      <c r="J1037" s="3" t="n">
        <v>5</v>
      </c>
      <c r="K1037" s="3" t="n">
        <v>5</v>
      </c>
      <c r="L1037" s="3" t="n">
        <v>4</v>
      </c>
      <c r="M1037" s="3" t="n">
        <v>4</v>
      </c>
      <c r="N1037" s="3" t="n">
        <v>3</v>
      </c>
      <c r="O1037" s="6" t="b">
        <f aca="false">FALSE()</f>
        <v>0</v>
      </c>
      <c r="P1037" s="3"/>
      <c r="Q1037" s="5" t="n">
        <v>46233.41875</v>
      </c>
      <c r="R1037" s="5" t="n">
        <v>46233.7277777778</v>
      </c>
      <c r="S1037" s="3" t="s">
        <v>1699</v>
      </c>
      <c r="T1037" s="7" t="n">
        <f aca="false">ROUND(MIN(IF(OR(O1037=TRUE(),O1037="TRUE",O1037="Yes"),59,100),(I1037*Rubric!$C$2+J1037*Rubric!$C$3+K1037*Rubric!$C$4+L1037*Rubric!$C$5+M1037*Rubric!$C$6+N1037*Rubric!$C$7)/5),1)</f>
        <v>89</v>
      </c>
      <c r="U1037" s="8" t="str">
        <f aca="false">LOOKUP(T1037,Bands!$A$2:$A$6,Bands!$B$2:$B$6)</f>
        <v>Solid Performance</v>
      </c>
      <c r="V1037" s="8" t="n">
        <f aca="false">IF(Q1037="","",ROUND((Q1037-B1037)*24,1))</f>
        <v>0</v>
      </c>
    </row>
    <row r="1038" customFormat="false" ht="15" hidden="false" customHeight="false" outlineLevel="0" collapsed="false">
      <c r="A1038" s="3" t="s">
        <v>2210</v>
      </c>
      <c r="B1038" s="5" t="n">
        <v>46233.6256944445</v>
      </c>
      <c r="C1038" s="3" t="s">
        <v>39</v>
      </c>
      <c r="D1038" s="3" t="s">
        <v>202</v>
      </c>
      <c r="E1038" s="3" t="s">
        <v>203</v>
      </c>
      <c r="F1038" s="3" t="s">
        <v>53</v>
      </c>
      <c r="G1038" s="3" t="s">
        <v>34</v>
      </c>
      <c r="H1038" s="3" t="s">
        <v>2211</v>
      </c>
      <c r="I1038" s="3" t="n">
        <v>3</v>
      </c>
      <c r="J1038" s="3" t="n">
        <v>4</v>
      </c>
      <c r="K1038" s="3" t="n">
        <v>3</v>
      </c>
      <c r="L1038" s="3" t="n">
        <v>3</v>
      </c>
      <c r="M1038" s="3" t="n">
        <v>5</v>
      </c>
      <c r="N1038" s="3" t="n">
        <v>4</v>
      </c>
      <c r="O1038" s="6" t="b">
        <f aca="false">FALSE()</f>
        <v>0</v>
      </c>
      <c r="P1038" s="3"/>
      <c r="Q1038" s="5" t="n">
        <v>46233.6277777778</v>
      </c>
      <c r="R1038" s="5" t="n">
        <v>46233.7444444444</v>
      </c>
      <c r="S1038" s="3" t="s">
        <v>1699</v>
      </c>
      <c r="T1038" s="7" t="n">
        <f aca="false">ROUND(MIN(IF(OR(O1038=TRUE(),O1038="TRUE",O1038="Yes"),59,100),(I1038*Rubric!$C$2+J1038*Rubric!$C$3+K1038*Rubric!$C$4+L1038*Rubric!$C$5+M1038*Rubric!$C$6+N1038*Rubric!$C$7)/5),1)</f>
        <v>72</v>
      </c>
      <c r="U1038" s="8" t="str">
        <f aca="false">LOOKUP(T1038,Bands!$A$2:$A$6,Bands!$B$2:$B$6)</f>
        <v>Meets Expectations</v>
      </c>
      <c r="V1038" s="8" t="n">
        <f aca="false">IF(Q1038="","",ROUND((Q1038-B1038)*24,1))</f>
        <v>0</v>
      </c>
    </row>
    <row r="1039" customFormat="false" ht="15" hidden="false" customHeight="false" outlineLevel="0" collapsed="false">
      <c r="A1039" s="3" t="s">
        <v>2212</v>
      </c>
      <c r="B1039" s="5" t="n">
        <v>46233.6465277778</v>
      </c>
      <c r="C1039" s="3" t="s">
        <v>30</v>
      </c>
      <c r="D1039" s="3" t="s">
        <v>51</v>
      </c>
      <c r="E1039" s="3" t="s">
        <v>52</v>
      </c>
      <c r="F1039" s="3" t="s">
        <v>53</v>
      </c>
      <c r="G1039" s="3" t="s">
        <v>54</v>
      </c>
      <c r="H1039" s="3" t="s">
        <v>2213</v>
      </c>
      <c r="I1039" s="3" t="n">
        <v>4</v>
      </c>
      <c r="J1039" s="3" t="n">
        <v>4</v>
      </c>
      <c r="K1039" s="3" t="n">
        <v>4</v>
      </c>
      <c r="L1039" s="3" t="n">
        <v>4</v>
      </c>
      <c r="M1039" s="3" t="n">
        <v>4</v>
      </c>
      <c r="N1039" s="3" t="n">
        <v>4</v>
      </c>
      <c r="O1039" s="6" t="b">
        <f aca="false">FALSE()</f>
        <v>0</v>
      </c>
      <c r="P1039" s="3"/>
      <c r="Q1039" s="5" t="n">
        <v>46233.6472222222</v>
      </c>
      <c r="R1039" s="5" t="n">
        <v>46234.7090277778</v>
      </c>
      <c r="S1039" s="3" t="s">
        <v>1699</v>
      </c>
      <c r="T1039" s="7" t="n">
        <f aca="false">ROUND(MIN(IF(OR(O1039=TRUE(),O1039="TRUE",O1039="Yes"),59,100),(I1039*Rubric!$C$2+J1039*Rubric!$C$3+K1039*Rubric!$C$4+L1039*Rubric!$C$5+M1039*Rubric!$C$6+N1039*Rubric!$C$7)/5),1)</f>
        <v>80</v>
      </c>
      <c r="U1039" s="8" t="str">
        <f aca="false">LOOKUP(T1039,Bands!$A$2:$A$6,Bands!$B$2:$B$6)</f>
        <v>Solid Performance</v>
      </c>
      <c r="V1039" s="8" t="n">
        <f aca="false">IF(Q1039="","",ROUND((Q1039-B1039)*24,1))</f>
        <v>0</v>
      </c>
    </row>
    <row r="1040" customFormat="false" ht="15" hidden="false" customHeight="false" outlineLevel="0" collapsed="false">
      <c r="A1040" s="3" t="s">
        <v>2214</v>
      </c>
      <c r="B1040" s="5" t="n">
        <v>46233.5798611111</v>
      </c>
      <c r="C1040" s="3" t="s">
        <v>68</v>
      </c>
      <c r="D1040" s="3" t="s">
        <v>486</v>
      </c>
      <c r="E1040" s="3" t="s">
        <v>487</v>
      </c>
      <c r="F1040" s="3" t="s">
        <v>65</v>
      </c>
      <c r="G1040" s="3" t="s">
        <v>34</v>
      </c>
      <c r="H1040" s="3" t="s">
        <v>2215</v>
      </c>
      <c r="I1040" s="3" t="n">
        <v>5</v>
      </c>
      <c r="J1040" s="3" t="n">
        <v>3</v>
      </c>
      <c r="K1040" s="3" t="n">
        <v>5</v>
      </c>
      <c r="L1040" s="3" t="n">
        <v>5</v>
      </c>
      <c r="M1040" s="3" t="n">
        <v>5</v>
      </c>
      <c r="N1040" s="3" t="n">
        <v>5</v>
      </c>
      <c r="O1040" s="6" t="b">
        <f aca="false">FALSE()</f>
        <v>0</v>
      </c>
      <c r="P1040" s="3"/>
      <c r="Q1040" s="5" t="n">
        <v>46233.5819444444</v>
      </c>
      <c r="R1040" s="5" t="n">
        <v>46234.1527777778</v>
      </c>
      <c r="S1040" s="3" t="s">
        <v>1699</v>
      </c>
      <c r="T1040" s="7" t="n">
        <f aca="false">ROUND(MIN(IF(OR(O1040=TRUE(),O1040="TRUE",O1040="Yes"),59,100),(I1040*Rubric!$C$2+J1040*Rubric!$C$3+K1040*Rubric!$C$4+L1040*Rubric!$C$5+M1040*Rubric!$C$6+N1040*Rubric!$C$7)/5),1)</f>
        <v>90</v>
      </c>
      <c r="U1040" s="8" t="str">
        <f aca="false">LOOKUP(T1040,Bands!$A$2:$A$6,Bands!$B$2:$B$6)</f>
        <v>Outstanding</v>
      </c>
      <c r="V1040" s="8" t="n">
        <f aca="false">IF(Q1040="","",ROUND((Q1040-B1040)*24,1))</f>
        <v>0</v>
      </c>
    </row>
    <row r="1041" customFormat="false" ht="15" hidden="false" customHeight="false" outlineLevel="0" collapsed="false">
      <c r="A1041" s="3" t="s">
        <v>2216</v>
      </c>
      <c r="B1041" s="5" t="n">
        <v>46233.4465277778</v>
      </c>
      <c r="C1041" s="3" t="s">
        <v>68</v>
      </c>
      <c r="D1041" s="3" t="s">
        <v>265</v>
      </c>
      <c r="E1041" s="3" t="s">
        <v>266</v>
      </c>
      <c r="F1041" s="3" t="s">
        <v>33</v>
      </c>
      <c r="G1041" s="3" t="s">
        <v>42</v>
      </c>
      <c r="H1041" s="3" t="s">
        <v>2217</v>
      </c>
      <c r="I1041" s="3" t="n">
        <v>3</v>
      </c>
      <c r="J1041" s="3" t="n">
        <v>3</v>
      </c>
      <c r="K1041" s="3" t="n">
        <v>3</v>
      </c>
      <c r="L1041" s="3" t="n">
        <v>3</v>
      </c>
      <c r="M1041" s="3" t="n">
        <v>3</v>
      </c>
      <c r="N1041" s="3" t="n">
        <v>4</v>
      </c>
      <c r="O1041" s="6" t="b">
        <f aca="false">FALSE()</f>
        <v>0</v>
      </c>
      <c r="P1041" s="3"/>
      <c r="Q1041" s="5" t="n">
        <v>46233.4486111111</v>
      </c>
      <c r="R1041" s="5" t="n">
        <v>46233.7513888889</v>
      </c>
      <c r="S1041" s="3" t="s">
        <v>1699</v>
      </c>
      <c r="T1041" s="7" t="n">
        <f aca="false">ROUND(MIN(IF(OR(O1041=TRUE(),O1041="TRUE",O1041="Yes"),59,100),(I1041*Rubric!$C$2+J1041*Rubric!$C$3+K1041*Rubric!$C$4+L1041*Rubric!$C$5+M1041*Rubric!$C$6+N1041*Rubric!$C$7)/5),1)</f>
        <v>63</v>
      </c>
      <c r="U1041" s="8" t="str">
        <f aca="false">LOOKUP(T1041,Bands!$A$2:$A$6,Bands!$B$2:$B$6)</f>
        <v>Needs Improvement</v>
      </c>
      <c r="V1041" s="8" t="n">
        <f aca="false">IF(Q1041="","",ROUND((Q1041-B1041)*24,1))</f>
        <v>0</v>
      </c>
    </row>
    <row r="1042" customFormat="false" ht="15" hidden="false" customHeight="false" outlineLevel="0" collapsed="false">
      <c r="A1042" s="3" t="s">
        <v>2218</v>
      </c>
      <c r="B1042" s="5" t="n">
        <v>46233.5208333333</v>
      </c>
      <c r="C1042" s="3" t="s">
        <v>68</v>
      </c>
      <c r="D1042" s="3" t="s">
        <v>58</v>
      </c>
      <c r="E1042" s="3" t="s">
        <v>59</v>
      </c>
      <c r="F1042" s="3" t="s">
        <v>53</v>
      </c>
      <c r="G1042" s="3" t="s">
        <v>54</v>
      </c>
      <c r="H1042" s="3" t="s">
        <v>2219</v>
      </c>
      <c r="I1042" s="3" t="n">
        <v>2</v>
      </c>
      <c r="J1042" s="3" t="n">
        <v>3</v>
      </c>
      <c r="K1042" s="3" t="n">
        <v>3</v>
      </c>
      <c r="L1042" s="3" t="n">
        <v>3</v>
      </c>
      <c r="M1042" s="3" t="n">
        <v>3</v>
      </c>
      <c r="N1042" s="3" t="n">
        <v>3</v>
      </c>
      <c r="O1042" s="6" t="b">
        <f aca="false">FALSE()</f>
        <v>0</v>
      </c>
      <c r="P1042" s="3" t="s">
        <v>88</v>
      </c>
      <c r="Q1042" s="5" t="n">
        <v>46233.5229166667</v>
      </c>
      <c r="R1042" s="5" t="n">
        <v>46234.3215277778</v>
      </c>
      <c r="S1042" s="3" t="s">
        <v>1699</v>
      </c>
      <c r="T1042" s="7" t="n">
        <f aca="false">ROUND(MIN(IF(OR(O1042=TRUE(),O1042="TRUE",O1042="Yes"),59,100),(I1042*Rubric!$C$2+J1042*Rubric!$C$3+K1042*Rubric!$C$4+L1042*Rubric!$C$5+M1042*Rubric!$C$6+N1042*Rubric!$C$7)/5),1)</f>
        <v>57</v>
      </c>
      <c r="U1042" s="8" t="str">
        <f aca="false">LOOKUP(T1042,Bands!$A$2:$A$6,Bands!$B$2:$B$6)</f>
        <v>Critical</v>
      </c>
      <c r="V1042" s="8" t="n">
        <f aca="false">IF(Q1042="","",ROUND((Q1042-B1042)*24,1))</f>
        <v>0.1</v>
      </c>
    </row>
    <row r="1043" customFormat="false" ht="15" hidden="false" customHeight="false" outlineLevel="0" collapsed="false">
      <c r="A1043" s="3" t="s">
        <v>2220</v>
      </c>
      <c r="B1043" s="5" t="n">
        <v>46233.4340277778</v>
      </c>
      <c r="C1043" s="3" t="s">
        <v>39</v>
      </c>
      <c r="D1043" s="3" t="s">
        <v>238</v>
      </c>
      <c r="E1043" s="3" t="s">
        <v>239</v>
      </c>
      <c r="F1043" s="3" t="s">
        <v>33</v>
      </c>
      <c r="G1043" s="3" t="s">
        <v>42</v>
      </c>
      <c r="H1043" s="3" t="s">
        <v>2221</v>
      </c>
      <c r="I1043" s="3" t="n">
        <v>5</v>
      </c>
      <c r="J1043" s="3" t="n">
        <v>4</v>
      </c>
      <c r="K1043" s="3" t="n">
        <v>3</v>
      </c>
      <c r="L1043" s="3" t="n">
        <v>5</v>
      </c>
      <c r="M1043" s="3" t="n">
        <v>4</v>
      </c>
      <c r="N1043" s="3" t="n">
        <v>4</v>
      </c>
      <c r="O1043" s="6" t="b">
        <f aca="false">FALSE()</f>
        <v>0</v>
      </c>
      <c r="P1043" s="3"/>
      <c r="Q1043" s="5" t="n">
        <v>46233.4354166667</v>
      </c>
      <c r="R1043" s="5" t="n">
        <v>46233.9826388889</v>
      </c>
      <c r="S1043" s="3" t="s">
        <v>1699</v>
      </c>
      <c r="T1043" s="7" t="n">
        <f aca="false">ROUND(MIN(IF(OR(O1043=TRUE(),O1043="TRUE",O1043="Yes"),59,100),(I1043*Rubric!$C$2+J1043*Rubric!$C$3+K1043*Rubric!$C$4+L1043*Rubric!$C$5+M1043*Rubric!$C$6+N1043*Rubric!$C$7)/5),1)</f>
        <v>82</v>
      </c>
      <c r="U1043" s="8" t="str">
        <f aca="false">LOOKUP(T1043,Bands!$A$2:$A$6,Bands!$B$2:$B$6)</f>
        <v>Solid Performance</v>
      </c>
      <c r="V1043" s="8" t="n">
        <f aca="false">IF(Q1043="","",ROUND((Q1043-B1043)*24,1))</f>
        <v>0</v>
      </c>
    </row>
    <row r="1044" customFormat="false" ht="15" hidden="false" customHeight="false" outlineLevel="0" collapsed="false">
      <c r="A1044" s="3" t="s">
        <v>2222</v>
      </c>
      <c r="B1044" s="5" t="n">
        <v>46233.4458333333</v>
      </c>
      <c r="C1044" s="3" t="s">
        <v>68</v>
      </c>
      <c r="D1044" s="3" t="s">
        <v>137</v>
      </c>
      <c r="E1044" s="3" t="s">
        <v>138</v>
      </c>
      <c r="F1044" s="3" t="s">
        <v>65</v>
      </c>
      <c r="G1044" s="3" t="s">
        <v>54</v>
      </c>
      <c r="H1044" s="3" t="s">
        <v>2223</v>
      </c>
      <c r="I1044" s="3" t="n">
        <v>4</v>
      </c>
      <c r="J1044" s="3" t="n">
        <v>5</v>
      </c>
      <c r="K1044" s="3" t="n">
        <v>5</v>
      </c>
      <c r="L1044" s="3" t="n">
        <v>5</v>
      </c>
      <c r="M1044" s="3" t="n">
        <v>4</v>
      </c>
      <c r="N1044" s="3" t="n">
        <v>4</v>
      </c>
      <c r="O1044" s="6" t="b">
        <f aca="false">FALSE()</f>
        <v>0</v>
      </c>
      <c r="P1044" s="3"/>
      <c r="Q1044" s="5" t="n">
        <v>46233.4479166667</v>
      </c>
      <c r="R1044" s="5" t="n">
        <v>46233.7770833333</v>
      </c>
      <c r="S1044" s="3" t="s">
        <v>1699</v>
      </c>
      <c r="T1044" s="7" t="n">
        <f aca="false">ROUND(MIN(IF(OR(O1044=TRUE(),O1044="TRUE",O1044="Yes"),59,100),(I1044*Rubric!$C$2+J1044*Rubric!$C$3+K1044*Rubric!$C$4+L1044*Rubric!$C$5+M1044*Rubric!$C$6+N1044*Rubric!$C$7)/5),1)</f>
        <v>92</v>
      </c>
      <c r="U1044" s="8" t="str">
        <f aca="false">LOOKUP(T1044,Bands!$A$2:$A$6,Bands!$B$2:$B$6)</f>
        <v>Outstanding</v>
      </c>
      <c r="V1044" s="8" t="n">
        <f aca="false">IF(Q1044="","",ROUND((Q1044-B1044)*24,1))</f>
        <v>0.1</v>
      </c>
    </row>
    <row r="1045" customFormat="false" ht="15" hidden="false" customHeight="false" outlineLevel="0" collapsed="false">
      <c r="A1045" s="3" t="s">
        <v>2224</v>
      </c>
      <c r="B1045" s="5" t="n">
        <v>46233.5722222222</v>
      </c>
      <c r="C1045" s="3" t="s">
        <v>30</v>
      </c>
      <c r="D1045" s="3" t="s">
        <v>198</v>
      </c>
      <c r="E1045" s="3" t="s">
        <v>199</v>
      </c>
      <c r="F1045" s="3" t="s">
        <v>33</v>
      </c>
      <c r="G1045" s="3" t="s">
        <v>34</v>
      </c>
      <c r="H1045" s="3" t="s">
        <v>2225</v>
      </c>
      <c r="I1045" s="3" t="n">
        <v>4</v>
      </c>
      <c r="J1045" s="3" t="n">
        <v>3</v>
      </c>
      <c r="K1045" s="3" t="n">
        <v>4</v>
      </c>
      <c r="L1045" s="3" t="n">
        <v>4</v>
      </c>
      <c r="M1045" s="3" t="n">
        <v>5</v>
      </c>
      <c r="N1045" s="3" t="n">
        <v>5</v>
      </c>
      <c r="O1045" s="6" t="b">
        <f aca="false">FALSE()</f>
        <v>0</v>
      </c>
      <c r="P1045" s="3"/>
      <c r="Q1045" s="5" t="n">
        <v>46233.5736111111</v>
      </c>
      <c r="R1045" s="5" t="n">
        <v>46233.8618055556</v>
      </c>
      <c r="S1045" s="3" t="s">
        <v>1699</v>
      </c>
      <c r="T1045" s="7" t="n">
        <f aca="false">ROUND(MIN(IF(OR(O1045=TRUE(),O1045="TRUE",O1045="Yes"),59,100),(I1045*Rubric!$C$2+J1045*Rubric!$C$3+K1045*Rubric!$C$4+L1045*Rubric!$C$5+M1045*Rubric!$C$6+N1045*Rubric!$C$7)/5),1)</f>
        <v>80</v>
      </c>
      <c r="U1045" s="8" t="str">
        <f aca="false">LOOKUP(T1045,Bands!$A$2:$A$6,Bands!$B$2:$B$6)</f>
        <v>Solid Performance</v>
      </c>
      <c r="V1045" s="8" t="n">
        <f aca="false">IF(Q1045="","",ROUND((Q1045-B1045)*24,1))</f>
        <v>0</v>
      </c>
    </row>
    <row r="1046" customFormat="false" ht="15" hidden="false" customHeight="false" outlineLevel="0" collapsed="false">
      <c r="A1046" s="3" t="s">
        <v>2226</v>
      </c>
      <c r="B1046" s="5" t="n">
        <v>46234.3770833333</v>
      </c>
      <c r="C1046" s="3" t="s">
        <v>30</v>
      </c>
      <c r="D1046" s="3" t="s">
        <v>105</v>
      </c>
      <c r="E1046" s="3" t="s">
        <v>106</v>
      </c>
      <c r="F1046" s="3" t="s">
        <v>65</v>
      </c>
      <c r="G1046" s="3" t="s">
        <v>54</v>
      </c>
      <c r="H1046" s="3" t="s">
        <v>2227</v>
      </c>
      <c r="I1046" s="3" t="n">
        <v>5</v>
      </c>
      <c r="J1046" s="3" t="n">
        <v>5</v>
      </c>
      <c r="K1046" s="3" t="n">
        <v>5</v>
      </c>
      <c r="L1046" s="3" t="n">
        <v>3</v>
      </c>
      <c r="M1046" s="3" t="n">
        <v>5</v>
      </c>
      <c r="N1046" s="3" t="n">
        <v>5</v>
      </c>
      <c r="O1046" s="6" t="b">
        <f aca="false">FALSE()</f>
        <v>0</v>
      </c>
      <c r="P1046" s="3"/>
      <c r="Q1046" s="5" t="n">
        <v>46234.3791666667</v>
      </c>
      <c r="R1046" s="5" t="n">
        <v>46234.4326388889</v>
      </c>
      <c r="S1046" s="3" t="s">
        <v>1699</v>
      </c>
      <c r="T1046" s="7" t="n">
        <f aca="false">ROUND(MIN(IF(OR(O1046=TRUE(),O1046="TRUE",O1046="Yes"),59,100),(I1046*Rubric!$C$2+J1046*Rubric!$C$3+K1046*Rubric!$C$4+L1046*Rubric!$C$5+M1046*Rubric!$C$6+N1046*Rubric!$C$7)/5),1)</f>
        <v>94</v>
      </c>
      <c r="U1046" s="8" t="str">
        <f aca="false">LOOKUP(T1046,Bands!$A$2:$A$6,Bands!$B$2:$B$6)</f>
        <v>Outstanding</v>
      </c>
      <c r="V1046" s="8" t="n">
        <f aca="false">IF(Q1046="","",ROUND((Q1046-B1046)*24,1))</f>
        <v>0.1</v>
      </c>
    </row>
    <row r="1047" customFormat="false" ht="15" hidden="false" customHeight="false" outlineLevel="0" collapsed="false">
      <c r="A1047" s="3" t="s">
        <v>2228</v>
      </c>
      <c r="B1047" s="5" t="n">
        <v>46234.6715277778</v>
      </c>
      <c r="C1047" s="3" t="s">
        <v>30</v>
      </c>
      <c r="D1047" s="3" t="s">
        <v>58</v>
      </c>
      <c r="E1047" s="3" t="s">
        <v>59</v>
      </c>
      <c r="F1047" s="3" t="s">
        <v>53</v>
      </c>
      <c r="G1047" s="3" t="s">
        <v>42</v>
      </c>
      <c r="H1047" s="3" t="s">
        <v>2229</v>
      </c>
      <c r="I1047" s="3" t="n">
        <v>3</v>
      </c>
      <c r="J1047" s="3" t="n">
        <v>2</v>
      </c>
      <c r="K1047" s="3" t="n">
        <v>3</v>
      </c>
      <c r="L1047" s="3" t="n">
        <v>2</v>
      </c>
      <c r="M1047" s="3" t="n">
        <v>3</v>
      </c>
      <c r="N1047" s="3" t="n">
        <v>3</v>
      </c>
      <c r="O1047" s="6" t="b">
        <f aca="false">FALSE()</f>
        <v>0</v>
      </c>
      <c r="P1047" s="3" t="s">
        <v>1521</v>
      </c>
      <c r="Q1047" s="5" t="n">
        <v>46234.6722222222</v>
      </c>
      <c r="R1047" s="5" t="n">
        <v>46235.0319444445</v>
      </c>
      <c r="S1047" s="3" t="s">
        <v>1699</v>
      </c>
      <c r="T1047" s="7" t="n">
        <f aca="false">ROUND(MIN(IF(OR(O1047=TRUE(),O1047="TRUE",O1047="Yes"),59,100),(I1047*Rubric!$C$2+J1047*Rubric!$C$3+K1047*Rubric!$C$4+L1047*Rubric!$C$5+M1047*Rubric!$C$6+N1047*Rubric!$C$7)/5),1)</f>
        <v>52</v>
      </c>
      <c r="U1047" s="8" t="str">
        <f aca="false">LOOKUP(T1047,Bands!$A$2:$A$6,Bands!$B$2:$B$6)</f>
        <v>Critical</v>
      </c>
      <c r="V1047" s="8" t="n">
        <f aca="false">IF(Q1047="","",ROUND((Q1047-B1047)*24,1))</f>
        <v>0</v>
      </c>
    </row>
    <row r="1048" customFormat="false" ht="15" hidden="false" customHeight="false" outlineLevel="0" collapsed="false">
      <c r="A1048" s="3" t="s">
        <v>2230</v>
      </c>
      <c r="B1048" s="5" t="n">
        <v>46234.6326388889</v>
      </c>
      <c r="C1048" s="3" t="s">
        <v>68</v>
      </c>
      <c r="D1048" s="3" t="s">
        <v>77</v>
      </c>
      <c r="E1048" s="3" t="s">
        <v>78</v>
      </c>
      <c r="F1048" s="3" t="s">
        <v>33</v>
      </c>
      <c r="G1048" s="3" t="s">
        <v>42</v>
      </c>
      <c r="H1048" s="3" t="s">
        <v>2231</v>
      </c>
      <c r="I1048" s="3" t="n">
        <v>5</v>
      </c>
      <c r="J1048" s="3" t="n">
        <v>5</v>
      </c>
      <c r="K1048" s="3" t="n">
        <v>3</v>
      </c>
      <c r="L1048" s="3" t="n">
        <v>5</v>
      </c>
      <c r="M1048" s="3" t="n">
        <v>5</v>
      </c>
      <c r="N1048" s="3" t="n">
        <v>5</v>
      </c>
      <c r="O1048" s="6" t="b">
        <f aca="false">FALSE()</f>
        <v>0</v>
      </c>
      <c r="P1048" s="3"/>
      <c r="Q1048" s="5" t="n">
        <v>46234.6333333333</v>
      </c>
      <c r="R1048" s="5" t="n">
        <v>46234.6944444445</v>
      </c>
      <c r="S1048" s="3" t="s">
        <v>1699</v>
      </c>
      <c r="T1048" s="7" t="n">
        <f aca="false">ROUND(MIN(IF(OR(O1048=TRUE(),O1048="TRUE",O1048="Yes"),59,100),(I1048*Rubric!$C$2+J1048*Rubric!$C$3+K1048*Rubric!$C$4+L1048*Rubric!$C$5+M1048*Rubric!$C$6+N1048*Rubric!$C$7)/5),1)</f>
        <v>92</v>
      </c>
      <c r="U1048" s="8" t="str">
        <f aca="false">LOOKUP(T1048,Bands!$A$2:$A$6,Bands!$B$2:$B$6)</f>
        <v>Outstanding</v>
      </c>
      <c r="V1048" s="8" t="n">
        <f aca="false">IF(Q1048="","",ROUND((Q1048-B1048)*24,1))</f>
        <v>0</v>
      </c>
    </row>
    <row r="1049" customFormat="false" ht="15" hidden="false" customHeight="false" outlineLevel="0" collapsed="false">
      <c r="A1049" s="3" t="s">
        <v>2232</v>
      </c>
      <c r="B1049" s="5" t="n">
        <v>46234.5513888889</v>
      </c>
      <c r="C1049" s="3" t="s">
        <v>68</v>
      </c>
      <c r="D1049" s="3" t="s">
        <v>73</v>
      </c>
      <c r="E1049" s="3" t="s">
        <v>74</v>
      </c>
      <c r="F1049" s="3" t="s">
        <v>33</v>
      </c>
      <c r="G1049" s="3" t="s">
        <v>42</v>
      </c>
      <c r="H1049" s="3" t="s">
        <v>2233</v>
      </c>
      <c r="I1049" s="3" t="n">
        <v>4</v>
      </c>
      <c r="J1049" s="3" t="n">
        <v>5</v>
      </c>
      <c r="K1049" s="3" t="n">
        <v>5</v>
      </c>
      <c r="L1049" s="3" t="n">
        <v>5</v>
      </c>
      <c r="M1049" s="3" t="n">
        <v>4</v>
      </c>
      <c r="N1049" s="3" t="n">
        <v>4</v>
      </c>
      <c r="O1049" s="6" t="b">
        <f aca="false">FALSE()</f>
        <v>0</v>
      </c>
      <c r="P1049" s="3"/>
      <c r="Q1049" s="5" t="n">
        <v>46234.5527777778</v>
      </c>
      <c r="R1049" s="5" t="n">
        <v>46234.7847222222</v>
      </c>
      <c r="S1049" s="3" t="s">
        <v>1699</v>
      </c>
      <c r="T1049" s="7" t="n">
        <f aca="false">ROUND(MIN(IF(OR(O1049=TRUE(),O1049="TRUE",O1049="Yes"),59,100),(I1049*Rubric!$C$2+J1049*Rubric!$C$3+K1049*Rubric!$C$4+L1049*Rubric!$C$5+M1049*Rubric!$C$6+N1049*Rubric!$C$7)/5),1)</f>
        <v>92</v>
      </c>
      <c r="U1049" s="8" t="str">
        <f aca="false">LOOKUP(T1049,Bands!$A$2:$A$6,Bands!$B$2:$B$6)</f>
        <v>Outstanding</v>
      </c>
      <c r="V1049" s="8" t="n">
        <f aca="false">IF(Q1049="","",ROUND((Q1049-B1049)*24,1))</f>
        <v>0</v>
      </c>
    </row>
    <row r="1050" customFormat="false" ht="15" hidden="false" customHeight="false" outlineLevel="0" collapsed="false">
      <c r="A1050" s="3" t="s">
        <v>2234</v>
      </c>
      <c r="B1050" s="5" t="n">
        <v>46234.4472222222</v>
      </c>
      <c r="C1050" s="3" t="s">
        <v>39</v>
      </c>
      <c r="D1050" s="3" t="s">
        <v>222</v>
      </c>
      <c r="E1050" s="3" t="s">
        <v>223</v>
      </c>
      <c r="F1050" s="3" t="s">
        <v>53</v>
      </c>
      <c r="G1050" s="3" t="s">
        <v>54</v>
      </c>
      <c r="H1050" s="3" t="s">
        <v>2235</v>
      </c>
      <c r="I1050" s="3" t="n">
        <v>5</v>
      </c>
      <c r="J1050" s="3" t="n">
        <v>3</v>
      </c>
      <c r="K1050" s="3" t="n">
        <v>4</v>
      </c>
      <c r="L1050" s="3" t="n">
        <v>4</v>
      </c>
      <c r="M1050" s="3" t="n">
        <v>4</v>
      </c>
      <c r="N1050" s="3" t="n">
        <v>3</v>
      </c>
      <c r="O1050" s="6" t="b">
        <f aca="false">FALSE()</f>
        <v>0</v>
      </c>
      <c r="P1050" s="3"/>
      <c r="Q1050" s="5" t="n">
        <v>46234.4486111111</v>
      </c>
      <c r="R1050" s="5" t="n">
        <v>46234.4888888889</v>
      </c>
      <c r="S1050" s="3" t="s">
        <v>1699</v>
      </c>
      <c r="T1050" s="7" t="n">
        <f aca="false">ROUND(MIN(IF(OR(O1050=TRUE(),O1050="TRUE",O1050="Yes"),59,100),(I1050*Rubric!$C$2+J1050*Rubric!$C$3+K1050*Rubric!$C$4+L1050*Rubric!$C$5+M1050*Rubric!$C$6+N1050*Rubric!$C$7)/5),1)</f>
        <v>75</v>
      </c>
      <c r="U1050" s="8" t="str">
        <f aca="false">LOOKUP(T1050,Bands!$A$2:$A$6,Bands!$B$2:$B$6)</f>
        <v>Meets Expectations</v>
      </c>
      <c r="V1050" s="8" t="n">
        <f aca="false">IF(Q1050="","",ROUND((Q1050-B1050)*24,1))</f>
        <v>0</v>
      </c>
    </row>
    <row r="1051" customFormat="false" ht="15" hidden="false" customHeight="false" outlineLevel="0" collapsed="false">
      <c r="A1051" s="3" t="s">
        <v>2236</v>
      </c>
      <c r="B1051" s="5" t="n">
        <v>46234.41875</v>
      </c>
      <c r="C1051" s="3" t="s">
        <v>68</v>
      </c>
      <c r="D1051" s="3" t="s">
        <v>133</v>
      </c>
      <c r="E1051" s="3" t="s">
        <v>134</v>
      </c>
      <c r="F1051" s="3" t="s">
        <v>33</v>
      </c>
      <c r="G1051" s="3" t="s">
        <v>54</v>
      </c>
      <c r="H1051" s="3" t="s">
        <v>2237</v>
      </c>
      <c r="I1051" s="3" t="n">
        <v>5</v>
      </c>
      <c r="J1051" s="3" t="n">
        <v>3</v>
      </c>
      <c r="K1051" s="3" t="n">
        <v>5</v>
      </c>
      <c r="L1051" s="3" t="n">
        <v>4</v>
      </c>
      <c r="M1051" s="3" t="n">
        <v>5</v>
      </c>
      <c r="N1051" s="3" t="n">
        <v>4</v>
      </c>
      <c r="O1051" s="6" t="b">
        <f aca="false">FALSE()</f>
        <v>0</v>
      </c>
      <c r="P1051" s="3"/>
      <c r="Q1051" s="5" t="n">
        <v>46234.4201388889</v>
      </c>
      <c r="R1051" s="5" t="n">
        <v>46234.4388888889</v>
      </c>
      <c r="S1051" s="3" t="s">
        <v>1699</v>
      </c>
      <c r="T1051" s="7" t="n">
        <f aca="false">ROUND(MIN(IF(OR(O1051=TRUE(),O1051="TRUE",O1051="Yes"),59,100),(I1051*Rubric!$C$2+J1051*Rubric!$C$3+K1051*Rubric!$C$4+L1051*Rubric!$C$5+M1051*Rubric!$C$6+N1051*Rubric!$C$7)/5),1)</f>
        <v>84</v>
      </c>
      <c r="U1051" s="8" t="str">
        <f aca="false">LOOKUP(T1051,Bands!$A$2:$A$6,Bands!$B$2:$B$6)</f>
        <v>Solid Performance</v>
      </c>
      <c r="V1051" s="8" t="n">
        <f aca="false">IF(Q1051="","",ROUND((Q1051-B1051)*24,1))</f>
        <v>0</v>
      </c>
    </row>
    <row r="1052" customFormat="false" ht="15" hidden="false" customHeight="false" outlineLevel="0" collapsed="false">
      <c r="A1052" s="3" t="s">
        <v>2238</v>
      </c>
      <c r="B1052" s="5" t="n">
        <v>46234.4333333333</v>
      </c>
      <c r="C1052" s="3" t="s">
        <v>39</v>
      </c>
      <c r="D1052" s="3" t="s">
        <v>46</v>
      </c>
      <c r="E1052" s="3" t="s">
        <v>47</v>
      </c>
      <c r="F1052" s="3" t="s">
        <v>33</v>
      </c>
      <c r="G1052" s="3" t="s">
        <v>54</v>
      </c>
      <c r="H1052" s="3" t="s">
        <v>2239</v>
      </c>
      <c r="I1052" s="3" t="n">
        <v>5</v>
      </c>
      <c r="J1052" s="3" t="n">
        <v>5</v>
      </c>
      <c r="K1052" s="3" t="n">
        <v>3</v>
      </c>
      <c r="L1052" s="3" t="n">
        <v>4</v>
      </c>
      <c r="M1052" s="3" t="n">
        <v>4</v>
      </c>
      <c r="N1052" s="3" t="n">
        <v>5</v>
      </c>
      <c r="O1052" s="6" t="b">
        <f aca="false">FALSE()</f>
        <v>0</v>
      </c>
      <c r="P1052" s="3"/>
      <c r="Q1052" s="5" t="n">
        <v>46234.4354166667</v>
      </c>
      <c r="R1052" s="5" t="n">
        <v>46234.4513888889</v>
      </c>
      <c r="S1052" s="3" t="s">
        <v>1699</v>
      </c>
      <c r="T1052" s="7" t="n">
        <f aca="false">ROUND(MIN(IF(OR(O1052=TRUE(),O1052="TRUE",O1052="Yes"),59,100),(I1052*Rubric!$C$2+J1052*Rubric!$C$3+K1052*Rubric!$C$4+L1052*Rubric!$C$5+M1052*Rubric!$C$6+N1052*Rubric!$C$7)/5),1)</f>
        <v>87</v>
      </c>
      <c r="U1052" s="8" t="str">
        <f aca="false">LOOKUP(T1052,Bands!$A$2:$A$6,Bands!$B$2:$B$6)</f>
        <v>Solid Performance</v>
      </c>
      <c r="V1052" s="8" t="n">
        <f aca="false">IF(Q1052="","",ROUND((Q1052-B1052)*24,1))</f>
        <v>0.1</v>
      </c>
    </row>
    <row r="1053" customFormat="false" ht="15" hidden="false" customHeight="false" outlineLevel="0" collapsed="false">
      <c r="A1053" s="3" t="s">
        <v>2240</v>
      </c>
      <c r="B1053" s="5" t="n">
        <v>46234.6097222222</v>
      </c>
      <c r="C1053" s="3" t="s">
        <v>30</v>
      </c>
      <c r="D1053" s="3" t="s">
        <v>259</v>
      </c>
      <c r="E1053" s="3" t="s">
        <v>260</v>
      </c>
      <c r="F1053" s="3" t="s">
        <v>33</v>
      </c>
      <c r="G1053" s="3" t="s">
        <v>54</v>
      </c>
      <c r="H1053" s="3" t="s">
        <v>2241</v>
      </c>
      <c r="I1053" s="3" t="n">
        <v>5</v>
      </c>
      <c r="J1053" s="3" t="n">
        <v>5</v>
      </c>
      <c r="K1053" s="3" t="n">
        <v>3</v>
      </c>
      <c r="L1053" s="3" t="n">
        <v>5</v>
      </c>
      <c r="M1053" s="3" t="n">
        <v>5</v>
      </c>
      <c r="N1053" s="3" t="n">
        <v>5</v>
      </c>
      <c r="O1053" s="6" t="b">
        <f aca="false">FALSE()</f>
        <v>0</v>
      </c>
      <c r="P1053" s="3"/>
      <c r="Q1053" s="5" t="n">
        <v>46234.6111111111</v>
      </c>
      <c r="R1053" s="5" t="n">
        <v>46234.8069444444</v>
      </c>
      <c r="S1053" s="3" t="s">
        <v>1699</v>
      </c>
      <c r="T1053" s="7" t="n">
        <f aca="false">ROUND(MIN(IF(OR(O1053=TRUE(),O1053="TRUE",O1053="Yes"),59,100),(I1053*Rubric!$C$2+J1053*Rubric!$C$3+K1053*Rubric!$C$4+L1053*Rubric!$C$5+M1053*Rubric!$C$6+N1053*Rubric!$C$7)/5),1)</f>
        <v>92</v>
      </c>
      <c r="U1053" s="8" t="str">
        <f aca="false">LOOKUP(T1053,Bands!$A$2:$A$6,Bands!$B$2:$B$6)</f>
        <v>Outstanding</v>
      </c>
      <c r="V1053" s="8" t="n">
        <f aca="false">IF(Q1053="","",ROUND((Q1053-B1053)*24,1))</f>
        <v>0</v>
      </c>
    </row>
    <row r="1054" customFormat="false" ht="15" hidden="false" customHeight="false" outlineLevel="0" collapsed="false">
      <c r="A1054" s="3" t="s">
        <v>2242</v>
      </c>
      <c r="B1054" s="5" t="n">
        <v>46234.525</v>
      </c>
      <c r="C1054" s="3" t="s">
        <v>68</v>
      </c>
      <c r="D1054" s="3" t="s">
        <v>31</v>
      </c>
      <c r="E1054" s="3" t="s">
        <v>32</v>
      </c>
      <c r="F1054" s="3" t="s">
        <v>33</v>
      </c>
      <c r="G1054" s="3" t="s">
        <v>54</v>
      </c>
      <c r="H1054" s="3" t="s">
        <v>2243</v>
      </c>
      <c r="I1054" s="3" t="n">
        <v>5</v>
      </c>
      <c r="J1054" s="3" t="n">
        <v>4</v>
      </c>
      <c r="K1054" s="3" t="n">
        <v>4</v>
      </c>
      <c r="L1054" s="3" t="n">
        <v>5</v>
      </c>
      <c r="M1054" s="3" t="n">
        <v>4</v>
      </c>
      <c r="N1054" s="3" t="n">
        <v>4</v>
      </c>
      <c r="O1054" s="6" t="b">
        <f aca="false">FALSE()</f>
        <v>0</v>
      </c>
      <c r="P1054" s="3"/>
      <c r="Q1054" s="5" t="n">
        <v>46234.5256944444</v>
      </c>
      <c r="R1054" s="5" t="n">
        <v>46234.6597222222</v>
      </c>
      <c r="S1054" s="3" t="s">
        <v>1699</v>
      </c>
      <c r="T1054" s="7" t="n">
        <f aca="false">ROUND(MIN(IF(OR(O1054=TRUE(),O1054="TRUE",O1054="Yes"),59,100),(I1054*Rubric!$C$2+J1054*Rubric!$C$3+K1054*Rubric!$C$4+L1054*Rubric!$C$5+M1054*Rubric!$C$6+N1054*Rubric!$C$7)/5),1)</f>
        <v>86</v>
      </c>
      <c r="U1054" s="8" t="str">
        <f aca="false">LOOKUP(T1054,Bands!$A$2:$A$6,Bands!$B$2:$B$6)</f>
        <v>Solid Performance</v>
      </c>
      <c r="V1054" s="8" t="n">
        <f aca="false">IF(Q1054="","",ROUND((Q1054-B1054)*24,1))</f>
        <v>0</v>
      </c>
    </row>
    <row r="1055" customFormat="false" ht="15" hidden="false" customHeight="false" outlineLevel="0" collapsed="false">
      <c r="A1055" s="3" t="s">
        <v>2244</v>
      </c>
      <c r="B1055" s="5" t="n">
        <v>46234.6229166667</v>
      </c>
      <c r="C1055" s="3" t="s">
        <v>68</v>
      </c>
      <c r="D1055" s="3" t="s">
        <v>366</v>
      </c>
      <c r="E1055" s="3" t="s">
        <v>367</v>
      </c>
      <c r="F1055" s="3" t="s">
        <v>53</v>
      </c>
      <c r="G1055" s="3" t="s">
        <v>42</v>
      </c>
      <c r="H1055" s="3" t="s">
        <v>2245</v>
      </c>
      <c r="I1055" s="3" t="n">
        <v>4</v>
      </c>
      <c r="J1055" s="3" t="n">
        <v>5</v>
      </c>
      <c r="K1055" s="3" t="n">
        <v>2</v>
      </c>
      <c r="L1055" s="3" t="n">
        <v>4</v>
      </c>
      <c r="M1055" s="3" t="n">
        <v>4</v>
      </c>
      <c r="N1055" s="3" t="n">
        <v>4</v>
      </c>
      <c r="O1055" s="6" t="b">
        <f aca="false">FALSE()</f>
        <v>0</v>
      </c>
      <c r="P1055" s="3" t="s">
        <v>49</v>
      </c>
      <c r="Q1055" s="5" t="n">
        <v>46234.6236111111</v>
      </c>
      <c r="R1055" s="5" t="n">
        <v>46234.6972222222</v>
      </c>
      <c r="S1055" s="3" t="s">
        <v>1699</v>
      </c>
      <c r="T1055" s="7" t="n">
        <f aca="false">ROUND(MIN(IF(OR(O1055=TRUE(),O1055="TRUE",O1055="Yes"),59,100),(I1055*Rubric!$C$2+J1055*Rubric!$C$3+K1055*Rubric!$C$4+L1055*Rubric!$C$5+M1055*Rubric!$C$6+N1055*Rubric!$C$7)/5),1)</f>
        <v>77</v>
      </c>
      <c r="U1055" s="8" t="str">
        <f aca="false">LOOKUP(T1055,Bands!$A$2:$A$6,Bands!$B$2:$B$6)</f>
        <v>Meets Expectations</v>
      </c>
      <c r="V1055" s="8" t="n">
        <f aca="false">IF(Q1055="","",ROUND((Q1055-B1055)*24,1))</f>
        <v>0</v>
      </c>
    </row>
    <row r="1056" customFormat="false" ht="15" hidden="false" customHeight="false" outlineLevel="0" collapsed="false">
      <c r="A1056" s="3" t="s">
        <v>2246</v>
      </c>
      <c r="B1056" s="5" t="n">
        <v>46234.5055555556</v>
      </c>
      <c r="C1056" s="3" t="s">
        <v>68</v>
      </c>
      <c r="D1056" s="3" t="s">
        <v>119</v>
      </c>
      <c r="E1056" s="3" t="s">
        <v>120</v>
      </c>
      <c r="F1056" s="3" t="s">
        <v>33</v>
      </c>
      <c r="G1056" s="3" t="s">
        <v>54</v>
      </c>
      <c r="H1056" s="3" t="s">
        <v>2247</v>
      </c>
      <c r="I1056" s="3" t="n">
        <v>4</v>
      </c>
      <c r="J1056" s="3" t="n">
        <v>4</v>
      </c>
      <c r="K1056" s="3" t="n">
        <v>4</v>
      </c>
      <c r="L1056" s="3" t="n">
        <v>4</v>
      </c>
      <c r="M1056" s="3" t="n">
        <v>4</v>
      </c>
      <c r="N1056" s="3" t="n">
        <v>4</v>
      </c>
      <c r="O1056" s="6" t="b">
        <f aca="false">FALSE()</f>
        <v>0</v>
      </c>
      <c r="P1056" s="3"/>
      <c r="Q1056" s="5" t="n">
        <v>46234.50625</v>
      </c>
      <c r="R1056" s="5" t="n">
        <v>46234.7618055556</v>
      </c>
      <c r="S1056" s="3" t="s">
        <v>1699</v>
      </c>
      <c r="T1056" s="7" t="n">
        <f aca="false">ROUND(MIN(IF(OR(O1056=TRUE(),O1056="TRUE",O1056="Yes"),59,100),(I1056*Rubric!$C$2+J1056*Rubric!$C$3+K1056*Rubric!$C$4+L1056*Rubric!$C$5+M1056*Rubric!$C$6+N1056*Rubric!$C$7)/5),1)</f>
        <v>80</v>
      </c>
      <c r="U1056" s="8" t="str">
        <f aca="false">LOOKUP(T1056,Bands!$A$2:$A$6,Bands!$B$2:$B$6)</f>
        <v>Solid Performance</v>
      </c>
      <c r="V1056" s="8" t="n">
        <f aca="false">IF(Q1056="","",ROUND((Q1056-B1056)*24,1))</f>
        <v>0</v>
      </c>
    </row>
    <row r="1057" customFormat="false" ht="15" hidden="false" customHeight="false" outlineLevel="0" collapsed="false">
      <c r="A1057" s="3" t="s">
        <v>2248</v>
      </c>
      <c r="B1057" s="5" t="n">
        <v>46234.3826388889</v>
      </c>
      <c r="C1057" s="3" t="s">
        <v>68</v>
      </c>
      <c r="D1057" s="3" t="s">
        <v>293</v>
      </c>
      <c r="E1057" s="3" t="s">
        <v>294</v>
      </c>
      <c r="F1057" s="3" t="s">
        <v>65</v>
      </c>
      <c r="G1057" s="3" t="s">
        <v>42</v>
      </c>
      <c r="H1057" s="3" t="s">
        <v>2249</v>
      </c>
      <c r="I1057" s="3" t="n">
        <v>4</v>
      </c>
      <c r="J1057" s="3" t="n">
        <v>5</v>
      </c>
      <c r="K1057" s="3" t="n">
        <v>4</v>
      </c>
      <c r="L1057" s="3" t="n">
        <v>4</v>
      </c>
      <c r="M1057" s="3" t="n">
        <v>5</v>
      </c>
      <c r="N1057" s="3" t="n">
        <v>5</v>
      </c>
      <c r="O1057" s="6" t="b">
        <f aca="false">FALSE()</f>
        <v>0</v>
      </c>
      <c r="P1057" s="3"/>
      <c r="Q1057" s="5" t="n">
        <v>46234.3847222222</v>
      </c>
      <c r="R1057" s="5" t="n">
        <v>46234.4381944445</v>
      </c>
      <c r="S1057" s="3" t="s">
        <v>1699</v>
      </c>
      <c r="T1057" s="7" t="n">
        <f aca="false">ROUND(MIN(IF(OR(O1057=TRUE(),O1057="TRUE",O1057="Yes"),59,100),(I1057*Rubric!$C$2+J1057*Rubric!$C$3+K1057*Rubric!$C$4+L1057*Rubric!$C$5+M1057*Rubric!$C$6+N1057*Rubric!$C$7)/5),1)</f>
        <v>90</v>
      </c>
      <c r="U1057" s="8" t="str">
        <f aca="false">LOOKUP(T1057,Bands!$A$2:$A$6,Bands!$B$2:$B$6)</f>
        <v>Outstanding</v>
      </c>
      <c r="V1057" s="8" t="n">
        <f aca="false">IF(Q1057="","",ROUND((Q1057-B1057)*24,1))</f>
        <v>0</v>
      </c>
    </row>
    <row r="1058" customFormat="false" ht="15" hidden="false" customHeight="false" outlineLevel="0" collapsed="false">
      <c r="A1058" s="3" t="s">
        <v>2250</v>
      </c>
      <c r="B1058" s="5" t="n">
        <v>46237.4402777778</v>
      </c>
      <c r="C1058" s="3" t="s">
        <v>30</v>
      </c>
      <c r="D1058" s="3" t="s">
        <v>111</v>
      </c>
      <c r="E1058" s="3" t="s">
        <v>112</v>
      </c>
      <c r="F1058" s="3" t="s">
        <v>33</v>
      </c>
      <c r="G1058" s="3" t="s">
        <v>54</v>
      </c>
      <c r="H1058" s="3" t="s">
        <v>2251</v>
      </c>
      <c r="I1058" s="3" t="n">
        <v>4</v>
      </c>
      <c r="J1058" s="3" t="n">
        <v>4</v>
      </c>
      <c r="K1058" s="3" t="n">
        <v>3</v>
      </c>
      <c r="L1058" s="3" t="n">
        <v>4</v>
      </c>
      <c r="M1058" s="3" t="n">
        <v>5</v>
      </c>
      <c r="N1058" s="3" t="n">
        <v>4</v>
      </c>
      <c r="O1058" s="6" t="b">
        <f aca="false">FALSE()</f>
        <v>0</v>
      </c>
      <c r="P1058" s="3"/>
      <c r="Q1058" s="5" t="n">
        <v>46237.4423611111</v>
      </c>
      <c r="R1058" s="5" t="n">
        <v>46237.4958333333</v>
      </c>
      <c r="S1058" s="3" t="s">
        <v>1699</v>
      </c>
      <c r="T1058" s="7" t="n">
        <f aca="false">ROUND(MIN(IF(OR(O1058=TRUE(),O1058="TRUE",O1058="Yes"),59,100),(I1058*Rubric!$C$2+J1058*Rubric!$C$3+K1058*Rubric!$C$4+L1058*Rubric!$C$5+M1058*Rubric!$C$6+N1058*Rubric!$C$7)/5),1)</f>
        <v>78</v>
      </c>
      <c r="U1058" s="8" t="str">
        <f aca="false">LOOKUP(T1058,Bands!$A$2:$A$6,Bands!$B$2:$B$6)</f>
        <v>Meets Expectations</v>
      </c>
      <c r="V1058" s="8" t="n">
        <f aca="false">IF(Q1058="","",ROUND((Q1058-B1058)*24,1))</f>
        <v>0</v>
      </c>
    </row>
    <row r="1059" customFormat="false" ht="15" hidden="false" customHeight="false" outlineLevel="0" collapsed="false">
      <c r="A1059" s="3" t="s">
        <v>2252</v>
      </c>
      <c r="B1059" s="5" t="n">
        <v>46237.5611111111</v>
      </c>
      <c r="C1059" s="3" t="s">
        <v>30</v>
      </c>
      <c r="D1059" s="3" t="s">
        <v>31</v>
      </c>
      <c r="E1059" s="3" t="s">
        <v>32</v>
      </c>
      <c r="F1059" s="3" t="s">
        <v>33</v>
      </c>
      <c r="G1059" s="3" t="s">
        <v>54</v>
      </c>
      <c r="H1059" s="3" t="s">
        <v>2253</v>
      </c>
      <c r="I1059" s="3" t="n">
        <v>5</v>
      </c>
      <c r="J1059" s="3" t="n">
        <v>5</v>
      </c>
      <c r="K1059" s="3" t="n">
        <v>4</v>
      </c>
      <c r="L1059" s="3" t="n">
        <v>3</v>
      </c>
      <c r="M1059" s="3" t="n">
        <v>4</v>
      </c>
      <c r="N1059" s="3" t="n">
        <v>4</v>
      </c>
      <c r="O1059" s="6" t="b">
        <f aca="false">FALSE()</f>
        <v>0</v>
      </c>
      <c r="P1059" s="3"/>
      <c r="Q1059" s="5" t="n">
        <v>46237.5618055556</v>
      </c>
      <c r="R1059" s="5" t="n">
        <v>46237.7513888889</v>
      </c>
      <c r="S1059" s="3" t="s">
        <v>1699</v>
      </c>
      <c r="T1059" s="7" t="n">
        <f aca="false">ROUND(MIN(IF(OR(O1059=TRUE(),O1059="TRUE",O1059="Yes"),59,100),(I1059*Rubric!$C$2+J1059*Rubric!$C$3+K1059*Rubric!$C$4+L1059*Rubric!$C$5+M1059*Rubric!$C$6+N1059*Rubric!$C$7)/5),1)</f>
        <v>85</v>
      </c>
      <c r="U1059" s="8" t="str">
        <f aca="false">LOOKUP(T1059,Bands!$A$2:$A$6,Bands!$B$2:$B$6)</f>
        <v>Solid Performance</v>
      </c>
      <c r="V1059" s="8" t="n">
        <f aca="false">IF(Q1059="","",ROUND((Q1059-B1059)*24,1))</f>
        <v>0</v>
      </c>
    </row>
    <row r="1060" customFormat="false" ht="15" hidden="false" customHeight="false" outlineLevel="0" collapsed="false">
      <c r="A1060" s="3" t="s">
        <v>2254</v>
      </c>
      <c r="B1060" s="5" t="n">
        <v>46237.4777777778</v>
      </c>
      <c r="C1060" s="3" t="s">
        <v>39</v>
      </c>
      <c r="D1060" s="3" t="s">
        <v>265</v>
      </c>
      <c r="E1060" s="3" t="s">
        <v>266</v>
      </c>
      <c r="F1060" s="3" t="s">
        <v>33</v>
      </c>
      <c r="G1060" s="3" t="s">
        <v>42</v>
      </c>
      <c r="H1060" s="3" t="s">
        <v>2255</v>
      </c>
      <c r="I1060" s="3" t="n">
        <v>4</v>
      </c>
      <c r="J1060" s="3" t="n">
        <v>3</v>
      </c>
      <c r="K1060" s="3" t="n">
        <v>3</v>
      </c>
      <c r="L1060" s="3" t="n">
        <v>4</v>
      </c>
      <c r="M1060" s="3" t="n">
        <v>5</v>
      </c>
      <c r="N1060" s="3" t="n">
        <v>4</v>
      </c>
      <c r="O1060" s="6" t="b">
        <f aca="false">FALSE()</f>
        <v>0</v>
      </c>
      <c r="P1060" s="3"/>
      <c r="Q1060" s="5" t="n">
        <v>46237.4791666667</v>
      </c>
      <c r="R1060" s="5" t="n">
        <v>46237.7645833333</v>
      </c>
      <c r="S1060" s="3" t="s">
        <v>1699</v>
      </c>
      <c r="T1060" s="7" t="n">
        <f aca="false">ROUND(MIN(IF(OR(O1060=TRUE(),O1060="TRUE",O1060="Yes"),59,100),(I1060*Rubric!$C$2+J1060*Rubric!$C$3+K1060*Rubric!$C$4+L1060*Rubric!$C$5+M1060*Rubric!$C$6+N1060*Rubric!$C$7)/5),1)</f>
        <v>73</v>
      </c>
      <c r="U1060" s="8" t="str">
        <f aca="false">LOOKUP(T1060,Bands!$A$2:$A$6,Bands!$B$2:$B$6)</f>
        <v>Meets Expectations</v>
      </c>
      <c r="V1060" s="8" t="n">
        <f aca="false">IF(Q1060="","",ROUND((Q1060-B1060)*24,1))</f>
        <v>0</v>
      </c>
    </row>
    <row r="1061" customFormat="false" ht="15" hidden="false" customHeight="false" outlineLevel="0" collapsed="false">
      <c r="A1061" s="3" t="s">
        <v>2256</v>
      </c>
      <c r="B1061" s="5" t="n">
        <v>46237.4923611111</v>
      </c>
      <c r="C1061" s="3" t="s">
        <v>68</v>
      </c>
      <c r="D1061" s="3" t="s">
        <v>85</v>
      </c>
      <c r="E1061" s="3" t="s">
        <v>86</v>
      </c>
      <c r="F1061" s="3" t="s">
        <v>33</v>
      </c>
      <c r="G1061" s="3" t="s">
        <v>54</v>
      </c>
      <c r="H1061" s="3" t="s">
        <v>2257</v>
      </c>
      <c r="I1061" s="3" t="n">
        <v>3</v>
      </c>
      <c r="J1061" s="3" t="n">
        <v>4</v>
      </c>
      <c r="K1061" s="3" t="n">
        <v>4</v>
      </c>
      <c r="L1061" s="3" t="n">
        <v>4</v>
      </c>
      <c r="M1061" s="3" t="n">
        <v>4</v>
      </c>
      <c r="N1061" s="3" t="n">
        <v>4</v>
      </c>
      <c r="O1061" s="6" t="b">
        <f aca="false">FALSE()</f>
        <v>0</v>
      </c>
      <c r="P1061" s="3"/>
      <c r="Q1061" s="5" t="n">
        <v>46237.4930555556</v>
      </c>
      <c r="R1061" s="5" t="n">
        <v>46238.3868055556</v>
      </c>
      <c r="S1061" s="3" t="s">
        <v>1699</v>
      </c>
      <c r="T1061" s="7" t="n">
        <f aca="false">ROUND(MIN(IF(OR(O1061=TRUE(),O1061="TRUE",O1061="Yes"),59,100),(I1061*Rubric!$C$2+J1061*Rubric!$C$3+K1061*Rubric!$C$4+L1061*Rubric!$C$5+M1061*Rubric!$C$6+N1061*Rubric!$C$7)/5),1)</f>
        <v>77</v>
      </c>
      <c r="U1061" s="8" t="str">
        <f aca="false">LOOKUP(T1061,Bands!$A$2:$A$6,Bands!$B$2:$B$6)</f>
        <v>Meets Expectations</v>
      </c>
      <c r="V1061" s="8" t="n">
        <f aca="false">IF(Q1061="","",ROUND((Q1061-B1061)*24,1))</f>
        <v>0</v>
      </c>
    </row>
    <row r="1062" customFormat="false" ht="15" hidden="false" customHeight="false" outlineLevel="0" collapsed="false">
      <c r="A1062" s="3" t="s">
        <v>2258</v>
      </c>
      <c r="B1062" s="5" t="n">
        <v>46237.4666666667</v>
      </c>
      <c r="C1062" s="3" t="s">
        <v>68</v>
      </c>
      <c r="D1062" s="3" t="s">
        <v>40</v>
      </c>
      <c r="E1062" s="3" t="s">
        <v>41</v>
      </c>
      <c r="F1062" s="3" t="s">
        <v>33</v>
      </c>
      <c r="G1062" s="3" t="s">
        <v>42</v>
      </c>
      <c r="H1062" s="3" t="s">
        <v>2259</v>
      </c>
      <c r="I1062" s="3" t="n">
        <v>4</v>
      </c>
      <c r="J1062" s="3" t="n">
        <v>4</v>
      </c>
      <c r="K1062" s="3" t="n">
        <v>4</v>
      </c>
      <c r="L1062" s="3" t="n">
        <v>3</v>
      </c>
      <c r="M1062" s="3" t="n">
        <v>3</v>
      </c>
      <c r="N1062" s="3" t="n">
        <v>4</v>
      </c>
      <c r="O1062" s="6" t="b">
        <f aca="false">FALSE()</f>
        <v>0</v>
      </c>
      <c r="P1062" s="3"/>
      <c r="Q1062" s="5" t="n">
        <v>46237.4680555556</v>
      </c>
      <c r="R1062" s="5" t="n">
        <v>46237.5513888889</v>
      </c>
      <c r="S1062" s="3" t="s">
        <v>1699</v>
      </c>
      <c r="T1062" s="7" t="n">
        <f aca="false">ROUND(MIN(IF(OR(O1062=TRUE(),O1062="TRUE",O1062="Yes"),59,100),(I1062*Rubric!$C$2+J1062*Rubric!$C$3+K1062*Rubric!$C$4+L1062*Rubric!$C$5+M1062*Rubric!$C$6+N1062*Rubric!$C$7)/5),1)</f>
        <v>75</v>
      </c>
      <c r="U1062" s="8" t="str">
        <f aca="false">LOOKUP(T1062,Bands!$A$2:$A$6,Bands!$B$2:$B$6)</f>
        <v>Meets Expectations</v>
      </c>
      <c r="V1062" s="8" t="n">
        <f aca="false">IF(Q1062="","",ROUND((Q1062-B1062)*24,1))</f>
        <v>0</v>
      </c>
    </row>
    <row r="1063" customFormat="false" ht="15" hidden="false" customHeight="false" outlineLevel="0" collapsed="false">
      <c r="A1063" s="3" t="s">
        <v>2260</v>
      </c>
      <c r="B1063" s="5" t="n">
        <v>46237.63125</v>
      </c>
      <c r="C1063" s="3" t="s">
        <v>68</v>
      </c>
      <c r="D1063" s="3" t="s">
        <v>69</v>
      </c>
      <c r="E1063" s="3" t="s">
        <v>70</v>
      </c>
      <c r="F1063" s="3" t="s">
        <v>65</v>
      </c>
      <c r="G1063" s="3" t="s">
        <v>54</v>
      </c>
      <c r="H1063" s="3" t="s">
        <v>2261</v>
      </c>
      <c r="I1063" s="3" t="n">
        <v>5</v>
      </c>
      <c r="J1063" s="3" t="n">
        <v>4</v>
      </c>
      <c r="K1063" s="3" t="n">
        <v>5</v>
      </c>
      <c r="L1063" s="3" t="n">
        <v>4</v>
      </c>
      <c r="M1063" s="3" t="n">
        <v>4</v>
      </c>
      <c r="N1063" s="3" t="n">
        <v>3</v>
      </c>
      <c r="O1063" s="6" t="b">
        <f aca="false">FALSE()</f>
        <v>0</v>
      </c>
      <c r="P1063" s="3"/>
      <c r="Q1063" s="5" t="n">
        <v>46237.6319444445</v>
      </c>
      <c r="R1063" s="5" t="n">
        <v>46237.6402777778</v>
      </c>
      <c r="S1063" s="3" t="s">
        <v>1699</v>
      </c>
      <c r="T1063" s="7" t="n">
        <f aca="false">ROUND(MIN(IF(OR(O1063=TRUE(),O1063="TRUE",O1063="Yes"),59,100),(I1063*Rubric!$C$2+J1063*Rubric!$C$3+K1063*Rubric!$C$4+L1063*Rubric!$C$5+M1063*Rubric!$C$6+N1063*Rubric!$C$7)/5),1)</f>
        <v>84</v>
      </c>
      <c r="U1063" s="8" t="str">
        <f aca="false">LOOKUP(T1063,Bands!$A$2:$A$6,Bands!$B$2:$B$6)</f>
        <v>Solid Performance</v>
      </c>
      <c r="V1063" s="8" t="n">
        <f aca="false">IF(Q1063="","",ROUND((Q1063-B1063)*24,1))</f>
        <v>0</v>
      </c>
    </row>
    <row r="1064" customFormat="false" ht="15" hidden="false" customHeight="false" outlineLevel="0" collapsed="false">
      <c r="A1064" s="3" t="s">
        <v>2262</v>
      </c>
      <c r="B1064" s="5" t="n">
        <v>46237.6173611111</v>
      </c>
      <c r="C1064" s="3" t="s">
        <v>30</v>
      </c>
      <c r="D1064" s="3" t="s">
        <v>238</v>
      </c>
      <c r="E1064" s="3" t="s">
        <v>239</v>
      </c>
      <c r="F1064" s="3" t="s">
        <v>33</v>
      </c>
      <c r="G1064" s="3" t="s">
        <v>54</v>
      </c>
      <c r="H1064" s="3" t="s">
        <v>2263</v>
      </c>
      <c r="I1064" s="3" t="n">
        <v>4</v>
      </c>
      <c r="J1064" s="3" t="n">
        <v>3</v>
      </c>
      <c r="K1064" s="3" t="n">
        <v>4</v>
      </c>
      <c r="L1064" s="3" t="n">
        <v>5</v>
      </c>
      <c r="M1064" s="3" t="n">
        <v>4</v>
      </c>
      <c r="N1064" s="3" t="n">
        <v>4</v>
      </c>
      <c r="O1064" s="6" t="b">
        <f aca="false">FALSE()</f>
        <v>0</v>
      </c>
      <c r="P1064" s="3"/>
      <c r="Q1064" s="5" t="n">
        <v>46237.6180555556</v>
      </c>
      <c r="R1064" s="5" t="n">
        <v>46237.7131944444</v>
      </c>
      <c r="S1064" s="3" t="s">
        <v>1699</v>
      </c>
      <c r="T1064" s="7" t="n">
        <f aca="false">ROUND(MIN(IF(OR(O1064=TRUE(),O1064="TRUE",O1064="Yes"),59,100),(I1064*Rubric!$C$2+J1064*Rubric!$C$3+K1064*Rubric!$C$4+L1064*Rubric!$C$5+M1064*Rubric!$C$6+N1064*Rubric!$C$7)/5),1)</f>
        <v>78</v>
      </c>
      <c r="U1064" s="8" t="str">
        <f aca="false">LOOKUP(T1064,Bands!$A$2:$A$6,Bands!$B$2:$B$6)</f>
        <v>Meets Expectations</v>
      </c>
      <c r="V1064" s="8" t="n">
        <f aca="false">IF(Q1064="","",ROUND((Q1064-B1064)*24,1))</f>
        <v>0</v>
      </c>
    </row>
    <row r="1065" customFormat="false" ht="15" hidden="false" customHeight="false" outlineLevel="0" collapsed="false">
      <c r="A1065" s="3" t="s">
        <v>2264</v>
      </c>
      <c r="B1065" s="5" t="n">
        <v>46237.5118055556</v>
      </c>
      <c r="C1065" s="3" t="s">
        <v>39</v>
      </c>
      <c r="D1065" s="3" t="s">
        <v>90</v>
      </c>
      <c r="E1065" s="3" t="s">
        <v>91</v>
      </c>
      <c r="F1065" s="3" t="s">
        <v>65</v>
      </c>
      <c r="G1065" s="3" t="s">
        <v>54</v>
      </c>
      <c r="H1065" s="3" t="s">
        <v>2265</v>
      </c>
      <c r="I1065" s="3" t="n">
        <v>4</v>
      </c>
      <c r="J1065" s="3" t="n">
        <v>4</v>
      </c>
      <c r="K1065" s="3" t="n">
        <v>4</v>
      </c>
      <c r="L1065" s="3" t="n">
        <v>4</v>
      </c>
      <c r="M1065" s="3" t="n">
        <v>4</v>
      </c>
      <c r="N1065" s="3" t="n">
        <v>4</v>
      </c>
      <c r="O1065" s="6" t="b">
        <f aca="false">FALSE()</f>
        <v>0</v>
      </c>
      <c r="P1065" s="3"/>
      <c r="Q1065" s="5" t="n">
        <v>46237.5125</v>
      </c>
      <c r="R1065" s="5" t="n">
        <v>46237.5597222222</v>
      </c>
      <c r="S1065" s="3" t="s">
        <v>1699</v>
      </c>
      <c r="T1065" s="7" t="n">
        <f aca="false">ROUND(MIN(IF(OR(O1065=TRUE(),O1065="TRUE",O1065="Yes"),59,100),(I1065*Rubric!$C$2+J1065*Rubric!$C$3+K1065*Rubric!$C$4+L1065*Rubric!$C$5+M1065*Rubric!$C$6+N1065*Rubric!$C$7)/5),1)</f>
        <v>80</v>
      </c>
      <c r="U1065" s="8" t="str">
        <f aca="false">LOOKUP(T1065,Bands!$A$2:$A$6,Bands!$B$2:$B$6)</f>
        <v>Solid Performance</v>
      </c>
      <c r="V1065" s="8" t="n">
        <f aca="false">IF(Q1065="","",ROUND((Q1065-B1065)*24,1))</f>
        <v>0</v>
      </c>
    </row>
    <row r="1066" customFormat="false" ht="15" hidden="false" customHeight="false" outlineLevel="0" collapsed="false">
      <c r="A1066" s="3" t="s">
        <v>2266</v>
      </c>
      <c r="B1066" s="5" t="n">
        <v>46237.5020833333</v>
      </c>
      <c r="C1066" s="3" t="s">
        <v>39</v>
      </c>
      <c r="D1066" s="3" t="s">
        <v>155</v>
      </c>
      <c r="E1066" s="3" t="s">
        <v>156</v>
      </c>
      <c r="F1066" s="3" t="s">
        <v>65</v>
      </c>
      <c r="G1066" s="3" t="s">
        <v>54</v>
      </c>
      <c r="H1066" s="3" t="s">
        <v>2267</v>
      </c>
      <c r="I1066" s="3" t="n">
        <v>4</v>
      </c>
      <c r="J1066" s="3" t="n">
        <v>4</v>
      </c>
      <c r="K1066" s="3" t="n">
        <v>5</v>
      </c>
      <c r="L1066" s="3" t="n">
        <v>3</v>
      </c>
      <c r="M1066" s="3" t="n">
        <v>4</v>
      </c>
      <c r="N1066" s="3" t="n">
        <v>4</v>
      </c>
      <c r="O1066" s="6" t="b">
        <f aca="false">FALSE()</f>
        <v>0</v>
      </c>
      <c r="P1066" s="3"/>
      <c r="Q1066" s="5" t="n">
        <v>46237.5027777778</v>
      </c>
      <c r="R1066" s="5" t="n">
        <v>46237.7534722222</v>
      </c>
      <c r="S1066" s="3" t="s">
        <v>1699</v>
      </c>
      <c r="T1066" s="7" t="n">
        <f aca="false">ROUND(MIN(IF(OR(O1066=TRUE(),O1066="TRUE",O1066="Yes"),59,100),(I1066*Rubric!$C$2+J1066*Rubric!$C$3+K1066*Rubric!$C$4+L1066*Rubric!$C$5+M1066*Rubric!$C$6+N1066*Rubric!$C$7)/5),1)</f>
        <v>81</v>
      </c>
      <c r="U1066" s="8" t="str">
        <f aca="false">LOOKUP(T1066,Bands!$A$2:$A$6,Bands!$B$2:$B$6)</f>
        <v>Solid Performance</v>
      </c>
      <c r="V1066" s="8" t="n">
        <f aca="false">IF(Q1066="","",ROUND((Q1066-B1066)*24,1))</f>
        <v>0</v>
      </c>
    </row>
    <row r="1067" customFormat="false" ht="15" hidden="false" customHeight="false" outlineLevel="0" collapsed="false">
      <c r="A1067" s="3" t="s">
        <v>2268</v>
      </c>
      <c r="B1067" s="5" t="n">
        <v>46237.4965277778</v>
      </c>
      <c r="C1067" s="3" t="s">
        <v>30</v>
      </c>
      <c r="D1067" s="3" t="s">
        <v>202</v>
      </c>
      <c r="E1067" s="3" t="s">
        <v>203</v>
      </c>
      <c r="F1067" s="3" t="s">
        <v>53</v>
      </c>
      <c r="G1067" s="3" t="s">
        <v>54</v>
      </c>
      <c r="H1067" s="3" t="s">
        <v>2269</v>
      </c>
      <c r="I1067" s="3" t="n">
        <v>4</v>
      </c>
      <c r="J1067" s="3" t="n">
        <v>4</v>
      </c>
      <c r="K1067" s="3" t="n">
        <v>4</v>
      </c>
      <c r="L1067" s="3" t="n">
        <v>4</v>
      </c>
      <c r="M1067" s="3" t="n">
        <v>4</v>
      </c>
      <c r="N1067" s="3" t="n">
        <v>4</v>
      </c>
      <c r="O1067" s="6" t="b">
        <f aca="false">FALSE()</f>
        <v>0</v>
      </c>
      <c r="P1067" s="3"/>
      <c r="Q1067" s="5" t="n">
        <v>46237.4979166667</v>
      </c>
      <c r="R1067" s="5" t="n">
        <v>46237.6583333333</v>
      </c>
      <c r="S1067" s="3" t="s">
        <v>1699</v>
      </c>
      <c r="T1067" s="7" t="n">
        <f aca="false">ROUND(MIN(IF(OR(O1067=TRUE(),O1067="TRUE",O1067="Yes"),59,100),(I1067*Rubric!$C$2+J1067*Rubric!$C$3+K1067*Rubric!$C$4+L1067*Rubric!$C$5+M1067*Rubric!$C$6+N1067*Rubric!$C$7)/5),1)</f>
        <v>80</v>
      </c>
      <c r="U1067" s="8" t="str">
        <f aca="false">LOOKUP(T1067,Bands!$A$2:$A$6,Bands!$B$2:$B$6)</f>
        <v>Solid Performance</v>
      </c>
      <c r="V1067" s="8" t="n">
        <f aca="false">IF(Q1067="","",ROUND((Q1067-B1067)*24,1))</f>
        <v>0</v>
      </c>
    </row>
    <row r="1068" customFormat="false" ht="15" hidden="false" customHeight="false" outlineLevel="0" collapsed="false">
      <c r="A1068" s="3" t="s">
        <v>2270</v>
      </c>
      <c r="B1068" s="5" t="n">
        <v>46237.4611111111</v>
      </c>
      <c r="C1068" s="3" t="s">
        <v>30</v>
      </c>
      <c r="D1068" s="3" t="s">
        <v>46</v>
      </c>
      <c r="E1068" s="3" t="s">
        <v>47</v>
      </c>
      <c r="F1068" s="3" t="s">
        <v>33</v>
      </c>
      <c r="G1068" s="3" t="s">
        <v>34</v>
      </c>
      <c r="H1068" s="3" t="s">
        <v>2271</v>
      </c>
      <c r="I1068" s="3" t="n">
        <v>5</v>
      </c>
      <c r="J1068" s="3" t="n">
        <v>5</v>
      </c>
      <c r="K1068" s="3" t="n">
        <v>3</v>
      </c>
      <c r="L1068" s="3" t="n">
        <v>4</v>
      </c>
      <c r="M1068" s="3" t="n">
        <v>5</v>
      </c>
      <c r="N1068" s="3" t="n">
        <v>5</v>
      </c>
      <c r="O1068" s="6" t="b">
        <f aca="false">FALSE()</f>
        <v>0</v>
      </c>
      <c r="P1068" s="3"/>
      <c r="Q1068" s="5" t="n">
        <v>46237.4625</v>
      </c>
      <c r="R1068" s="5" t="n">
        <v>46237.7013888889</v>
      </c>
      <c r="S1068" s="3" t="s">
        <v>1699</v>
      </c>
      <c r="T1068" s="7" t="n">
        <f aca="false">ROUND(MIN(IF(OR(O1068=TRUE(),O1068="TRUE",O1068="Yes"),59,100),(I1068*Rubric!$C$2+J1068*Rubric!$C$3+K1068*Rubric!$C$4+L1068*Rubric!$C$5+M1068*Rubric!$C$6+N1068*Rubric!$C$7)/5),1)</f>
        <v>89</v>
      </c>
      <c r="U1068" s="8" t="str">
        <f aca="false">LOOKUP(T1068,Bands!$A$2:$A$6,Bands!$B$2:$B$6)</f>
        <v>Solid Performance</v>
      </c>
      <c r="V1068" s="8" t="n">
        <f aca="false">IF(Q1068="","",ROUND((Q1068-B1068)*24,1))</f>
        <v>0</v>
      </c>
    </row>
    <row r="1069" customFormat="false" ht="15" hidden="false" customHeight="false" outlineLevel="0" collapsed="false">
      <c r="A1069" s="3" t="s">
        <v>2272</v>
      </c>
      <c r="B1069" s="5" t="n">
        <v>46237.6743055556</v>
      </c>
      <c r="C1069" s="3" t="s">
        <v>30</v>
      </c>
      <c r="D1069" s="3" t="s">
        <v>119</v>
      </c>
      <c r="E1069" s="3" t="s">
        <v>120</v>
      </c>
      <c r="F1069" s="3" t="s">
        <v>33</v>
      </c>
      <c r="G1069" s="3" t="s">
        <v>42</v>
      </c>
      <c r="H1069" s="3" t="s">
        <v>2273</v>
      </c>
      <c r="I1069" s="3" t="n">
        <v>4</v>
      </c>
      <c r="J1069" s="3" t="n">
        <v>5</v>
      </c>
      <c r="K1069" s="3" t="n">
        <v>3</v>
      </c>
      <c r="L1069" s="3" t="n">
        <v>4</v>
      </c>
      <c r="M1069" s="3" t="n">
        <v>4</v>
      </c>
      <c r="N1069" s="3" t="n">
        <v>3</v>
      </c>
      <c r="O1069" s="6" t="b">
        <f aca="false">FALSE()</f>
        <v>0</v>
      </c>
      <c r="P1069" s="3"/>
      <c r="Q1069" s="5" t="n">
        <v>46237.6756944444</v>
      </c>
      <c r="R1069" s="5" t="n">
        <v>46237.8</v>
      </c>
      <c r="S1069" s="3" t="s">
        <v>1699</v>
      </c>
      <c r="T1069" s="7" t="n">
        <f aca="false">ROUND(MIN(IF(OR(O1069=TRUE(),O1069="TRUE",O1069="Yes"),59,100),(I1069*Rubric!$C$2+J1069*Rubric!$C$3+K1069*Rubric!$C$4+L1069*Rubric!$C$5+M1069*Rubric!$C$6+N1069*Rubric!$C$7)/5),1)</f>
        <v>78</v>
      </c>
      <c r="U1069" s="8" t="str">
        <f aca="false">LOOKUP(T1069,Bands!$A$2:$A$6,Bands!$B$2:$B$6)</f>
        <v>Meets Expectations</v>
      </c>
      <c r="V1069" s="8" t="n">
        <f aca="false">IF(Q1069="","",ROUND((Q1069-B1069)*24,1))</f>
        <v>0</v>
      </c>
    </row>
    <row r="1070" customFormat="false" ht="15" hidden="false" customHeight="false" outlineLevel="0" collapsed="false">
      <c r="A1070" s="3" t="s">
        <v>2274</v>
      </c>
      <c r="B1070" s="5" t="n">
        <v>46238.4881944444</v>
      </c>
      <c r="C1070" s="3" t="s">
        <v>30</v>
      </c>
      <c r="D1070" s="3" t="s">
        <v>259</v>
      </c>
      <c r="E1070" s="3" t="s">
        <v>260</v>
      </c>
      <c r="F1070" s="3" t="s">
        <v>33</v>
      </c>
      <c r="G1070" s="3" t="s">
        <v>34</v>
      </c>
      <c r="H1070" s="3" t="s">
        <v>2275</v>
      </c>
      <c r="I1070" s="3" t="n">
        <v>5</v>
      </c>
      <c r="J1070" s="3" t="n">
        <v>4</v>
      </c>
      <c r="K1070" s="3" t="n">
        <v>4</v>
      </c>
      <c r="L1070" s="3" t="n">
        <v>5</v>
      </c>
      <c r="M1070" s="3" t="n">
        <v>5</v>
      </c>
      <c r="N1070" s="3" t="n">
        <v>5</v>
      </c>
      <c r="O1070" s="6" t="b">
        <f aca="false">FALSE()</f>
        <v>0</v>
      </c>
      <c r="P1070" s="3"/>
      <c r="Q1070" s="5" t="n">
        <v>46238.4888888889</v>
      </c>
      <c r="R1070" s="5" t="n">
        <v>46238.7451388889</v>
      </c>
      <c r="S1070" s="3" t="s">
        <v>1699</v>
      </c>
      <c r="T1070" s="7" t="n">
        <f aca="false">ROUND(MIN(IF(OR(O1070=TRUE(),O1070="TRUE",O1070="Yes"),59,100),(I1070*Rubric!$C$2+J1070*Rubric!$C$3+K1070*Rubric!$C$4+L1070*Rubric!$C$5+M1070*Rubric!$C$6+N1070*Rubric!$C$7)/5),1)</f>
        <v>91</v>
      </c>
      <c r="U1070" s="8" t="str">
        <f aca="false">LOOKUP(T1070,Bands!$A$2:$A$6,Bands!$B$2:$B$6)</f>
        <v>Outstanding</v>
      </c>
      <c r="V1070" s="8" t="n">
        <f aca="false">IF(Q1070="","",ROUND((Q1070-B1070)*24,1))</f>
        <v>0</v>
      </c>
    </row>
    <row r="1071" customFormat="false" ht="15" hidden="false" customHeight="false" outlineLevel="0" collapsed="false">
      <c r="A1071" s="3" t="s">
        <v>2276</v>
      </c>
      <c r="B1071" s="5" t="n">
        <v>46238.5215277778</v>
      </c>
      <c r="C1071" s="3" t="s">
        <v>39</v>
      </c>
      <c r="D1071" s="3" t="s">
        <v>51</v>
      </c>
      <c r="E1071" s="3" t="s">
        <v>52</v>
      </c>
      <c r="F1071" s="3" t="s">
        <v>53</v>
      </c>
      <c r="G1071" s="3" t="s">
        <v>42</v>
      </c>
      <c r="H1071" s="3" t="s">
        <v>2277</v>
      </c>
      <c r="I1071" s="3" t="n">
        <v>4</v>
      </c>
      <c r="J1071" s="3" t="n">
        <v>4</v>
      </c>
      <c r="K1071" s="3" t="n">
        <v>3</v>
      </c>
      <c r="L1071" s="3" t="n">
        <v>4</v>
      </c>
      <c r="M1071" s="3" t="n">
        <v>4</v>
      </c>
      <c r="N1071" s="3" t="n">
        <v>5</v>
      </c>
      <c r="O1071" s="6" t="b">
        <f aca="false">FALSE()</f>
        <v>0</v>
      </c>
      <c r="P1071" s="3"/>
      <c r="Q1071" s="5" t="n">
        <v>46238.5222222222</v>
      </c>
      <c r="R1071" s="5" t="n">
        <v>46238.54375</v>
      </c>
      <c r="S1071" s="3" t="s">
        <v>1699</v>
      </c>
      <c r="T1071" s="7" t="n">
        <f aca="false">ROUND(MIN(IF(OR(O1071=TRUE(),O1071="TRUE",O1071="Yes"),59,100),(I1071*Rubric!$C$2+J1071*Rubric!$C$3+K1071*Rubric!$C$4+L1071*Rubric!$C$5+M1071*Rubric!$C$6+N1071*Rubric!$C$7)/5),1)</f>
        <v>79</v>
      </c>
      <c r="U1071" s="8" t="str">
        <f aca="false">LOOKUP(T1071,Bands!$A$2:$A$6,Bands!$B$2:$B$6)</f>
        <v>Meets Expectations</v>
      </c>
      <c r="V1071" s="8" t="n">
        <f aca="false">IF(Q1071="","",ROUND((Q1071-B1071)*24,1))</f>
        <v>0</v>
      </c>
    </row>
    <row r="1072" customFormat="false" ht="15" hidden="false" customHeight="false" outlineLevel="0" collapsed="false">
      <c r="A1072" s="3" t="s">
        <v>2278</v>
      </c>
      <c r="B1072" s="5" t="n">
        <v>46238.6291666667</v>
      </c>
      <c r="C1072" s="3" t="s">
        <v>68</v>
      </c>
      <c r="D1072" s="3" t="s">
        <v>167</v>
      </c>
      <c r="E1072" s="3" t="s">
        <v>168</v>
      </c>
      <c r="F1072" s="3" t="s">
        <v>33</v>
      </c>
      <c r="G1072" s="3" t="s">
        <v>54</v>
      </c>
      <c r="H1072" s="3" t="s">
        <v>2279</v>
      </c>
      <c r="I1072" s="3" t="n">
        <v>4</v>
      </c>
      <c r="J1072" s="3" t="n">
        <v>3</v>
      </c>
      <c r="K1072" s="3" t="n">
        <v>4</v>
      </c>
      <c r="L1072" s="3" t="n">
        <v>4</v>
      </c>
      <c r="M1072" s="3" t="n">
        <v>2</v>
      </c>
      <c r="N1072" s="3" t="n">
        <v>3</v>
      </c>
      <c r="O1072" s="6" t="b">
        <f aca="false">FALSE()</f>
        <v>0</v>
      </c>
      <c r="P1072" s="3" t="s">
        <v>103</v>
      </c>
      <c r="Q1072" s="5" t="n">
        <v>46238.63125</v>
      </c>
      <c r="R1072" s="5" t="n">
        <v>46238.9479166667</v>
      </c>
      <c r="S1072" s="3" t="s">
        <v>1699</v>
      </c>
      <c r="T1072" s="7" t="n">
        <f aca="false">ROUND(MIN(IF(OR(O1072=TRUE(),O1072="TRUE",O1072="Yes"),59,100),(I1072*Rubric!$C$2+J1072*Rubric!$C$3+K1072*Rubric!$C$4+L1072*Rubric!$C$5+M1072*Rubric!$C$6+N1072*Rubric!$C$7)/5),1)</f>
        <v>68</v>
      </c>
      <c r="U1072" s="8" t="str">
        <f aca="false">LOOKUP(T1072,Bands!$A$2:$A$6,Bands!$B$2:$B$6)</f>
        <v>Needs Improvement</v>
      </c>
      <c r="V1072" s="8" t="n">
        <f aca="false">IF(Q1072="","",ROUND((Q1072-B1072)*24,1))</f>
        <v>0</v>
      </c>
    </row>
    <row r="1073" customFormat="false" ht="15" hidden="false" customHeight="false" outlineLevel="0" collapsed="false">
      <c r="A1073" s="3" t="s">
        <v>2280</v>
      </c>
      <c r="B1073" s="5" t="n">
        <v>46238.59375</v>
      </c>
      <c r="C1073" s="3" t="s">
        <v>39</v>
      </c>
      <c r="D1073" s="3" t="s">
        <v>228</v>
      </c>
      <c r="E1073" s="3" t="s">
        <v>229</v>
      </c>
      <c r="F1073" s="3" t="s">
        <v>65</v>
      </c>
      <c r="G1073" s="3" t="s">
        <v>42</v>
      </c>
      <c r="H1073" s="3" t="s">
        <v>2281</v>
      </c>
      <c r="I1073" s="3" t="n">
        <v>3</v>
      </c>
      <c r="J1073" s="3" t="n">
        <v>3</v>
      </c>
      <c r="K1073" s="3" t="n">
        <v>2</v>
      </c>
      <c r="L1073" s="3" t="n">
        <v>4</v>
      </c>
      <c r="M1073" s="3" t="n">
        <v>3</v>
      </c>
      <c r="N1073" s="3" t="n">
        <v>3</v>
      </c>
      <c r="O1073" s="6" t="b">
        <f aca="false">FALSE()</f>
        <v>0</v>
      </c>
      <c r="P1073" s="3" t="s">
        <v>49</v>
      </c>
      <c r="Q1073" s="5" t="n">
        <v>46238.5944444445</v>
      </c>
      <c r="R1073" s="5" t="n">
        <v>46238.6854166667</v>
      </c>
      <c r="S1073" s="3" t="s">
        <v>1699</v>
      </c>
      <c r="T1073" s="7" t="n">
        <f aca="false">ROUND(MIN(IF(OR(O1073=TRUE(),O1073="TRUE",O1073="Yes"),59,100),(I1073*Rubric!$C$2+J1073*Rubric!$C$3+K1073*Rubric!$C$4+L1073*Rubric!$C$5+M1073*Rubric!$C$6+N1073*Rubric!$C$7)/5),1)</f>
        <v>59</v>
      </c>
      <c r="U1073" s="8" t="str">
        <f aca="false">LOOKUP(T1073,Bands!$A$2:$A$6,Bands!$B$2:$B$6)</f>
        <v>Critical</v>
      </c>
      <c r="V1073" s="8" t="n">
        <f aca="false">IF(Q1073="","",ROUND((Q1073-B1073)*24,1))</f>
        <v>0</v>
      </c>
    </row>
    <row r="1074" customFormat="false" ht="15" hidden="false" customHeight="false" outlineLevel="0" collapsed="false">
      <c r="A1074" s="3" t="s">
        <v>2282</v>
      </c>
      <c r="B1074" s="5" t="n">
        <v>46238.4854166667</v>
      </c>
      <c r="C1074" s="3" t="s">
        <v>68</v>
      </c>
      <c r="D1074" s="3" t="s">
        <v>105</v>
      </c>
      <c r="E1074" s="3" t="s">
        <v>106</v>
      </c>
      <c r="F1074" s="3" t="s">
        <v>65</v>
      </c>
      <c r="G1074" s="3" t="s">
        <v>34</v>
      </c>
      <c r="H1074" s="3" t="s">
        <v>2283</v>
      </c>
      <c r="I1074" s="3" t="n">
        <v>4</v>
      </c>
      <c r="J1074" s="3" t="n">
        <v>4</v>
      </c>
      <c r="K1074" s="3" t="n">
        <v>5</v>
      </c>
      <c r="L1074" s="3" t="n">
        <v>4</v>
      </c>
      <c r="M1074" s="3" t="n">
        <v>4</v>
      </c>
      <c r="N1074" s="3" t="n">
        <v>4</v>
      </c>
      <c r="O1074" s="6" t="b">
        <f aca="false">FALSE()</f>
        <v>0</v>
      </c>
      <c r="P1074" s="3"/>
      <c r="Q1074" s="5" t="n">
        <v>46238.4875</v>
      </c>
      <c r="R1074" s="5" t="n">
        <v>46238.5986111111</v>
      </c>
      <c r="S1074" s="3" t="s">
        <v>1699</v>
      </c>
      <c r="T1074" s="7" t="n">
        <f aca="false">ROUND(MIN(IF(OR(O1074=TRUE(),O1074="TRUE",O1074="Yes"),59,100),(I1074*Rubric!$C$2+J1074*Rubric!$C$3+K1074*Rubric!$C$4+L1074*Rubric!$C$5+M1074*Rubric!$C$6+N1074*Rubric!$C$7)/5),1)</f>
        <v>84</v>
      </c>
      <c r="U1074" s="8" t="str">
        <f aca="false">LOOKUP(T1074,Bands!$A$2:$A$6,Bands!$B$2:$B$6)</f>
        <v>Solid Performance</v>
      </c>
      <c r="V1074" s="8" t="n">
        <f aca="false">IF(Q1074="","",ROUND((Q1074-B1074)*24,1))</f>
        <v>0</v>
      </c>
    </row>
    <row r="1075" customFormat="false" ht="15" hidden="false" customHeight="false" outlineLevel="0" collapsed="false">
      <c r="A1075" s="3" t="s">
        <v>2284</v>
      </c>
      <c r="B1075" s="5" t="n">
        <v>46238.675</v>
      </c>
      <c r="C1075" s="3" t="s">
        <v>68</v>
      </c>
      <c r="D1075" s="3" t="s">
        <v>137</v>
      </c>
      <c r="E1075" s="3" t="s">
        <v>138</v>
      </c>
      <c r="F1075" s="3" t="s">
        <v>65</v>
      </c>
      <c r="G1075" s="3" t="s">
        <v>42</v>
      </c>
      <c r="H1075" s="3" t="s">
        <v>2285</v>
      </c>
      <c r="I1075" s="3" t="n">
        <v>3</v>
      </c>
      <c r="J1075" s="3" t="n">
        <v>5</v>
      </c>
      <c r="K1075" s="3" t="n">
        <v>5</v>
      </c>
      <c r="L1075" s="3" t="n">
        <v>5</v>
      </c>
      <c r="M1075" s="3" t="n">
        <v>5</v>
      </c>
      <c r="N1075" s="3" t="n">
        <v>4</v>
      </c>
      <c r="O1075" s="6" t="b">
        <f aca="false">FALSE()</f>
        <v>0</v>
      </c>
      <c r="P1075" s="3"/>
      <c r="Q1075" s="5" t="n">
        <v>46238.6763888889</v>
      </c>
      <c r="R1075" s="5" t="n">
        <v>46238.7340277778</v>
      </c>
      <c r="S1075" s="3" t="s">
        <v>1699</v>
      </c>
      <c r="T1075" s="7" t="n">
        <f aca="false">ROUND(MIN(IF(OR(O1075=TRUE(),O1075="TRUE",O1075="Yes"),59,100),(I1075*Rubric!$C$2+J1075*Rubric!$C$3+K1075*Rubric!$C$4+L1075*Rubric!$C$5+M1075*Rubric!$C$6+N1075*Rubric!$C$7)/5),1)</f>
        <v>91</v>
      </c>
      <c r="U1075" s="8" t="str">
        <f aca="false">LOOKUP(T1075,Bands!$A$2:$A$6,Bands!$B$2:$B$6)</f>
        <v>Outstanding</v>
      </c>
      <c r="V1075" s="8" t="n">
        <f aca="false">IF(Q1075="","",ROUND((Q1075-B1075)*24,1))</f>
        <v>0</v>
      </c>
    </row>
    <row r="1076" customFormat="false" ht="15" hidden="false" customHeight="false" outlineLevel="0" collapsed="false">
      <c r="A1076" s="3" t="s">
        <v>2286</v>
      </c>
      <c r="B1076" s="5" t="n">
        <v>46238.6006944445</v>
      </c>
      <c r="C1076" s="3" t="s">
        <v>30</v>
      </c>
      <c r="D1076" s="3" t="s">
        <v>161</v>
      </c>
      <c r="E1076" s="3" t="s">
        <v>162</v>
      </c>
      <c r="F1076" s="3" t="s">
        <v>33</v>
      </c>
      <c r="G1076" s="3" t="s">
        <v>54</v>
      </c>
      <c r="H1076" s="3" t="s">
        <v>2287</v>
      </c>
      <c r="I1076" s="3" t="n">
        <v>4</v>
      </c>
      <c r="J1076" s="3" t="n">
        <v>4</v>
      </c>
      <c r="K1076" s="3" t="n">
        <v>4</v>
      </c>
      <c r="L1076" s="3" t="n">
        <v>4</v>
      </c>
      <c r="M1076" s="3" t="n">
        <v>4</v>
      </c>
      <c r="N1076" s="3" t="n">
        <v>4</v>
      </c>
      <c r="O1076" s="6" t="b">
        <f aca="false">FALSE()</f>
        <v>0</v>
      </c>
      <c r="P1076" s="3"/>
      <c r="Q1076" s="5" t="n">
        <v>46238.6027777778</v>
      </c>
      <c r="R1076" s="5" t="n">
        <v>46238.7208333333</v>
      </c>
      <c r="S1076" s="3" t="s">
        <v>1699</v>
      </c>
      <c r="T1076" s="7" t="n">
        <f aca="false">ROUND(MIN(IF(OR(O1076=TRUE(),O1076="TRUE",O1076="Yes"),59,100),(I1076*Rubric!$C$2+J1076*Rubric!$C$3+K1076*Rubric!$C$4+L1076*Rubric!$C$5+M1076*Rubric!$C$6+N1076*Rubric!$C$7)/5),1)</f>
        <v>80</v>
      </c>
      <c r="U1076" s="8" t="str">
        <f aca="false">LOOKUP(T1076,Bands!$A$2:$A$6,Bands!$B$2:$B$6)</f>
        <v>Solid Performance</v>
      </c>
      <c r="V1076" s="8" t="n">
        <f aca="false">IF(Q1076="","",ROUND((Q1076-B1076)*24,1))</f>
        <v>0</v>
      </c>
    </row>
    <row r="1077" customFormat="false" ht="15" hidden="false" customHeight="false" outlineLevel="0" collapsed="false">
      <c r="A1077" s="3" t="s">
        <v>2288</v>
      </c>
      <c r="B1077" s="5" t="n">
        <v>46238.5520833333</v>
      </c>
      <c r="C1077" s="3" t="s">
        <v>39</v>
      </c>
      <c r="D1077" s="3" t="s">
        <v>222</v>
      </c>
      <c r="E1077" s="3" t="s">
        <v>223</v>
      </c>
      <c r="F1077" s="3" t="s">
        <v>53</v>
      </c>
      <c r="G1077" s="3" t="s">
        <v>54</v>
      </c>
      <c r="H1077" s="3" t="s">
        <v>2289</v>
      </c>
      <c r="I1077" s="3" t="n">
        <v>5</v>
      </c>
      <c r="J1077" s="3" t="n">
        <v>5</v>
      </c>
      <c r="K1077" s="3" t="n">
        <v>4</v>
      </c>
      <c r="L1077" s="3" t="n">
        <v>5</v>
      </c>
      <c r="M1077" s="3" t="n">
        <v>5</v>
      </c>
      <c r="N1077" s="3" t="n">
        <v>3</v>
      </c>
      <c r="O1077" s="6" t="b">
        <f aca="false">FALSE()</f>
        <v>0</v>
      </c>
      <c r="P1077" s="3"/>
      <c r="Q1077" s="5" t="n">
        <v>46238.5534722222</v>
      </c>
      <c r="R1077" s="5" t="n">
        <v>46238.8451388889</v>
      </c>
      <c r="S1077" s="3" t="s">
        <v>1699</v>
      </c>
      <c r="T1077" s="7" t="n">
        <f aca="false">ROUND(MIN(IF(OR(O1077=TRUE(),O1077="TRUE",O1077="Yes"),59,100),(I1077*Rubric!$C$2+J1077*Rubric!$C$3+K1077*Rubric!$C$4+L1077*Rubric!$C$5+M1077*Rubric!$C$6+N1077*Rubric!$C$7)/5),1)</f>
        <v>90</v>
      </c>
      <c r="U1077" s="8" t="str">
        <f aca="false">LOOKUP(T1077,Bands!$A$2:$A$6,Bands!$B$2:$B$6)</f>
        <v>Outstanding</v>
      </c>
      <c r="V1077" s="8" t="n">
        <f aca="false">IF(Q1077="","",ROUND((Q1077-B1077)*24,1))</f>
        <v>0</v>
      </c>
    </row>
    <row r="1078" customFormat="false" ht="15" hidden="false" customHeight="false" outlineLevel="0" collapsed="false">
      <c r="A1078" s="3" t="s">
        <v>2290</v>
      </c>
      <c r="B1078" s="5" t="n">
        <v>46238.6097222222</v>
      </c>
      <c r="C1078" s="3" t="s">
        <v>39</v>
      </c>
      <c r="D1078" s="3" t="s">
        <v>77</v>
      </c>
      <c r="E1078" s="3" t="s">
        <v>78</v>
      </c>
      <c r="F1078" s="3" t="s">
        <v>33</v>
      </c>
      <c r="G1078" s="3" t="s">
        <v>34</v>
      </c>
      <c r="H1078" s="3" t="s">
        <v>2291</v>
      </c>
      <c r="I1078" s="3" t="n">
        <v>5</v>
      </c>
      <c r="J1078" s="3" t="n">
        <v>5</v>
      </c>
      <c r="K1078" s="3" t="n">
        <v>3</v>
      </c>
      <c r="L1078" s="3" t="n">
        <v>5</v>
      </c>
      <c r="M1078" s="3" t="n">
        <v>5</v>
      </c>
      <c r="N1078" s="3" t="n">
        <v>5</v>
      </c>
      <c r="O1078" s="6" t="b">
        <f aca="false">FALSE()</f>
        <v>0</v>
      </c>
      <c r="P1078" s="3"/>
      <c r="Q1078" s="5" t="n">
        <v>46238.6118055556</v>
      </c>
      <c r="R1078" s="5" t="n">
        <v>46239.0409722222</v>
      </c>
      <c r="S1078" s="3" t="s">
        <v>1699</v>
      </c>
      <c r="T1078" s="7" t="n">
        <f aca="false">ROUND(MIN(IF(OR(O1078=TRUE(),O1078="TRUE",O1078="Yes"),59,100),(I1078*Rubric!$C$2+J1078*Rubric!$C$3+K1078*Rubric!$C$4+L1078*Rubric!$C$5+M1078*Rubric!$C$6+N1078*Rubric!$C$7)/5),1)</f>
        <v>92</v>
      </c>
      <c r="U1078" s="8" t="str">
        <f aca="false">LOOKUP(T1078,Bands!$A$2:$A$6,Bands!$B$2:$B$6)</f>
        <v>Outstanding</v>
      </c>
      <c r="V1078" s="8" t="n">
        <f aca="false">IF(Q1078="","",ROUND((Q1078-B1078)*24,1))</f>
        <v>0.1</v>
      </c>
    </row>
    <row r="1079" customFormat="false" ht="15" hidden="false" customHeight="false" outlineLevel="0" collapsed="false">
      <c r="A1079" s="3" t="s">
        <v>2292</v>
      </c>
      <c r="B1079" s="5" t="n">
        <v>46238.4833333333</v>
      </c>
      <c r="C1079" s="3" t="s">
        <v>39</v>
      </c>
      <c r="D1079" s="3" t="s">
        <v>63</v>
      </c>
      <c r="E1079" s="3" t="s">
        <v>64</v>
      </c>
      <c r="F1079" s="3" t="s">
        <v>65</v>
      </c>
      <c r="G1079" s="3" t="s">
        <v>34</v>
      </c>
      <c r="H1079" s="3" t="s">
        <v>2293</v>
      </c>
      <c r="I1079" s="3" t="n">
        <v>3</v>
      </c>
      <c r="J1079" s="3" t="n">
        <v>4</v>
      </c>
      <c r="K1079" s="3" t="n">
        <v>3</v>
      </c>
      <c r="L1079" s="3" t="n">
        <v>4</v>
      </c>
      <c r="M1079" s="3" t="n">
        <v>4</v>
      </c>
      <c r="N1079" s="3" t="n">
        <v>5</v>
      </c>
      <c r="O1079" s="6" t="b">
        <f aca="false">FALSE()</f>
        <v>0</v>
      </c>
      <c r="P1079" s="3"/>
      <c r="Q1079" s="5" t="n">
        <v>46238.4854166667</v>
      </c>
      <c r="R1079" s="5" t="n">
        <v>46238.5326388889</v>
      </c>
      <c r="S1079" s="3" t="s">
        <v>1699</v>
      </c>
      <c r="T1079" s="7" t="n">
        <f aca="false">ROUND(MIN(IF(OR(O1079=TRUE(),O1079="TRUE",O1079="Yes"),59,100),(I1079*Rubric!$C$2+J1079*Rubric!$C$3+K1079*Rubric!$C$4+L1079*Rubric!$C$5+M1079*Rubric!$C$6+N1079*Rubric!$C$7)/5),1)</f>
        <v>76</v>
      </c>
      <c r="U1079" s="8" t="str">
        <f aca="false">LOOKUP(T1079,Bands!$A$2:$A$6,Bands!$B$2:$B$6)</f>
        <v>Meets Expectations</v>
      </c>
      <c r="V1079" s="8" t="n">
        <f aca="false">IF(Q1079="","",ROUND((Q1079-B1079)*24,1))</f>
        <v>0.1</v>
      </c>
    </row>
    <row r="1080" customFormat="false" ht="15" hidden="false" customHeight="false" outlineLevel="0" collapsed="false">
      <c r="A1080" s="3" t="s">
        <v>2294</v>
      </c>
      <c r="B1080" s="5" t="n">
        <v>46238.5243055556</v>
      </c>
      <c r="C1080" s="3" t="s">
        <v>30</v>
      </c>
      <c r="D1080" s="3" t="s">
        <v>238</v>
      </c>
      <c r="E1080" s="3" t="s">
        <v>239</v>
      </c>
      <c r="F1080" s="3" t="s">
        <v>33</v>
      </c>
      <c r="G1080" s="3" t="s">
        <v>54</v>
      </c>
      <c r="H1080" s="3" t="s">
        <v>2295</v>
      </c>
      <c r="I1080" s="3" t="n">
        <v>4</v>
      </c>
      <c r="J1080" s="3" t="n">
        <v>3</v>
      </c>
      <c r="K1080" s="3" t="n">
        <v>4</v>
      </c>
      <c r="L1080" s="3" t="n">
        <v>4</v>
      </c>
      <c r="M1080" s="3" t="n">
        <v>3</v>
      </c>
      <c r="N1080" s="3" t="n">
        <v>4</v>
      </c>
      <c r="O1080" s="6" t="b">
        <f aca="false">FALSE()</f>
        <v>0</v>
      </c>
      <c r="P1080" s="3"/>
      <c r="Q1080" s="5" t="n">
        <v>46238.525</v>
      </c>
      <c r="R1080" s="5" t="n">
        <v>46238.6131944444</v>
      </c>
      <c r="S1080" s="3" t="s">
        <v>1699</v>
      </c>
      <c r="T1080" s="7" t="n">
        <f aca="false">ROUND(MIN(IF(OR(O1080=TRUE(),O1080="TRUE",O1080="Yes"),59,100),(I1080*Rubric!$C$2+J1080*Rubric!$C$3+K1080*Rubric!$C$4+L1080*Rubric!$C$5+M1080*Rubric!$C$6+N1080*Rubric!$C$7)/5),1)</f>
        <v>73</v>
      </c>
      <c r="U1080" s="8" t="str">
        <f aca="false">LOOKUP(T1080,Bands!$A$2:$A$6,Bands!$B$2:$B$6)</f>
        <v>Meets Expectations</v>
      </c>
      <c r="V1080" s="8" t="n">
        <f aca="false">IF(Q1080="","",ROUND((Q1080-B1080)*24,1))</f>
        <v>0</v>
      </c>
    </row>
    <row r="1081" customFormat="false" ht="15" hidden="false" customHeight="false" outlineLevel="0" collapsed="false">
      <c r="A1081" s="3" t="s">
        <v>2296</v>
      </c>
      <c r="B1081" s="5" t="n">
        <v>46238.4875</v>
      </c>
      <c r="C1081" s="3" t="s">
        <v>39</v>
      </c>
      <c r="D1081" s="3" t="s">
        <v>145</v>
      </c>
      <c r="E1081" s="3" t="s">
        <v>146</v>
      </c>
      <c r="F1081" s="3" t="s">
        <v>33</v>
      </c>
      <c r="G1081" s="3" t="s">
        <v>42</v>
      </c>
      <c r="H1081" s="3" t="s">
        <v>2297</v>
      </c>
      <c r="I1081" s="3" t="n">
        <v>4</v>
      </c>
      <c r="J1081" s="3" t="n">
        <v>3</v>
      </c>
      <c r="K1081" s="3" t="n">
        <v>5</v>
      </c>
      <c r="L1081" s="3" t="n">
        <v>4</v>
      </c>
      <c r="M1081" s="3" t="n">
        <v>3</v>
      </c>
      <c r="N1081" s="3" t="n">
        <v>4</v>
      </c>
      <c r="O1081" s="6" t="b">
        <f aca="false">FALSE()</f>
        <v>0</v>
      </c>
      <c r="P1081" s="3"/>
      <c r="Q1081" s="5" t="n">
        <v>46238.4881944444</v>
      </c>
      <c r="R1081" s="5" t="n">
        <v>46238.5145833333</v>
      </c>
      <c r="S1081" s="3" t="s">
        <v>1699</v>
      </c>
      <c r="T1081" s="7" t="n">
        <f aca="false">ROUND(MIN(IF(OR(O1081=TRUE(),O1081="TRUE",O1081="Yes"),59,100),(I1081*Rubric!$C$2+J1081*Rubric!$C$3+K1081*Rubric!$C$4+L1081*Rubric!$C$5+M1081*Rubric!$C$6+N1081*Rubric!$C$7)/5),1)</f>
        <v>77</v>
      </c>
      <c r="U1081" s="8" t="str">
        <f aca="false">LOOKUP(T1081,Bands!$A$2:$A$6,Bands!$B$2:$B$6)</f>
        <v>Meets Expectations</v>
      </c>
      <c r="V1081" s="8" t="n">
        <f aca="false">IF(Q1081="","",ROUND((Q1081-B1081)*24,1))</f>
        <v>0</v>
      </c>
    </row>
    <row r="1082" customFormat="false" ht="15" hidden="false" customHeight="false" outlineLevel="0" collapsed="false">
      <c r="A1082" s="3" t="s">
        <v>2298</v>
      </c>
      <c r="B1082" s="5" t="n">
        <v>46239.4534722222</v>
      </c>
      <c r="C1082" s="3" t="s">
        <v>68</v>
      </c>
      <c r="D1082" s="3" t="s">
        <v>259</v>
      </c>
      <c r="E1082" s="3" t="s">
        <v>260</v>
      </c>
      <c r="F1082" s="3" t="s">
        <v>33</v>
      </c>
      <c r="G1082" s="3" t="s">
        <v>54</v>
      </c>
      <c r="H1082" s="3" t="s">
        <v>2299</v>
      </c>
      <c r="I1082" s="3" t="n">
        <v>5</v>
      </c>
      <c r="J1082" s="3" t="n">
        <v>5</v>
      </c>
      <c r="K1082" s="3" t="n">
        <v>3</v>
      </c>
      <c r="L1082" s="3" t="n">
        <v>5</v>
      </c>
      <c r="M1082" s="3" t="n">
        <v>5</v>
      </c>
      <c r="N1082" s="3" t="n">
        <v>4</v>
      </c>
      <c r="O1082" s="6" t="b">
        <f aca="false">FALSE()</f>
        <v>0</v>
      </c>
      <c r="P1082" s="3"/>
      <c r="Q1082" s="5" t="n">
        <v>46239.4541666667</v>
      </c>
      <c r="R1082" s="5" t="n">
        <v>46239.7826388889</v>
      </c>
      <c r="S1082" s="3" t="s">
        <v>1699</v>
      </c>
      <c r="T1082" s="7" t="n">
        <f aca="false">ROUND(MIN(IF(OR(O1082=TRUE(),O1082="TRUE",O1082="Yes"),59,100),(I1082*Rubric!$C$2+J1082*Rubric!$C$3+K1082*Rubric!$C$4+L1082*Rubric!$C$5+M1082*Rubric!$C$6+N1082*Rubric!$C$7)/5),1)</f>
        <v>89</v>
      </c>
      <c r="U1082" s="8" t="str">
        <f aca="false">LOOKUP(T1082,Bands!$A$2:$A$6,Bands!$B$2:$B$6)</f>
        <v>Solid Performance</v>
      </c>
      <c r="V1082" s="8" t="n">
        <f aca="false">IF(Q1082="","",ROUND((Q1082-B1082)*24,1))</f>
        <v>0</v>
      </c>
    </row>
    <row r="1083" customFormat="false" ht="15" hidden="false" customHeight="false" outlineLevel="0" collapsed="false">
      <c r="A1083" s="3" t="s">
        <v>2300</v>
      </c>
      <c r="B1083" s="5" t="n">
        <v>46239.4902777778</v>
      </c>
      <c r="C1083" s="3" t="s">
        <v>30</v>
      </c>
      <c r="D1083" s="3" t="s">
        <v>212</v>
      </c>
      <c r="E1083" s="3" t="s">
        <v>213</v>
      </c>
      <c r="F1083" s="3" t="s">
        <v>33</v>
      </c>
      <c r="G1083" s="3" t="s">
        <v>54</v>
      </c>
      <c r="H1083" s="3" t="s">
        <v>2301</v>
      </c>
      <c r="I1083" s="3" t="n">
        <v>4</v>
      </c>
      <c r="J1083" s="3" t="n">
        <v>4</v>
      </c>
      <c r="K1083" s="3" t="n">
        <v>4</v>
      </c>
      <c r="L1083" s="3" t="n">
        <v>4</v>
      </c>
      <c r="M1083" s="3" t="n">
        <v>4</v>
      </c>
      <c r="N1083" s="3" t="n">
        <v>2</v>
      </c>
      <c r="O1083" s="6" t="b">
        <f aca="false">FALSE()</f>
        <v>0</v>
      </c>
      <c r="P1083" s="3" t="s">
        <v>36</v>
      </c>
      <c r="Q1083" s="5" t="n">
        <v>46239.4916666667</v>
      </c>
      <c r="R1083" s="5" t="n">
        <v>46239.5805555556</v>
      </c>
      <c r="S1083" s="3" t="s">
        <v>1699</v>
      </c>
      <c r="T1083" s="7" t="n">
        <f aca="false">ROUND(MIN(IF(OR(O1083=TRUE(),O1083="TRUE",O1083="Yes"),59,100),(I1083*Rubric!$C$2+J1083*Rubric!$C$3+K1083*Rubric!$C$4+L1083*Rubric!$C$5+M1083*Rubric!$C$6+N1083*Rubric!$C$7)/5),1)</f>
        <v>74</v>
      </c>
      <c r="U1083" s="8" t="str">
        <f aca="false">LOOKUP(T1083,Bands!$A$2:$A$6,Bands!$B$2:$B$6)</f>
        <v>Meets Expectations</v>
      </c>
      <c r="V1083" s="8" t="n">
        <f aca="false">IF(Q1083="","",ROUND((Q1083-B1083)*24,1))</f>
        <v>0</v>
      </c>
    </row>
    <row r="1084" customFormat="false" ht="15" hidden="false" customHeight="false" outlineLevel="0" collapsed="false">
      <c r="A1084" s="3" t="s">
        <v>2302</v>
      </c>
      <c r="B1084" s="5" t="n">
        <v>46239.4291666667</v>
      </c>
      <c r="C1084" s="3" t="s">
        <v>30</v>
      </c>
      <c r="D1084" s="3" t="s">
        <v>115</v>
      </c>
      <c r="E1084" s="3" t="s">
        <v>116</v>
      </c>
      <c r="F1084" s="3" t="s">
        <v>33</v>
      </c>
      <c r="G1084" s="3" t="s">
        <v>54</v>
      </c>
      <c r="H1084" s="3" t="s">
        <v>2303</v>
      </c>
      <c r="I1084" s="3" t="n">
        <v>4</v>
      </c>
      <c r="J1084" s="3" t="n">
        <v>4</v>
      </c>
      <c r="K1084" s="3" t="n">
        <v>5</v>
      </c>
      <c r="L1084" s="3" t="n">
        <v>4</v>
      </c>
      <c r="M1084" s="3" t="n">
        <v>3</v>
      </c>
      <c r="N1084" s="3" t="n">
        <v>3</v>
      </c>
      <c r="O1084" s="6" t="b">
        <f aca="false">FALSE()</f>
        <v>0</v>
      </c>
      <c r="P1084" s="3"/>
      <c r="Q1084" s="5" t="n">
        <v>46239.4298611111</v>
      </c>
      <c r="R1084" s="5" t="n">
        <v>46239.6638888889</v>
      </c>
      <c r="S1084" s="3" t="s">
        <v>1699</v>
      </c>
      <c r="T1084" s="7" t="n">
        <f aca="false">ROUND(MIN(IF(OR(O1084=TRUE(),O1084="TRUE",O1084="Yes"),59,100),(I1084*Rubric!$C$2+J1084*Rubric!$C$3+K1084*Rubric!$C$4+L1084*Rubric!$C$5+M1084*Rubric!$C$6+N1084*Rubric!$C$7)/5),1)</f>
        <v>79</v>
      </c>
      <c r="U1084" s="8" t="str">
        <f aca="false">LOOKUP(T1084,Bands!$A$2:$A$6,Bands!$B$2:$B$6)</f>
        <v>Meets Expectations</v>
      </c>
      <c r="V1084" s="8" t="n">
        <f aca="false">IF(Q1084="","",ROUND((Q1084-B1084)*24,1))</f>
        <v>0</v>
      </c>
    </row>
    <row r="1085" customFormat="false" ht="15" hidden="false" customHeight="false" outlineLevel="0" collapsed="false">
      <c r="A1085" s="3" t="s">
        <v>2304</v>
      </c>
      <c r="B1085" s="5" t="n">
        <v>46239.6534722222</v>
      </c>
      <c r="C1085" s="3" t="s">
        <v>30</v>
      </c>
      <c r="D1085" s="3" t="s">
        <v>96</v>
      </c>
      <c r="E1085" s="3" t="s">
        <v>97</v>
      </c>
      <c r="F1085" s="3" t="s">
        <v>33</v>
      </c>
      <c r="G1085" s="3" t="s">
        <v>42</v>
      </c>
      <c r="H1085" s="3" t="s">
        <v>2305</v>
      </c>
      <c r="I1085" s="3" t="n">
        <v>4</v>
      </c>
      <c r="J1085" s="3" t="n">
        <v>4</v>
      </c>
      <c r="K1085" s="3" t="n">
        <v>5</v>
      </c>
      <c r="L1085" s="3" t="n">
        <v>5</v>
      </c>
      <c r="M1085" s="3" t="n">
        <v>5</v>
      </c>
      <c r="N1085" s="3" t="n">
        <v>5</v>
      </c>
      <c r="O1085" s="6" t="b">
        <f aca="false">FALSE()</f>
        <v>0</v>
      </c>
      <c r="P1085" s="3"/>
      <c r="Q1085" s="5" t="n">
        <v>46239.6548611111</v>
      </c>
      <c r="R1085" s="5" t="n">
        <v>46239.6583333333</v>
      </c>
      <c r="S1085" s="3" t="s">
        <v>1699</v>
      </c>
      <c r="T1085" s="7" t="n">
        <f aca="false">ROUND(MIN(IF(OR(O1085=TRUE(),O1085="TRUE",O1085="Yes"),59,100),(I1085*Rubric!$C$2+J1085*Rubric!$C$3+K1085*Rubric!$C$4+L1085*Rubric!$C$5+M1085*Rubric!$C$6+N1085*Rubric!$C$7)/5),1)</f>
        <v>92</v>
      </c>
      <c r="U1085" s="8" t="str">
        <f aca="false">LOOKUP(T1085,Bands!$A$2:$A$6,Bands!$B$2:$B$6)</f>
        <v>Outstanding</v>
      </c>
      <c r="V1085" s="8" t="n">
        <f aca="false">IF(Q1085="","",ROUND((Q1085-B1085)*24,1))</f>
        <v>0</v>
      </c>
    </row>
    <row r="1086" customFormat="false" ht="15" hidden="false" customHeight="false" outlineLevel="0" collapsed="false">
      <c r="A1086" s="3" t="s">
        <v>2306</v>
      </c>
      <c r="B1086" s="5" t="n">
        <v>46239.4409722222</v>
      </c>
      <c r="C1086" s="3" t="s">
        <v>39</v>
      </c>
      <c r="D1086" s="3" t="s">
        <v>119</v>
      </c>
      <c r="E1086" s="3" t="s">
        <v>120</v>
      </c>
      <c r="F1086" s="3" t="s">
        <v>33</v>
      </c>
      <c r="G1086" s="3" t="s">
        <v>42</v>
      </c>
      <c r="H1086" s="3" t="s">
        <v>2307</v>
      </c>
      <c r="I1086" s="3" t="n">
        <v>4</v>
      </c>
      <c r="J1086" s="3" t="n">
        <v>4</v>
      </c>
      <c r="K1086" s="3" t="n">
        <v>3</v>
      </c>
      <c r="L1086" s="3" t="n">
        <v>5</v>
      </c>
      <c r="M1086" s="3" t="n">
        <v>4</v>
      </c>
      <c r="N1086" s="3" t="n">
        <v>4</v>
      </c>
      <c r="O1086" s="6" t="b">
        <f aca="false">FALSE()</f>
        <v>0</v>
      </c>
      <c r="P1086" s="3"/>
      <c r="Q1086" s="5" t="n">
        <v>46239.4423611111</v>
      </c>
      <c r="R1086" s="5" t="n">
        <v>46239.7701388889</v>
      </c>
      <c r="S1086" s="3" t="s">
        <v>1699</v>
      </c>
      <c r="T1086" s="7" t="n">
        <f aca="false">ROUND(MIN(IF(OR(O1086=TRUE(),O1086="TRUE",O1086="Yes"),59,100),(I1086*Rubric!$C$2+J1086*Rubric!$C$3+K1086*Rubric!$C$4+L1086*Rubric!$C$5+M1086*Rubric!$C$6+N1086*Rubric!$C$7)/5),1)</f>
        <v>79</v>
      </c>
      <c r="U1086" s="8" t="str">
        <f aca="false">LOOKUP(T1086,Bands!$A$2:$A$6,Bands!$B$2:$B$6)</f>
        <v>Meets Expectations</v>
      </c>
      <c r="V1086" s="8" t="n">
        <f aca="false">IF(Q1086="","",ROUND((Q1086-B1086)*24,1))</f>
        <v>0</v>
      </c>
    </row>
    <row r="1087" customFormat="false" ht="15" hidden="false" customHeight="false" outlineLevel="0" collapsed="false">
      <c r="A1087" s="3" t="s">
        <v>2308</v>
      </c>
      <c r="B1087" s="5" t="n">
        <v>46239.4666666667</v>
      </c>
      <c r="C1087" s="3" t="s">
        <v>68</v>
      </c>
      <c r="D1087" s="3" t="s">
        <v>238</v>
      </c>
      <c r="E1087" s="3" t="s">
        <v>239</v>
      </c>
      <c r="F1087" s="3" t="s">
        <v>33</v>
      </c>
      <c r="G1087" s="3" t="s">
        <v>54</v>
      </c>
      <c r="H1087" s="3" t="s">
        <v>2309</v>
      </c>
      <c r="I1087" s="3" t="n">
        <v>4</v>
      </c>
      <c r="J1087" s="3" t="n">
        <v>4</v>
      </c>
      <c r="K1087" s="3" t="n">
        <v>4</v>
      </c>
      <c r="L1087" s="3" t="n">
        <v>5</v>
      </c>
      <c r="M1087" s="3" t="n">
        <v>3</v>
      </c>
      <c r="N1087" s="3" t="n">
        <v>5</v>
      </c>
      <c r="O1087" s="6" t="b">
        <f aca="false">FALSE()</f>
        <v>0</v>
      </c>
      <c r="P1087" s="3"/>
      <c r="Q1087" s="5" t="n">
        <v>46239.4680555556</v>
      </c>
      <c r="R1087" s="5" t="n">
        <v>46239.6076388889</v>
      </c>
      <c r="S1087" s="3" t="s">
        <v>1699</v>
      </c>
      <c r="T1087" s="7" t="n">
        <f aca="false">ROUND(MIN(IF(OR(O1087=TRUE(),O1087="TRUE",O1087="Yes"),59,100),(I1087*Rubric!$C$2+J1087*Rubric!$C$3+K1087*Rubric!$C$4+L1087*Rubric!$C$5+M1087*Rubric!$C$6+N1087*Rubric!$C$7)/5),1)</f>
        <v>84</v>
      </c>
      <c r="U1087" s="8" t="str">
        <f aca="false">LOOKUP(T1087,Bands!$A$2:$A$6,Bands!$B$2:$B$6)</f>
        <v>Solid Performance</v>
      </c>
      <c r="V1087" s="8" t="n">
        <f aca="false">IF(Q1087="","",ROUND((Q1087-B1087)*24,1))</f>
        <v>0</v>
      </c>
    </row>
    <row r="1088" customFormat="false" ht="15" hidden="false" customHeight="false" outlineLevel="0" collapsed="false">
      <c r="A1088" s="3" t="s">
        <v>2310</v>
      </c>
      <c r="B1088" s="5" t="n">
        <v>46239.6638888889</v>
      </c>
      <c r="C1088" s="3" t="s">
        <v>39</v>
      </c>
      <c r="D1088" s="3" t="s">
        <v>265</v>
      </c>
      <c r="E1088" s="3" t="s">
        <v>266</v>
      </c>
      <c r="F1088" s="3" t="s">
        <v>33</v>
      </c>
      <c r="G1088" s="3" t="s">
        <v>54</v>
      </c>
      <c r="H1088" s="3" t="s">
        <v>2311</v>
      </c>
      <c r="I1088" s="3" t="n">
        <v>3</v>
      </c>
      <c r="J1088" s="3" t="n">
        <v>4</v>
      </c>
      <c r="K1088" s="3" t="n">
        <v>3</v>
      </c>
      <c r="L1088" s="3" t="n">
        <v>3</v>
      </c>
      <c r="M1088" s="3" t="n">
        <v>2</v>
      </c>
      <c r="N1088" s="3" t="n">
        <v>3</v>
      </c>
      <c r="O1088" s="6" t="b">
        <f aca="false">FALSE()</f>
        <v>0</v>
      </c>
      <c r="P1088" s="3" t="s">
        <v>103</v>
      </c>
      <c r="Q1088" s="5" t="n">
        <v>46239.6659722222</v>
      </c>
      <c r="R1088" s="5" t="n">
        <v>46239.7333333333</v>
      </c>
      <c r="S1088" s="3" t="s">
        <v>1699</v>
      </c>
      <c r="T1088" s="7" t="n">
        <f aca="false">ROUND(MIN(IF(OR(O1088=TRUE(),O1088="TRUE",O1088="Yes"),59,100),(I1088*Rubric!$C$2+J1088*Rubric!$C$3+K1088*Rubric!$C$4+L1088*Rubric!$C$5+M1088*Rubric!$C$6+N1088*Rubric!$C$7)/5),1)</f>
        <v>63</v>
      </c>
      <c r="U1088" s="8" t="str">
        <f aca="false">LOOKUP(T1088,Bands!$A$2:$A$6,Bands!$B$2:$B$6)</f>
        <v>Needs Improvement</v>
      </c>
      <c r="V1088" s="8" t="n">
        <f aca="false">IF(Q1088="","",ROUND((Q1088-B1088)*24,1))</f>
        <v>0</v>
      </c>
    </row>
    <row r="1089" customFormat="false" ht="15" hidden="false" customHeight="false" outlineLevel="0" collapsed="false">
      <c r="A1089" s="3" t="s">
        <v>2312</v>
      </c>
      <c r="B1089" s="5" t="n">
        <v>46239.6652777778</v>
      </c>
      <c r="C1089" s="3" t="s">
        <v>30</v>
      </c>
      <c r="D1089" s="3" t="s">
        <v>51</v>
      </c>
      <c r="E1089" s="3" t="s">
        <v>52</v>
      </c>
      <c r="F1089" s="3" t="s">
        <v>53</v>
      </c>
      <c r="G1089" s="3" t="s">
        <v>54</v>
      </c>
      <c r="H1089" s="3" t="s">
        <v>2313</v>
      </c>
      <c r="I1089" s="3" t="n">
        <v>4</v>
      </c>
      <c r="J1089" s="3" t="n">
        <v>4</v>
      </c>
      <c r="K1089" s="3" t="n">
        <v>5</v>
      </c>
      <c r="L1089" s="3" t="n">
        <v>5</v>
      </c>
      <c r="M1089" s="3" t="n">
        <v>4</v>
      </c>
      <c r="N1089" s="3" t="n">
        <v>3</v>
      </c>
      <c r="O1089" s="6" t="b">
        <f aca="false">FALSE()</f>
        <v>0</v>
      </c>
      <c r="P1089" s="3"/>
      <c r="Q1089" s="5" t="n">
        <v>46239.6673611111</v>
      </c>
      <c r="R1089" s="5" t="n">
        <v>46239.9465277778</v>
      </c>
      <c r="S1089" s="3" t="s">
        <v>1699</v>
      </c>
      <c r="T1089" s="7" t="n">
        <f aca="false">ROUND(MIN(IF(OR(O1089=TRUE(),O1089="TRUE",O1089="Yes"),59,100),(I1089*Rubric!$C$2+J1089*Rubric!$C$3+K1089*Rubric!$C$4+L1089*Rubric!$C$5+M1089*Rubric!$C$6+N1089*Rubric!$C$7)/5),1)</f>
        <v>84</v>
      </c>
      <c r="U1089" s="8" t="str">
        <f aca="false">LOOKUP(T1089,Bands!$A$2:$A$6,Bands!$B$2:$B$6)</f>
        <v>Solid Performance</v>
      </c>
      <c r="V1089" s="8" t="n">
        <f aca="false">IF(Q1089="","",ROUND((Q1089-B1089)*24,1))</f>
        <v>0</v>
      </c>
    </row>
    <row r="1090" customFormat="false" ht="15" hidden="false" customHeight="false" outlineLevel="0" collapsed="false">
      <c r="A1090" s="3" t="s">
        <v>2314</v>
      </c>
      <c r="B1090" s="5" t="n">
        <v>46239.3770833333</v>
      </c>
      <c r="C1090" s="3" t="s">
        <v>39</v>
      </c>
      <c r="D1090" s="3" t="s">
        <v>69</v>
      </c>
      <c r="E1090" s="3" t="s">
        <v>70</v>
      </c>
      <c r="F1090" s="3" t="s">
        <v>65</v>
      </c>
      <c r="G1090" s="3" t="s">
        <v>54</v>
      </c>
      <c r="H1090" s="3" t="s">
        <v>2315</v>
      </c>
      <c r="I1090" s="3" t="n">
        <v>4</v>
      </c>
      <c r="J1090" s="3" t="n">
        <v>5</v>
      </c>
      <c r="K1090" s="3" t="n">
        <v>4</v>
      </c>
      <c r="L1090" s="3" t="n">
        <v>4</v>
      </c>
      <c r="M1090" s="3" t="n">
        <v>4</v>
      </c>
      <c r="N1090" s="3" t="n">
        <v>5</v>
      </c>
      <c r="O1090" s="6" t="b">
        <f aca="false">FALSE()</f>
        <v>0</v>
      </c>
      <c r="P1090" s="3"/>
      <c r="Q1090" s="5" t="n">
        <v>46239.3791666667</v>
      </c>
      <c r="R1090" s="5" t="n">
        <v>46239.6694444444</v>
      </c>
      <c r="S1090" s="3" t="s">
        <v>1699</v>
      </c>
      <c r="T1090" s="7" t="n">
        <f aca="false">ROUND(MIN(IF(OR(O1090=TRUE(),O1090="TRUE",O1090="Yes"),59,100),(I1090*Rubric!$C$2+J1090*Rubric!$C$3+K1090*Rubric!$C$4+L1090*Rubric!$C$5+M1090*Rubric!$C$6+N1090*Rubric!$C$7)/5),1)</f>
        <v>88</v>
      </c>
      <c r="U1090" s="8" t="str">
        <f aca="false">LOOKUP(T1090,Bands!$A$2:$A$6,Bands!$B$2:$B$6)</f>
        <v>Solid Performance</v>
      </c>
      <c r="V1090" s="8" t="n">
        <f aca="false">IF(Q1090="","",ROUND((Q1090-B1090)*24,1))</f>
        <v>0.1</v>
      </c>
    </row>
    <row r="1091" customFormat="false" ht="15" hidden="false" customHeight="false" outlineLevel="0" collapsed="false">
      <c r="A1091" s="3" t="s">
        <v>2316</v>
      </c>
      <c r="B1091" s="5" t="n">
        <v>46239.4263888889</v>
      </c>
      <c r="C1091" s="3" t="s">
        <v>39</v>
      </c>
      <c r="D1091" s="3" t="s">
        <v>31</v>
      </c>
      <c r="E1091" s="3" t="s">
        <v>32</v>
      </c>
      <c r="F1091" s="3" t="s">
        <v>33</v>
      </c>
      <c r="G1091" s="3" t="s">
        <v>54</v>
      </c>
      <c r="H1091" s="3" t="s">
        <v>2317</v>
      </c>
      <c r="I1091" s="3" t="n">
        <v>4</v>
      </c>
      <c r="J1091" s="3" t="n">
        <v>4</v>
      </c>
      <c r="K1091" s="3" t="n">
        <v>5</v>
      </c>
      <c r="L1091" s="3" t="n">
        <v>4</v>
      </c>
      <c r="M1091" s="3" t="n">
        <v>5</v>
      </c>
      <c r="N1091" s="3" t="n">
        <v>3</v>
      </c>
      <c r="O1091" s="6" t="b">
        <f aca="false">FALSE()</f>
        <v>0</v>
      </c>
      <c r="P1091" s="3"/>
      <c r="Q1091" s="5" t="n">
        <v>46239.4284722222</v>
      </c>
      <c r="R1091" s="5" t="n">
        <v>46239.7270833333</v>
      </c>
      <c r="S1091" s="3" t="s">
        <v>1699</v>
      </c>
      <c r="T1091" s="7" t="n">
        <f aca="false">ROUND(MIN(IF(OR(O1091=TRUE(),O1091="TRUE",O1091="Yes"),59,100),(I1091*Rubric!$C$2+J1091*Rubric!$C$3+K1091*Rubric!$C$4+L1091*Rubric!$C$5+M1091*Rubric!$C$6+N1091*Rubric!$C$7)/5),1)</f>
        <v>83</v>
      </c>
      <c r="U1091" s="8" t="str">
        <f aca="false">LOOKUP(T1091,Bands!$A$2:$A$6,Bands!$B$2:$B$6)</f>
        <v>Solid Performance</v>
      </c>
      <c r="V1091" s="8" t="n">
        <f aca="false">IF(Q1091="","",ROUND((Q1091-B1091)*24,1))</f>
        <v>0</v>
      </c>
    </row>
    <row r="1092" customFormat="false" ht="15" hidden="false" customHeight="false" outlineLevel="0" collapsed="false">
      <c r="A1092" s="3" t="s">
        <v>2318</v>
      </c>
      <c r="B1092" s="5" t="n">
        <v>46239.6951388889</v>
      </c>
      <c r="C1092" s="3" t="s">
        <v>39</v>
      </c>
      <c r="D1092" s="3" t="s">
        <v>85</v>
      </c>
      <c r="E1092" s="3" t="s">
        <v>86</v>
      </c>
      <c r="F1092" s="3" t="s">
        <v>33</v>
      </c>
      <c r="G1092" s="3" t="s">
        <v>54</v>
      </c>
      <c r="H1092" s="3" t="s">
        <v>2319</v>
      </c>
      <c r="I1092" s="3" t="n">
        <v>3</v>
      </c>
      <c r="J1092" s="3" t="n">
        <v>3</v>
      </c>
      <c r="K1092" s="3" t="n">
        <v>4</v>
      </c>
      <c r="L1092" s="3" t="n">
        <v>4</v>
      </c>
      <c r="M1092" s="3" t="n">
        <v>4</v>
      </c>
      <c r="N1092" s="3" t="n">
        <v>4</v>
      </c>
      <c r="O1092" s="6" t="b">
        <f aca="false">FALSE()</f>
        <v>0</v>
      </c>
      <c r="P1092" s="3"/>
      <c r="Q1092" s="5" t="n">
        <v>46239.6965277778</v>
      </c>
      <c r="R1092" s="5" t="n">
        <v>46240.0041666667</v>
      </c>
      <c r="S1092" s="3" t="s">
        <v>1699</v>
      </c>
      <c r="T1092" s="7" t="n">
        <f aca="false">ROUND(MIN(IF(OR(O1092=TRUE(),O1092="TRUE",O1092="Yes"),59,100),(I1092*Rubric!$C$2+J1092*Rubric!$C$3+K1092*Rubric!$C$4+L1092*Rubric!$C$5+M1092*Rubric!$C$6+N1092*Rubric!$C$7)/5),1)</f>
        <v>72</v>
      </c>
      <c r="U1092" s="8" t="str">
        <f aca="false">LOOKUP(T1092,Bands!$A$2:$A$6,Bands!$B$2:$B$6)</f>
        <v>Meets Expectations</v>
      </c>
      <c r="V1092" s="8" t="n">
        <f aca="false">IF(Q1092="","",ROUND((Q1092-B1092)*24,1))</f>
        <v>0</v>
      </c>
    </row>
    <row r="1093" customFormat="false" ht="15" hidden="false" customHeight="false" outlineLevel="0" collapsed="false">
      <c r="A1093" s="3" t="s">
        <v>2320</v>
      </c>
      <c r="B1093" s="5" t="n">
        <v>46239.4645833333</v>
      </c>
      <c r="C1093" s="3" t="s">
        <v>39</v>
      </c>
      <c r="D1093" s="3" t="s">
        <v>194</v>
      </c>
      <c r="E1093" s="3" t="s">
        <v>195</v>
      </c>
      <c r="F1093" s="3" t="s">
        <v>53</v>
      </c>
      <c r="G1093" s="3" t="s">
        <v>54</v>
      </c>
      <c r="H1093" s="3" t="s">
        <v>2321</v>
      </c>
      <c r="I1093" s="3" t="n">
        <v>4</v>
      </c>
      <c r="J1093" s="3" t="n">
        <v>4</v>
      </c>
      <c r="K1093" s="3" t="n">
        <v>4</v>
      </c>
      <c r="L1093" s="3" t="n">
        <v>3</v>
      </c>
      <c r="M1093" s="3" t="n">
        <v>4</v>
      </c>
      <c r="N1093" s="3" t="n">
        <v>0</v>
      </c>
      <c r="O1093" s="6" t="b">
        <f aca="false">TRUE()</f>
        <v>1</v>
      </c>
      <c r="P1093" s="3" t="s">
        <v>36</v>
      </c>
      <c r="Q1093" s="5" t="n">
        <v>46239.4666666667</v>
      </c>
      <c r="R1093" s="5" t="n">
        <v>46240.0173611111</v>
      </c>
      <c r="S1093" s="3" t="s">
        <v>1699</v>
      </c>
      <c r="T1093" s="7" t="n">
        <f aca="false">ROUND(MIN(IF(OR(O1093=TRUE(),O1093="TRUE",O1093="Yes"),59,100),(I1093*Rubric!$C$2+J1093*Rubric!$C$3+K1093*Rubric!$C$4+L1093*Rubric!$C$5+M1093*Rubric!$C$6+N1093*Rubric!$C$7)/5),1)</f>
        <v>59</v>
      </c>
      <c r="U1093" s="8" t="str">
        <f aca="false">LOOKUP(T1093,Bands!$A$2:$A$6,Bands!$B$2:$B$6)</f>
        <v>Critical</v>
      </c>
      <c r="V1093" s="8" t="n">
        <f aca="false">IF(Q1093="","",ROUND((Q1093-B1093)*24,1))</f>
        <v>0.1</v>
      </c>
    </row>
    <row r="1094" customFormat="false" ht="15" hidden="false" customHeight="false" outlineLevel="0" collapsed="false">
      <c r="A1094" s="3" t="s">
        <v>2322</v>
      </c>
      <c r="B1094" s="5" t="n">
        <v>46240.6479166667</v>
      </c>
      <c r="C1094" s="3" t="s">
        <v>39</v>
      </c>
      <c r="D1094" s="3" t="s">
        <v>161</v>
      </c>
      <c r="E1094" s="3" t="s">
        <v>162</v>
      </c>
      <c r="F1094" s="3" t="s">
        <v>33</v>
      </c>
      <c r="G1094" s="3" t="s">
        <v>54</v>
      </c>
      <c r="H1094" s="3" t="s">
        <v>2323</v>
      </c>
      <c r="I1094" s="3" t="n">
        <v>3</v>
      </c>
      <c r="J1094" s="3" t="n">
        <v>4</v>
      </c>
      <c r="K1094" s="3" t="n">
        <v>4</v>
      </c>
      <c r="L1094" s="3" t="n">
        <v>3</v>
      </c>
      <c r="M1094" s="3" t="n">
        <v>3</v>
      </c>
      <c r="N1094" s="3" t="n">
        <v>4</v>
      </c>
      <c r="O1094" s="6" t="b">
        <f aca="false">FALSE()</f>
        <v>0</v>
      </c>
      <c r="P1094" s="3"/>
      <c r="Q1094" s="5" t="n">
        <v>46240.65</v>
      </c>
      <c r="R1094" s="5" t="n">
        <v>46240.7027777778</v>
      </c>
      <c r="S1094" s="3" t="s">
        <v>1699</v>
      </c>
      <c r="T1094" s="7" t="n">
        <f aca="false">ROUND(MIN(IF(OR(O1094=TRUE(),O1094="TRUE",O1094="Yes"),59,100),(I1094*Rubric!$C$2+J1094*Rubric!$C$3+K1094*Rubric!$C$4+L1094*Rubric!$C$5+M1094*Rubric!$C$6+N1094*Rubric!$C$7)/5),1)</f>
        <v>72</v>
      </c>
      <c r="U1094" s="8" t="str">
        <f aca="false">LOOKUP(T1094,Bands!$A$2:$A$6,Bands!$B$2:$B$6)</f>
        <v>Meets Expectations</v>
      </c>
      <c r="V1094" s="8" t="n">
        <f aca="false">IF(Q1094="","",ROUND((Q1094-B1094)*24,1))</f>
        <v>0</v>
      </c>
    </row>
    <row r="1095" customFormat="false" ht="15" hidden="false" customHeight="false" outlineLevel="0" collapsed="false">
      <c r="A1095" s="3" t="s">
        <v>2324</v>
      </c>
      <c r="B1095" s="5" t="n">
        <v>46240.6152777778</v>
      </c>
      <c r="C1095" s="3" t="s">
        <v>30</v>
      </c>
      <c r="D1095" s="3" t="s">
        <v>51</v>
      </c>
      <c r="E1095" s="3" t="s">
        <v>52</v>
      </c>
      <c r="F1095" s="3" t="s">
        <v>53</v>
      </c>
      <c r="G1095" s="3" t="s">
        <v>42</v>
      </c>
      <c r="H1095" s="3" t="s">
        <v>2325</v>
      </c>
      <c r="I1095" s="3" t="n">
        <v>4</v>
      </c>
      <c r="J1095" s="3" t="n">
        <v>4</v>
      </c>
      <c r="K1095" s="3" t="n">
        <v>5</v>
      </c>
      <c r="L1095" s="3" t="n">
        <v>4</v>
      </c>
      <c r="M1095" s="3" t="n">
        <v>3</v>
      </c>
      <c r="N1095" s="3" t="n">
        <v>3</v>
      </c>
      <c r="O1095" s="6" t="b">
        <f aca="false">FALSE()</f>
        <v>0</v>
      </c>
      <c r="P1095" s="3"/>
      <c r="Q1095" s="5" t="n">
        <v>46240.6173611111</v>
      </c>
      <c r="R1095" s="5" t="n">
        <v>46240.8611111111</v>
      </c>
      <c r="S1095" s="3" t="s">
        <v>1699</v>
      </c>
      <c r="T1095" s="7" t="n">
        <f aca="false">ROUND(MIN(IF(OR(O1095=TRUE(),O1095="TRUE",O1095="Yes"),59,100),(I1095*Rubric!$C$2+J1095*Rubric!$C$3+K1095*Rubric!$C$4+L1095*Rubric!$C$5+M1095*Rubric!$C$6+N1095*Rubric!$C$7)/5),1)</f>
        <v>79</v>
      </c>
      <c r="U1095" s="8" t="str">
        <f aca="false">LOOKUP(T1095,Bands!$A$2:$A$6,Bands!$B$2:$B$6)</f>
        <v>Meets Expectations</v>
      </c>
      <c r="V1095" s="8" t="n">
        <f aca="false">IF(Q1095="","",ROUND((Q1095-B1095)*24,1))</f>
        <v>0</v>
      </c>
    </row>
    <row r="1096" customFormat="false" ht="15" hidden="false" customHeight="false" outlineLevel="0" collapsed="false">
      <c r="A1096" s="3" t="s">
        <v>2326</v>
      </c>
      <c r="B1096" s="5" t="n">
        <v>46240.3770833333</v>
      </c>
      <c r="C1096" s="3" t="s">
        <v>30</v>
      </c>
      <c r="D1096" s="3" t="s">
        <v>69</v>
      </c>
      <c r="E1096" s="3" t="s">
        <v>70</v>
      </c>
      <c r="F1096" s="3" t="s">
        <v>65</v>
      </c>
      <c r="G1096" s="3" t="s">
        <v>42</v>
      </c>
      <c r="H1096" s="3" t="s">
        <v>2327</v>
      </c>
      <c r="I1096" s="3" t="n">
        <v>4</v>
      </c>
      <c r="J1096" s="3" t="n">
        <v>4</v>
      </c>
      <c r="K1096" s="3" t="n">
        <v>4</v>
      </c>
      <c r="L1096" s="3" t="n">
        <v>4</v>
      </c>
      <c r="M1096" s="3" t="n">
        <v>4</v>
      </c>
      <c r="N1096" s="3" t="n">
        <v>4</v>
      </c>
      <c r="O1096" s="6" t="b">
        <f aca="false">FALSE()</f>
        <v>0</v>
      </c>
      <c r="P1096" s="3"/>
      <c r="Q1096" s="5" t="n">
        <v>46240.3777777778</v>
      </c>
      <c r="R1096" s="5" t="n">
        <v>46240.3923611111</v>
      </c>
      <c r="S1096" s="3" t="s">
        <v>1699</v>
      </c>
      <c r="T1096" s="7" t="n">
        <f aca="false">ROUND(MIN(IF(OR(O1096=TRUE(),O1096="TRUE",O1096="Yes"),59,100),(I1096*Rubric!$C$2+J1096*Rubric!$C$3+K1096*Rubric!$C$4+L1096*Rubric!$C$5+M1096*Rubric!$C$6+N1096*Rubric!$C$7)/5),1)</f>
        <v>80</v>
      </c>
      <c r="U1096" s="8" t="str">
        <f aca="false">LOOKUP(T1096,Bands!$A$2:$A$6,Bands!$B$2:$B$6)</f>
        <v>Solid Performance</v>
      </c>
      <c r="V1096" s="8" t="n">
        <f aca="false">IF(Q1096="","",ROUND((Q1096-B1096)*24,1))</f>
        <v>0</v>
      </c>
    </row>
    <row r="1097" customFormat="false" ht="15" hidden="false" customHeight="false" outlineLevel="0" collapsed="false">
      <c r="A1097" s="3" t="s">
        <v>2328</v>
      </c>
      <c r="B1097" s="5" t="n">
        <v>46240.3805555556</v>
      </c>
      <c r="C1097" s="3" t="s">
        <v>30</v>
      </c>
      <c r="D1097" s="3" t="s">
        <v>46</v>
      </c>
      <c r="E1097" s="3" t="s">
        <v>47</v>
      </c>
      <c r="F1097" s="3" t="s">
        <v>33</v>
      </c>
      <c r="G1097" s="3" t="s">
        <v>54</v>
      </c>
      <c r="H1097" s="3" t="s">
        <v>2329</v>
      </c>
      <c r="I1097" s="3" t="n">
        <v>4</v>
      </c>
      <c r="J1097" s="3" t="n">
        <v>5</v>
      </c>
      <c r="K1097" s="3" t="n">
        <v>4</v>
      </c>
      <c r="L1097" s="3" t="n">
        <v>5</v>
      </c>
      <c r="M1097" s="3" t="n">
        <v>5</v>
      </c>
      <c r="N1097" s="3" t="n">
        <v>5</v>
      </c>
      <c r="O1097" s="6" t="b">
        <f aca="false">FALSE()</f>
        <v>0</v>
      </c>
      <c r="P1097" s="3"/>
      <c r="Q1097" s="5" t="n">
        <v>46240.3819444445</v>
      </c>
      <c r="R1097" s="5" t="n">
        <v>46240.4263888889</v>
      </c>
      <c r="S1097" s="3" t="s">
        <v>1699</v>
      </c>
      <c r="T1097" s="7" t="n">
        <f aca="false">ROUND(MIN(IF(OR(O1097=TRUE(),O1097="TRUE",O1097="Yes"),59,100),(I1097*Rubric!$C$2+J1097*Rubric!$C$3+K1097*Rubric!$C$4+L1097*Rubric!$C$5+M1097*Rubric!$C$6+N1097*Rubric!$C$7)/5),1)</f>
        <v>93</v>
      </c>
      <c r="U1097" s="8" t="str">
        <f aca="false">LOOKUP(T1097,Bands!$A$2:$A$6,Bands!$B$2:$B$6)</f>
        <v>Outstanding</v>
      </c>
      <c r="V1097" s="8" t="n">
        <f aca="false">IF(Q1097="","",ROUND((Q1097-B1097)*24,1))</f>
        <v>0</v>
      </c>
    </row>
    <row r="1098" customFormat="false" ht="15" hidden="false" customHeight="false" outlineLevel="0" collapsed="false">
      <c r="A1098" s="3" t="s">
        <v>2330</v>
      </c>
      <c r="B1098" s="5" t="n">
        <v>46240.4805555556</v>
      </c>
      <c r="C1098" s="3" t="s">
        <v>39</v>
      </c>
      <c r="D1098" s="3" t="s">
        <v>90</v>
      </c>
      <c r="E1098" s="3" t="s">
        <v>91</v>
      </c>
      <c r="F1098" s="3" t="s">
        <v>65</v>
      </c>
      <c r="G1098" s="3" t="s">
        <v>54</v>
      </c>
      <c r="H1098" s="3" t="s">
        <v>2331</v>
      </c>
      <c r="I1098" s="3" t="n">
        <v>5</v>
      </c>
      <c r="J1098" s="3" t="n">
        <v>3</v>
      </c>
      <c r="K1098" s="3" t="n">
        <v>4</v>
      </c>
      <c r="L1098" s="3" t="n">
        <v>4</v>
      </c>
      <c r="M1098" s="3" t="n">
        <v>4</v>
      </c>
      <c r="N1098" s="3" t="n">
        <v>4</v>
      </c>
      <c r="O1098" s="6" t="b">
        <f aca="false">FALSE()</f>
        <v>0</v>
      </c>
      <c r="P1098" s="3"/>
      <c r="Q1098" s="5" t="n">
        <v>46240.4819444444</v>
      </c>
      <c r="R1098" s="5" t="n">
        <v>46240.7548611111</v>
      </c>
      <c r="S1098" s="3" t="s">
        <v>1699</v>
      </c>
      <c r="T1098" s="7" t="n">
        <f aca="false">ROUND(MIN(IF(OR(O1098=TRUE(),O1098="TRUE",O1098="Yes"),59,100),(I1098*Rubric!$C$2+J1098*Rubric!$C$3+K1098*Rubric!$C$4+L1098*Rubric!$C$5+M1098*Rubric!$C$6+N1098*Rubric!$C$7)/5),1)</f>
        <v>78</v>
      </c>
      <c r="U1098" s="8" t="str">
        <f aca="false">LOOKUP(T1098,Bands!$A$2:$A$6,Bands!$B$2:$B$6)</f>
        <v>Meets Expectations</v>
      </c>
      <c r="V1098" s="8" t="n">
        <f aca="false">IF(Q1098="","",ROUND((Q1098-B1098)*24,1))</f>
        <v>0</v>
      </c>
    </row>
    <row r="1099" customFormat="false" ht="15" hidden="false" customHeight="false" outlineLevel="0" collapsed="false">
      <c r="A1099" s="3" t="s">
        <v>2332</v>
      </c>
      <c r="B1099" s="5" t="n">
        <v>46240.6243055556</v>
      </c>
      <c r="C1099" s="3" t="s">
        <v>68</v>
      </c>
      <c r="D1099" s="3" t="s">
        <v>145</v>
      </c>
      <c r="E1099" s="3" t="s">
        <v>146</v>
      </c>
      <c r="F1099" s="3" t="s">
        <v>33</v>
      </c>
      <c r="G1099" s="3" t="s">
        <v>42</v>
      </c>
      <c r="H1099" s="3" t="s">
        <v>2333</v>
      </c>
      <c r="I1099" s="3" t="n">
        <v>4</v>
      </c>
      <c r="J1099" s="3" t="n">
        <v>3</v>
      </c>
      <c r="K1099" s="3" t="n">
        <v>4</v>
      </c>
      <c r="L1099" s="3" t="n">
        <v>5</v>
      </c>
      <c r="M1099" s="3" t="n">
        <v>3</v>
      </c>
      <c r="N1099" s="3" t="n">
        <v>4</v>
      </c>
      <c r="O1099" s="6" t="b">
        <f aca="false">FALSE()</f>
        <v>0</v>
      </c>
      <c r="P1099" s="3"/>
      <c r="Q1099" s="5" t="n">
        <v>46240.625</v>
      </c>
      <c r="R1099" s="5" t="n">
        <v>46240.9222222222</v>
      </c>
      <c r="S1099" s="3" t="s">
        <v>1699</v>
      </c>
      <c r="T1099" s="7" t="n">
        <f aca="false">ROUND(MIN(IF(OR(O1099=TRUE(),O1099="TRUE",O1099="Yes"),59,100),(I1099*Rubric!$C$2+J1099*Rubric!$C$3+K1099*Rubric!$C$4+L1099*Rubric!$C$5+M1099*Rubric!$C$6+N1099*Rubric!$C$7)/5),1)</f>
        <v>76</v>
      </c>
      <c r="U1099" s="8" t="str">
        <f aca="false">LOOKUP(T1099,Bands!$A$2:$A$6,Bands!$B$2:$B$6)</f>
        <v>Meets Expectations</v>
      </c>
      <c r="V1099" s="8" t="n">
        <f aca="false">IF(Q1099="","",ROUND((Q1099-B1099)*24,1))</f>
        <v>0</v>
      </c>
    </row>
    <row r="1100" customFormat="false" ht="15" hidden="false" customHeight="false" outlineLevel="0" collapsed="false">
      <c r="A1100" s="3" t="s">
        <v>2334</v>
      </c>
      <c r="B1100" s="5" t="n">
        <v>46240.43125</v>
      </c>
      <c r="C1100" s="3" t="s">
        <v>68</v>
      </c>
      <c r="D1100" s="3" t="s">
        <v>198</v>
      </c>
      <c r="E1100" s="3" t="s">
        <v>199</v>
      </c>
      <c r="F1100" s="3" t="s">
        <v>33</v>
      </c>
      <c r="G1100" s="3" t="s">
        <v>42</v>
      </c>
      <c r="H1100" s="3" t="s">
        <v>2335</v>
      </c>
      <c r="I1100" s="3" t="n">
        <v>5</v>
      </c>
      <c r="J1100" s="3" t="n">
        <v>4</v>
      </c>
      <c r="K1100" s="3" t="n">
        <v>4</v>
      </c>
      <c r="L1100" s="3" t="n">
        <v>4</v>
      </c>
      <c r="M1100" s="3" t="n">
        <v>4</v>
      </c>
      <c r="N1100" s="3" t="n">
        <v>4</v>
      </c>
      <c r="O1100" s="6" t="b">
        <f aca="false">FALSE()</f>
        <v>0</v>
      </c>
      <c r="P1100" s="3"/>
      <c r="Q1100" s="5" t="n">
        <v>46240.4319444444</v>
      </c>
      <c r="R1100" s="5" t="n">
        <v>46240.4375</v>
      </c>
      <c r="S1100" s="3" t="s">
        <v>1699</v>
      </c>
      <c r="T1100" s="7" t="n">
        <f aca="false">ROUND(MIN(IF(OR(O1100=TRUE(),O1100="TRUE",O1100="Yes"),59,100),(I1100*Rubric!$C$2+J1100*Rubric!$C$3+K1100*Rubric!$C$4+L1100*Rubric!$C$5+M1100*Rubric!$C$6+N1100*Rubric!$C$7)/5),1)</f>
        <v>83</v>
      </c>
      <c r="U1100" s="8" t="str">
        <f aca="false">LOOKUP(T1100,Bands!$A$2:$A$6,Bands!$B$2:$B$6)</f>
        <v>Solid Performance</v>
      </c>
      <c r="V1100" s="8" t="n">
        <f aca="false">IF(Q1100="","",ROUND((Q1100-B1100)*24,1))</f>
        <v>0</v>
      </c>
    </row>
    <row r="1101" customFormat="false" ht="15" hidden="false" customHeight="false" outlineLevel="0" collapsed="false">
      <c r="A1101" s="3" t="s">
        <v>2336</v>
      </c>
      <c r="B1101" s="5" t="n">
        <v>46240.5451388889</v>
      </c>
      <c r="C1101" s="3" t="s">
        <v>39</v>
      </c>
      <c r="D1101" s="3" t="s">
        <v>293</v>
      </c>
      <c r="E1101" s="3" t="s">
        <v>294</v>
      </c>
      <c r="F1101" s="3" t="s">
        <v>65</v>
      </c>
      <c r="G1101" s="3" t="s">
        <v>42</v>
      </c>
      <c r="H1101" s="3" t="s">
        <v>2337</v>
      </c>
      <c r="I1101" s="3" t="n">
        <v>5</v>
      </c>
      <c r="J1101" s="3" t="n">
        <v>5</v>
      </c>
      <c r="K1101" s="3" t="n">
        <v>5</v>
      </c>
      <c r="L1101" s="3" t="n">
        <v>3</v>
      </c>
      <c r="M1101" s="3" t="n">
        <v>5</v>
      </c>
      <c r="N1101" s="3" t="n">
        <v>5</v>
      </c>
      <c r="O1101" s="6" t="b">
        <f aca="false">FALSE()</f>
        <v>0</v>
      </c>
      <c r="P1101" s="3"/>
      <c r="Q1101" s="5" t="n">
        <v>46240.5472222222</v>
      </c>
      <c r="R1101" s="5" t="n">
        <v>46241.0409722222</v>
      </c>
      <c r="S1101" s="3" t="s">
        <v>1699</v>
      </c>
      <c r="T1101" s="7" t="n">
        <f aca="false">ROUND(MIN(IF(OR(O1101=TRUE(),O1101="TRUE",O1101="Yes"),59,100),(I1101*Rubric!$C$2+J1101*Rubric!$C$3+K1101*Rubric!$C$4+L1101*Rubric!$C$5+M1101*Rubric!$C$6+N1101*Rubric!$C$7)/5),1)</f>
        <v>94</v>
      </c>
      <c r="U1101" s="8" t="str">
        <f aca="false">LOOKUP(T1101,Bands!$A$2:$A$6,Bands!$B$2:$B$6)</f>
        <v>Outstanding</v>
      </c>
      <c r="V1101" s="8" t="n">
        <f aca="false">IF(Q1101="","",ROUND((Q1101-B1101)*24,1))</f>
        <v>0</v>
      </c>
    </row>
    <row r="1102" customFormat="false" ht="15" hidden="false" customHeight="false" outlineLevel="0" collapsed="false">
      <c r="A1102" s="3" t="s">
        <v>2338</v>
      </c>
      <c r="B1102" s="5" t="n">
        <v>46240.3965277778</v>
      </c>
      <c r="C1102" s="3" t="s">
        <v>39</v>
      </c>
      <c r="D1102" s="3" t="s">
        <v>238</v>
      </c>
      <c r="E1102" s="3" t="s">
        <v>239</v>
      </c>
      <c r="F1102" s="3" t="s">
        <v>33</v>
      </c>
      <c r="G1102" s="3" t="s">
        <v>42</v>
      </c>
      <c r="H1102" s="3" t="s">
        <v>2339</v>
      </c>
      <c r="I1102" s="3" t="n">
        <v>4</v>
      </c>
      <c r="J1102" s="3" t="n">
        <v>4</v>
      </c>
      <c r="K1102" s="3" t="n">
        <v>4</v>
      </c>
      <c r="L1102" s="3" t="n">
        <v>4</v>
      </c>
      <c r="M1102" s="3" t="n">
        <v>5</v>
      </c>
      <c r="N1102" s="3" t="n">
        <v>4</v>
      </c>
      <c r="O1102" s="6" t="b">
        <f aca="false">FALSE()</f>
        <v>0</v>
      </c>
      <c r="P1102" s="3"/>
      <c r="Q1102" s="5" t="n">
        <v>46240.3972222222</v>
      </c>
      <c r="R1102" s="5" t="n">
        <v>46240.6520833333</v>
      </c>
      <c r="S1102" s="3" t="s">
        <v>1699</v>
      </c>
      <c r="T1102" s="7" t="n">
        <f aca="false">ROUND(MIN(IF(OR(O1102=TRUE(),O1102="TRUE",O1102="Yes"),59,100),(I1102*Rubric!$C$2+J1102*Rubric!$C$3+K1102*Rubric!$C$4+L1102*Rubric!$C$5+M1102*Rubric!$C$6+N1102*Rubric!$C$7)/5),1)</f>
        <v>82</v>
      </c>
      <c r="U1102" s="8" t="str">
        <f aca="false">LOOKUP(T1102,Bands!$A$2:$A$6,Bands!$B$2:$B$6)</f>
        <v>Solid Performance</v>
      </c>
      <c r="V1102" s="8" t="n">
        <f aca="false">IF(Q1102="","",ROUND((Q1102-B1102)*24,1))</f>
        <v>0</v>
      </c>
    </row>
    <row r="1103" customFormat="false" ht="15" hidden="false" customHeight="false" outlineLevel="0" collapsed="false">
      <c r="A1103" s="3" t="s">
        <v>2340</v>
      </c>
      <c r="B1103" s="5" t="n">
        <v>46240.5027777778</v>
      </c>
      <c r="C1103" s="3" t="s">
        <v>68</v>
      </c>
      <c r="D1103" s="3" t="s">
        <v>77</v>
      </c>
      <c r="E1103" s="3" t="s">
        <v>78</v>
      </c>
      <c r="F1103" s="3" t="s">
        <v>33</v>
      </c>
      <c r="G1103" s="3" t="s">
        <v>34</v>
      </c>
      <c r="H1103" s="3" t="s">
        <v>2341</v>
      </c>
      <c r="I1103" s="3" t="n">
        <v>5</v>
      </c>
      <c r="J1103" s="3" t="n">
        <v>5</v>
      </c>
      <c r="K1103" s="3" t="n">
        <v>3</v>
      </c>
      <c r="L1103" s="3" t="n">
        <v>4</v>
      </c>
      <c r="M1103" s="3" t="n">
        <v>5</v>
      </c>
      <c r="N1103" s="3" t="n">
        <v>1</v>
      </c>
      <c r="O1103" s="6" t="b">
        <f aca="false">TRUE()</f>
        <v>1</v>
      </c>
      <c r="P1103" s="3" t="s">
        <v>36</v>
      </c>
      <c r="Q1103" s="5" t="n">
        <v>46240.5041666667</v>
      </c>
      <c r="R1103" s="5" t="n">
        <v>46240.55625</v>
      </c>
      <c r="S1103" s="3" t="s">
        <v>1699</v>
      </c>
      <c r="T1103" s="7" t="n">
        <f aca="false">ROUND(MIN(IF(OR(O1103=TRUE(),O1103="TRUE",O1103="Yes"),59,100),(I1103*Rubric!$C$2+J1103*Rubric!$C$3+K1103*Rubric!$C$4+L1103*Rubric!$C$5+M1103*Rubric!$C$6+N1103*Rubric!$C$7)/5),1)</f>
        <v>59</v>
      </c>
      <c r="U1103" s="8" t="str">
        <f aca="false">LOOKUP(T1103,Bands!$A$2:$A$6,Bands!$B$2:$B$6)</f>
        <v>Critical</v>
      </c>
      <c r="V1103" s="8" t="n">
        <f aca="false">IF(Q1103="","",ROUND((Q1103-B1103)*24,1))</f>
        <v>0</v>
      </c>
    </row>
    <row r="1104" customFormat="false" ht="15" hidden="false" customHeight="false" outlineLevel="0" collapsed="false">
      <c r="A1104" s="3" t="s">
        <v>2342</v>
      </c>
      <c r="B1104" s="5" t="n">
        <v>46240.6965277778</v>
      </c>
      <c r="C1104" s="3" t="s">
        <v>68</v>
      </c>
      <c r="D1104" s="3" t="s">
        <v>151</v>
      </c>
      <c r="E1104" s="3" t="s">
        <v>152</v>
      </c>
      <c r="F1104" s="3" t="s">
        <v>33</v>
      </c>
      <c r="G1104" s="3" t="s">
        <v>42</v>
      </c>
      <c r="H1104" s="3" t="s">
        <v>2343</v>
      </c>
      <c r="I1104" s="3" t="n">
        <v>4</v>
      </c>
      <c r="J1104" s="3" t="n">
        <v>2</v>
      </c>
      <c r="K1104" s="3" t="n">
        <v>4</v>
      </c>
      <c r="L1104" s="3" t="n">
        <v>5</v>
      </c>
      <c r="M1104" s="3" t="n">
        <v>4</v>
      </c>
      <c r="N1104" s="3" t="n">
        <v>4</v>
      </c>
      <c r="O1104" s="6" t="b">
        <f aca="false">FALSE()</f>
        <v>0</v>
      </c>
      <c r="P1104" s="3" t="s">
        <v>56</v>
      </c>
      <c r="Q1104" s="5" t="n">
        <v>46240.6986111111</v>
      </c>
      <c r="R1104" s="5" t="n">
        <v>46241.2083333333</v>
      </c>
      <c r="S1104" s="3" t="s">
        <v>1699</v>
      </c>
      <c r="T1104" s="7" t="n">
        <f aca="false">ROUND(MIN(IF(OR(O1104=TRUE(),O1104="TRUE",O1104="Yes"),59,100),(I1104*Rubric!$C$2+J1104*Rubric!$C$3+K1104*Rubric!$C$4+L1104*Rubric!$C$5+M1104*Rubric!$C$6+N1104*Rubric!$C$7)/5),1)</f>
        <v>73</v>
      </c>
      <c r="U1104" s="8" t="str">
        <f aca="false">LOOKUP(T1104,Bands!$A$2:$A$6,Bands!$B$2:$B$6)</f>
        <v>Meets Expectations</v>
      </c>
      <c r="V1104" s="8" t="n">
        <f aca="false">IF(Q1104="","",ROUND((Q1104-B1104)*24,1))</f>
        <v>0</v>
      </c>
    </row>
    <row r="1105" customFormat="false" ht="15" hidden="false" customHeight="false" outlineLevel="0" collapsed="false">
      <c r="A1105" s="3" t="s">
        <v>2344</v>
      </c>
      <c r="B1105" s="5" t="n">
        <v>46240.5645833333</v>
      </c>
      <c r="C1105" s="3" t="s">
        <v>39</v>
      </c>
      <c r="D1105" s="3" t="s">
        <v>119</v>
      </c>
      <c r="E1105" s="3" t="s">
        <v>120</v>
      </c>
      <c r="F1105" s="3" t="s">
        <v>33</v>
      </c>
      <c r="G1105" s="3" t="s">
        <v>42</v>
      </c>
      <c r="H1105" s="3" t="s">
        <v>2345</v>
      </c>
      <c r="I1105" s="3" t="n">
        <v>5</v>
      </c>
      <c r="J1105" s="3" t="n">
        <v>4</v>
      </c>
      <c r="K1105" s="3" t="n">
        <v>5</v>
      </c>
      <c r="L1105" s="3" t="n">
        <v>5</v>
      </c>
      <c r="M1105" s="3" t="n">
        <v>4</v>
      </c>
      <c r="N1105" s="3" t="n">
        <v>3</v>
      </c>
      <c r="O1105" s="6" t="b">
        <f aca="false">FALSE()</f>
        <v>0</v>
      </c>
      <c r="P1105" s="3"/>
      <c r="Q1105" s="5" t="n">
        <v>46240.5666666667</v>
      </c>
      <c r="R1105" s="5" t="n">
        <v>46240.5951388889</v>
      </c>
      <c r="S1105" s="3" t="s">
        <v>1699</v>
      </c>
      <c r="T1105" s="7" t="n">
        <f aca="false">ROUND(MIN(IF(OR(O1105=TRUE(),O1105="TRUE",O1105="Yes"),59,100),(I1105*Rubric!$C$2+J1105*Rubric!$C$3+K1105*Rubric!$C$4+L1105*Rubric!$C$5+M1105*Rubric!$C$6+N1105*Rubric!$C$7)/5),1)</f>
        <v>87</v>
      </c>
      <c r="U1105" s="8" t="str">
        <f aca="false">LOOKUP(T1105,Bands!$A$2:$A$6,Bands!$B$2:$B$6)</f>
        <v>Solid Performance</v>
      </c>
      <c r="V1105" s="8" t="n">
        <f aca="false">IF(Q1105="","",ROUND((Q1105-B1105)*24,1))</f>
        <v>0.1</v>
      </c>
    </row>
    <row r="1106" customFormat="false" ht="15" hidden="false" customHeight="false" outlineLevel="0" collapsed="false">
      <c r="A1106" s="3" t="s">
        <v>2346</v>
      </c>
      <c r="B1106" s="5" t="n">
        <v>46241.5263888889</v>
      </c>
      <c r="C1106" s="3" t="s">
        <v>68</v>
      </c>
      <c r="D1106" s="3" t="s">
        <v>73</v>
      </c>
      <c r="E1106" s="3" t="s">
        <v>74</v>
      </c>
      <c r="F1106" s="3" t="s">
        <v>33</v>
      </c>
      <c r="G1106" s="3" t="s">
        <v>54</v>
      </c>
      <c r="H1106" s="3" t="s">
        <v>2347</v>
      </c>
      <c r="I1106" s="3" t="n">
        <v>5</v>
      </c>
      <c r="J1106" s="3" t="n">
        <v>5</v>
      </c>
      <c r="K1106" s="3" t="n">
        <v>5</v>
      </c>
      <c r="L1106" s="3" t="n">
        <v>5</v>
      </c>
      <c r="M1106" s="3" t="n">
        <v>4</v>
      </c>
      <c r="N1106" s="3" t="n">
        <v>3</v>
      </c>
      <c r="O1106" s="6" t="b">
        <f aca="false">FALSE()</f>
        <v>0</v>
      </c>
      <c r="P1106" s="3"/>
      <c r="Q1106" s="5" t="n">
        <v>46241.5284722222</v>
      </c>
      <c r="R1106" s="5" t="n">
        <v>46241.5840277778</v>
      </c>
      <c r="S1106" s="3" t="s">
        <v>1699</v>
      </c>
      <c r="T1106" s="7" t="n">
        <f aca="false">ROUND(MIN(IF(OR(O1106=TRUE(),O1106="TRUE",O1106="Yes"),59,100),(I1106*Rubric!$C$2+J1106*Rubric!$C$3+K1106*Rubric!$C$4+L1106*Rubric!$C$5+M1106*Rubric!$C$6+N1106*Rubric!$C$7)/5),1)</f>
        <v>92</v>
      </c>
      <c r="U1106" s="8" t="str">
        <f aca="false">LOOKUP(T1106,Bands!$A$2:$A$6,Bands!$B$2:$B$6)</f>
        <v>Outstanding</v>
      </c>
      <c r="V1106" s="8" t="n">
        <f aca="false">IF(Q1106="","",ROUND((Q1106-B1106)*24,1))</f>
        <v>0</v>
      </c>
    </row>
    <row r="1107" customFormat="false" ht="15" hidden="false" customHeight="false" outlineLevel="0" collapsed="false">
      <c r="A1107" s="3" t="s">
        <v>2348</v>
      </c>
      <c r="B1107" s="5" t="n">
        <v>46241.3965277778</v>
      </c>
      <c r="C1107" s="3" t="s">
        <v>68</v>
      </c>
      <c r="D1107" s="3" t="s">
        <v>259</v>
      </c>
      <c r="E1107" s="3" t="s">
        <v>260</v>
      </c>
      <c r="F1107" s="3" t="s">
        <v>33</v>
      </c>
      <c r="G1107" s="3" t="s">
        <v>34</v>
      </c>
      <c r="H1107" s="3" t="s">
        <v>2349</v>
      </c>
      <c r="I1107" s="3" t="n">
        <v>5</v>
      </c>
      <c r="J1107" s="3" t="n">
        <v>5</v>
      </c>
      <c r="K1107" s="3" t="n">
        <v>3</v>
      </c>
      <c r="L1107" s="3" t="n">
        <v>4</v>
      </c>
      <c r="M1107" s="3" t="n">
        <v>4</v>
      </c>
      <c r="N1107" s="3" t="n">
        <v>5</v>
      </c>
      <c r="O1107" s="6" t="b">
        <f aca="false">FALSE()</f>
        <v>0</v>
      </c>
      <c r="P1107" s="3"/>
      <c r="Q1107" s="5" t="n">
        <v>46241.3986111111</v>
      </c>
      <c r="R1107" s="5" t="n">
        <v>46241.4145833333</v>
      </c>
      <c r="S1107" s="3" t="s">
        <v>1699</v>
      </c>
      <c r="T1107" s="7" t="n">
        <f aca="false">ROUND(MIN(IF(OR(O1107=TRUE(),O1107="TRUE",O1107="Yes"),59,100),(I1107*Rubric!$C$2+J1107*Rubric!$C$3+K1107*Rubric!$C$4+L1107*Rubric!$C$5+M1107*Rubric!$C$6+N1107*Rubric!$C$7)/5),1)</f>
        <v>87</v>
      </c>
      <c r="U1107" s="8" t="str">
        <f aca="false">LOOKUP(T1107,Bands!$A$2:$A$6,Bands!$B$2:$B$6)</f>
        <v>Solid Performance</v>
      </c>
      <c r="V1107" s="8" t="n">
        <f aca="false">IF(Q1107="","",ROUND((Q1107-B1107)*24,1))</f>
        <v>0</v>
      </c>
    </row>
    <row r="1108" customFormat="false" ht="15" hidden="false" customHeight="false" outlineLevel="0" collapsed="false">
      <c r="A1108" s="3" t="s">
        <v>2350</v>
      </c>
      <c r="B1108" s="5" t="n">
        <v>46241.4826388889</v>
      </c>
      <c r="C1108" s="3" t="s">
        <v>68</v>
      </c>
      <c r="D1108" s="3" t="s">
        <v>198</v>
      </c>
      <c r="E1108" s="3" t="s">
        <v>199</v>
      </c>
      <c r="F1108" s="3" t="s">
        <v>33</v>
      </c>
      <c r="G1108" s="3" t="s">
        <v>42</v>
      </c>
      <c r="H1108" s="3" t="s">
        <v>2351</v>
      </c>
      <c r="I1108" s="3" t="n">
        <v>4</v>
      </c>
      <c r="J1108" s="3" t="n">
        <v>3</v>
      </c>
      <c r="K1108" s="3" t="n">
        <v>4</v>
      </c>
      <c r="L1108" s="3" t="n">
        <v>4</v>
      </c>
      <c r="M1108" s="3" t="n">
        <v>4</v>
      </c>
      <c r="N1108" s="3" t="n">
        <v>5</v>
      </c>
      <c r="O1108" s="6" t="b">
        <f aca="false">FALSE()</f>
        <v>0</v>
      </c>
      <c r="P1108" s="3"/>
      <c r="Q1108" s="5" t="n">
        <v>46241.4833333333</v>
      </c>
      <c r="R1108" s="5" t="n">
        <v>46241.7409722222</v>
      </c>
      <c r="S1108" s="3" t="s">
        <v>1699</v>
      </c>
      <c r="T1108" s="7" t="n">
        <f aca="false">ROUND(MIN(IF(OR(O1108=TRUE(),O1108="TRUE",O1108="Yes"),59,100),(I1108*Rubric!$C$2+J1108*Rubric!$C$3+K1108*Rubric!$C$4+L1108*Rubric!$C$5+M1108*Rubric!$C$6+N1108*Rubric!$C$7)/5),1)</f>
        <v>78</v>
      </c>
      <c r="U1108" s="8" t="str">
        <f aca="false">LOOKUP(T1108,Bands!$A$2:$A$6,Bands!$B$2:$B$6)</f>
        <v>Meets Expectations</v>
      </c>
      <c r="V1108" s="8" t="n">
        <f aca="false">IF(Q1108="","",ROUND((Q1108-B1108)*24,1))</f>
        <v>0</v>
      </c>
    </row>
    <row r="1109" customFormat="false" ht="15" hidden="false" customHeight="false" outlineLevel="0" collapsed="false">
      <c r="A1109" s="3" t="s">
        <v>2352</v>
      </c>
      <c r="B1109" s="5" t="n">
        <v>46241.5673611111</v>
      </c>
      <c r="C1109" s="3" t="s">
        <v>68</v>
      </c>
      <c r="D1109" s="3" t="s">
        <v>125</v>
      </c>
      <c r="E1109" s="3" t="s">
        <v>126</v>
      </c>
      <c r="F1109" s="3" t="s">
        <v>53</v>
      </c>
      <c r="G1109" s="3" t="s">
        <v>54</v>
      </c>
      <c r="H1109" s="3" t="s">
        <v>2353</v>
      </c>
      <c r="I1109" s="3" t="n">
        <v>5</v>
      </c>
      <c r="J1109" s="3" t="n">
        <v>5</v>
      </c>
      <c r="K1109" s="3" t="n">
        <v>4</v>
      </c>
      <c r="L1109" s="3" t="n">
        <v>3</v>
      </c>
      <c r="M1109" s="3" t="n">
        <v>5</v>
      </c>
      <c r="N1109" s="3" t="n">
        <v>5</v>
      </c>
      <c r="O1109" s="6" t="b">
        <f aca="false">FALSE()</f>
        <v>0</v>
      </c>
      <c r="P1109" s="3"/>
      <c r="Q1109" s="5" t="n">
        <v>46241.56875</v>
      </c>
      <c r="R1109" s="5" t="n">
        <v>46241.7277777778</v>
      </c>
      <c r="S1109" s="3" t="s">
        <v>1699</v>
      </c>
      <c r="T1109" s="7" t="n">
        <f aca="false">ROUND(MIN(IF(OR(O1109=TRUE(),O1109="TRUE",O1109="Yes"),59,100),(I1109*Rubric!$C$2+J1109*Rubric!$C$3+K1109*Rubric!$C$4+L1109*Rubric!$C$5+M1109*Rubric!$C$6+N1109*Rubric!$C$7)/5),1)</f>
        <v>90</v>
      </c>
      <c r="U1109" s="8" t="str">
        <f aca="false">LOOKUP(T1109,Bands!$A$2:$A$6,Bands!$B$2:$B$6)</f>
        <v>Outstanding</v>
      </c>
      <c r="V1109" s="8" t="n">
        <f aca="false">IF(Q1109="","",ROUND((Q1109-B1109)*24,1))</f>
        <v>0</v>
      </c>
    </row>
    <row r="1110" customFormat="false" ht="15" hidden="false" customHeight="false" outlineLevel="0" collapsed="false">
      <c r="A1110" s="3" t="s">
        <v>2354</v>
      </c>
      <c r="B1110" s="5" t="n">
        <v>46241.5854166667</v>
      </c>
      <c r="C1110" s="3" t="s">
        <v>68</v>
      </c>
      <c r="D1110" s="3" t="s">
        <v>167</v>
      </c>
      <c r="E1110" s="3" t="s">
        <v>168</v>
      </c>
      <c r="F1110" s="3" t="s">
        <v>33</v>
      </c>
      <c r="G1110" s="3" t="s">
        <v>42</v>
      </c>
      <c r="H1110" s="3" t="s">
        <v>2355</v>
      </c>
      <c r="I1110" s="3" t="n">
        <v>3</v>
      </c>
      <c r="J1110" s="3" t="n">
        <v>3</v>
      </c>
      <c r="K1110" s="3" t="n">
        <v>4</v>
      </c>
      <c r="L1110" s="3" t="n">
        <v>4</v>
      </c>
      <c r="M1110" s="3" t="n">
        <v>3</v>
      </c>
      <c r="N1110" s="3" t="n">
        <v>3</v>
      </c>
      <c r="O1110" s="6" t="b">
        <f aca="false">FALSE()</f>
        <v>0</v>
      </c>
      <c r="P1110" s="3"/>
      <c r="Q1110" s="5" t="n">
        <v>46241.5875</v>
      </c>
      <c r="R1110" s="5" t="n">
        <v>46241.6277777778</v>
      </c>
      <c r="S1110" s="3" t="s">
        <v>1699</v>
      </c>
      <c r="T1110" s="7" t="n">
        <f aca="false">ROUND(MIN(IF(OR(O1110=TRUE(),O1110="TRUE",O1110="Yes"),59,100),(I1110*Rubric!$C$2+J1110*Rubric!$C$3+K1110*Rubric!$C$4+L1110*Rubric!$C$5+M1110*Rubric!$C$6+N1110*Rubric!$C$7)/5),1)</f>
        <v>67</v>
      </c>
      <c r="U1110" s="8" t="str">
        <f aca="false">LOOKUP(T1110,Bands!$A$2:$A$6,Bands!$B$2:$B$6)</f>
        <v>Needs Improvement</v>
      </c>
      <c r="V1110" s="8" t="n">
        <f aca="false">IF(Q1110="","",ROUND((Q1110-B1110)*24,1))</f>
        <v>0</v>
      </c>
    </row>
    <row r="1111" customFormat="false" ht="15" hidden="false" customHeight="false" outlineLevel="0" collapsed="false">
      <c r="A1111" s="3" t="s">
        <v>2356</v>
      </c>
      <c r="B1111" s="5" t="n">
        <v>46241.5388888889</v>
      </c>
      <c r="C1111" s="3" t="s">
        <v>39</v>
      </c>
      <c r="D1111" s="3" t="s">
        <v>366</v>
      </c>
      <c r="E1111" s="3" t="s">
        <v>367</v>
      </c>
      <c r="F1111" s="3" t="s">
        <v>53</v>
      </c>
      <c r="G1111" s="3" t="s">
        <v>54</v>
      </c>
      <c r="H1111" s="3" t="s">
        <v>2357</v>
      </c>
      <c r="I1111" s="3" t="n">
        <v>3</v>
      </c>
      <c r="J1111" s="3" t="n">
        <v>5</v>
      </c>
      <c r="K1111" s="3" t="n">
        <v>3</v>
      </c>
      <c r="L1111" s="3" t="n">
        <v>3</v>
      </c>
      <c r="M1111" s="3" t="n">
        <v>4</v>
      </c>
      <c r="N1111" s="3" t="n">
        <v>5</v>
      </c>
      <c r="O1111" s="6" t="b">
        <f aca="false">FALSE()</f>
        <v>0</v>
      </c>
      <c r="P1111" s="3"/>
      <c r="Q1111" s="5" t="n">
        <v>46241.5402777778</v>
      </c>
      <c r="R1111" s="5" t="n">
        <v>46241.5652777778</v>
      </c>
      <c r="S1111" s="3" t="s">
        <v>1699</v>
      </c>
      <c r="T1111" s="7" t="n">
        <f aca="false">ROUND(MIN(IF(OR(O1111=TRUE(),O1111="TRUE",O1111="Yes"),59,100),(I1111*Rubric!$C$2+J1111*Rubric!$C$3+K1111*Rubric!$C$4+L1111*Rubric!$C$5+M1111*Rubric!$C$6+N1111*Rubric!$C$7)/5),1)</f>
        <v>78</v>
      </c>
      <c r="U1111" s="8" t="str">
        <f aca="false">LOOKUP(T1111,Bands!$A$2:$A$6,Bands!$B$2:$B$6)</f>
        <v>Meets Expectations</v>
      </c>
      <c r="V1111" s="8" t="n">
        <f aca="false">IF(Q1111="","",ROUND((Q1111-B1111)*24,1))</f>
        <v>0</v>
      </c>
    </row>
    <row r="1112" customFormat="false" ht="15" hidden="false" customHeight="false" outlineLevel="0" collapsed="false">
      <c r="A1112" s="3" t="s">
        <v>2358</v>
      </c>
      <c r="B1112" s="5" t="n">
        <v>46241.5305555556</v>
      </c>
      <c r="C1112" s="3" t="s">
        <v>68</v>
      </c>
      <c r="D1112" s="3" t="s">
        <v>46</v>
      </c>
      <c r="E1112" s="3" t="s">
        <v>47</v>
      </c>
      <c r="F1112" s="3" t="s">
        <v>33</v>
      </c>
      <c r="G1112" s="3" t="s">
        <v>54</v>
      </c>
      <c r="H1112" s="3" t="s">
        <v>2359</v>
      </c>
      <c r="I1112" s="3" t="n">
        <v>4</v>
      </c>
      <c r="J1112" s="3" t="n">
        <v>4</v>
      </c>
      <c r="K1112" s="3" t="n">
        <v>4</v>
      </c>
      <c r="L1112" s="3" t="n">
        <v>5</v>
      </c>
      <c r="M1112" s="3" t="n">
        <v>5</v>
      </c>
      <c r="N1112" s="3" t="n">
        <v>5</v>
      </c>
      <c r="O1112" s="6" t="b">
        <f aca="false">FALSE()</f>
        <v>0</v>
      </c>
      <c r="P1112" s="3"/>
      <c r="Q1112" s="5" t="n">
        <v>46241.5319444445</v>
      </c>
      <c r="R1112" s="5" t="n">
        <v>46241.5673611111</v>
      </c>
      <c r="S1112" s="3" t="s">
        <v>1699</v>
      </c>
      <c r="T1112" s="7" t="n">
        <f aca="false">ROUND(MIN(IF(OR(O1112=TRUE(),O1112="TRUE",O1112="Yes"),59,100),(I1112*Rubric!$C$2+J1112*Rubric!$C$3+K1112*Rubric!$C$4+L1112*Rubric!$C$5+M1112*Rubric!$C$6+N1112*Rubric!$C$7)/5),1)</f>
        <v>88</v>
      </c>
      <c r="U1112" s="8" t="str">
        <f aca="false">LOOKUP(T1112,Bands!$A$2:$A$6,Bands!$B$2:$B$6)</f>
        <v>Solid Performance</v>
      </c>
      <c r="V1112" s="8" t="n">
        <f aca="false">IF(Q1112="","",ROUND((Q1112-B1112)*24,1))</f>
        <v>0</v>
      </c>
    </row>
    <row r="1113" customFormat="false" ht="15" hidden="false" customHeight="false" outlineLevel="0" collapsed="false">
      <c r="A1113" s="3" t="s">
        <v>2360</v>
      </c>
      <c r="B1113" s="5" t="n">
        <v>46241.4604166667</v>
      </c>
      <c r="C1113" s="3" t="s">
        <v>68</v>
      </c>
      <c r="D1113" s="3" t="s">
        <v>100</v>
      </c>
      <c r="E1113" s="3" t="s">
        <v>101</v>
      </c>
      <c r="F1113" s="3" t="s">
        <v>33</v>
      </c>
      <c r="G1113" s="3" t="s">
        <v>54</v>
      </c>
      <c r="H1113" s="3" t="s">
        <v>2361</v>
      </c>
      <c r="I1113" s="3" t="n">
        <v>5</v>
      </c>
      <c r="J1113" s="3" t="n">
        <v>4</v>
      </c>
      <c r="K1113" s="3" t="n">
        <v>4</v>
      </c>
      <c r="L1113" s="3" t="n">
        <v>5</v>
      </c>
      <c r="M1113" s="3" t="n">
        <v>2</v>
      </c>
      <c r="N1113" s="3" t="n">
        <v>5</v>
      </c>
      <c r="O1113" s="6" t="b">
        <f aca="false">FALSE()</f>
        <v>0</v>
      </c>
      <c r="P1113" s="3" t="s">
        <v>103</v>
      </c>
      <c r="Q1113" s="5" t="n">
        <v>46241.4625</v>
      </c>
      <c r="R1113" s="5" t="n">
        <v>46241.5256944444</v>
      </c>
      <c r="S1113" s="3" t="s">
        <v>1699</v>
      </c>
      <c r="T1113" s="7" t="n">
        <f aca="false">ROUND(MIN(IF(OR(O1113=TRUE(),O1113="TRUE",O1113="Yes"),59,100),(I1113*Rubric!$C$2+J1113*Rubric!$C$3+K1113*Rubric!$C$4+L1113*Rubric!$C$5+M1113*Rubric!$C$6+N1113*Rubric!$C$7)/5),1)</f>
        <v>85</v>
      </c>
      <c r="U1113" s="8" t="str">
        <f aca="false">LOOKUP(T1113,Bands!$A$2:$A$6,Bands!$B$2:$B$6)</f>
        <v>Solid Performance</v>
      </c>
      <c r="V1113" s="8" t="n">
        <f aca="false">IF(Q1113="","",ROUND((Q1113-B1113)*24,1))</f>
        <v>0</v>
      </c>
    </row>
    <row r="1114" customFormat="false" ht="15" hidden="false" customHeight="false" outlineLevel="0" collapsed="false">
      <c r="A1114" s="3" t="s">
        <v>2362</v>
      </c>
      <c r="B1114" s="5" t="n">
        <v>46241.6909722222</v>
      </c>
      <c r="C1114" s="3" t="s">
        <v>39</v>
      </c>
      <c r="D1114" s="3" t="s">
        <v>251</v>
      </c>
      <c r="E1114" s="3" t="s">
        <v>252</v>
      </c>
      <c r="F1114" s="3" t="s">
        <v>53</v>
      </c>
      <c r="G1114" s="3" t="s">
        <v>42</v>
      </c>
      <c r="H1114" s="3" t="s">
        <v>2363</v>
      </c>
      <c r="I1114" s="3" t="n">
        <v>3</v>
      </c>
      <c r="J1114" s="3" t="n">
        <v>3</v>
      </c>
      <c r="K1114" s="3" t="n">
        <v>4</v>
      </c>
      <c r="L1114" s="3" t="n">
        <v>4</v>
      </c>
      <c r="M1114" s="3" t="n">
        <v>2</v>
      </c>
      <c r="N1114" s="3" t="n">
        <v>5</v>
      </c>
      <c r="O1114" s="6" t="b">
        <f aca="false">FALSE()</f>
        <v>0</v>
      </c>
      <c r="P1114" s="3" t="s">
        <v>103</v>
      </c>
      <c r="Q1114" s="5" t="n">
        <v>46241.6930555556</v>
      </c>
      <c r="R1114" s="5" t="n">
        <v>46241.7756944444</v>
      </c>
      <c r="S1114" s="3" t="s">
        <v>1699</v>
      </c>
      <c r="T1114" s="7" t="n">
        <f aca="false">ROUND(MIN(IF(OR(O1114=TRUE(),O1114="TRUE",O1114="Yes"),59,100),(I1114*Rubric!$C$2+J1114*Rubric!$C$3+K1114*Rubric!$C$4+L1114*Rubric!$C$5+M1114*Rubric!$C$6+N1114*Rubric!$C$7)/5),1)</f>
        <v>71</v>
      </c>
      <c r="U1114" s="8" t="str">
        <f aca="false">LOOKUP(T1114,Bands!$A$2:$A$6,Bands!$B$2:$B$6)</f>
        <v>Meets Expectations</v>
      </c>
      <c r="V1114" s="8" t="n">
        <f aca="false">IF(Q1114="","",ROUND((Q1114-B1114)*24,1))</f>
        <v>0.1</v>
      </c>
    </row>
    <row r="1115" customFormat="false" ht="15" hidden="false" customHeight="false" outlineLevel="0" collapsed="false">
      <c r="A1115" s="3" t="s">
        <v>2364</v>
      </c>
      <c r="B1115" s="5" t="n">
        <v>46241.4069444445</v>
      </c>
      <c r="C1115" s="3" t="s">
        <v>30</v>
      </c>
      <c r="D1115" s="3" t="s">
        <v>63</v>
      </c>
      <c r="E1115" s="3" t="s">
        <v>64</v>
      </c>
      <c r="F1115" s="3" t="s">
        <v>65</v>
      </c>
      <c r="G1115" s="3" t="s">
        <v>54</v>
      </c>
      <c r="H1115" s="3" t="s">
        <v>2365</v>
      </c>
      <c r="I1115" s="3" t="n">
        <v>3</v>
      </c>
      <c r="J1115" s="3" t="n">
        <v>3</v>
      </c>
      <c r="K1115" s="3" t="n">
        <v>3</v>
      </c>
      <c r="L1115" s="3" t="n">
        <v>4</v>
      </c>
      <c r="M1115" s="3" t="n">
        <v>3</v>
      </c>
      <c r="N1115" s="3" t="n">
        <v>3</v>
      </c>
      <c r="O1115" s="6" t="b">
        <f aca="false">FALSE()</f>
        <v>0</v>
      </c>
      <c r="P1115" s="3"/>
      <c r="Q1115" s="5" t="n">
        <v>46241.4083333333</v>
      </c>
      <c r="R1115" s="5" t="n">
        <v>46241.9868055556</v>
      </c>
      <c r="S1115" s="3" t="s">
        <v>1699</v>
      </c>
      <c r="T1115" s="7" t="n">
        <f aca="false">ROUND(MIN(IF(OR(O1115=TRUE(),O1115="TRUE",O1115="Yes"),59,100),(I1115*Rubric!$C$2+J1115*Rubric!$C$3+K1115*Rubric!$C$4+L1115*Rubric!$C$5+M1115*Rubric!$C$6+N1115*Rubric!$C$7)/5),1)</f>
        <v>63</v>
      </c>
      <c r="U1115" s="8" t="str">
        <f aca="false">LOOKUP(T1115,Bands!$A$2:$A$6,Bands!$B$2:$B$6)</f>
        <v>Needs Improvement</v>
      </c>
      <c r="V1115" s="8" t="n">
        <f aca="false">IF(Q1115="","",ROUND((Q1115-B1115)*24,1))</f>
        <v>0</v>
      </c>
    </row>
    <row r="1116" customFormat="false" ht="15" hidden="false" customHeight="false" outlineLevel="0" collapsed="false">
      <c r="A1116" s="3" t="s">
        <v>2366</v>
      </c>
      <c r="B1116" s="5" t="n">
        <v>46241.5784722222</v>
      </c>
      <c r="C1116" s="3" t="s">
        <v>39</v>
      </c>
      <c r="D1116" s="3" t="s">
        <v>85</v>
      </c>
      <c r="E1116" s="3" t="s">
        <v>86</v>
      </c>
      <c r="F1116" s="3" t="s">
        <v>33</v>
      </c>
      <c r="G1116" s="3" t="s">
        <v>54</v>
      </c>
      <c r="H1116" s="3" t="s">
        <v>2367</v>
      </c>
      <c r="I1116" s="3" t="n">
        <v>3</v>
      </c>
      <c r="J1116" s="3" t="n">
        <v>5</v>
      </c>
      <c r="K1116" s="3" t="n">
        <v>5</v>
      </c>
      <c r="L1116" s="3" t="n">
        <v>4</v>
      </c>
      <c r="M1116" s="3" t="n">
        <v>5</v>
      </c>
      <c r="N1116" s="3" t="n">
        <v>4</v>
      </c>
      <c r="O1116" s="6" t="b">
        <f aca="false">FALSE()</f>
        <v>0</v>
      </c>
      <c r="P1116" s="3"/>
      <c r="Q1116" s="5" t="n">
        <v>46241.5791666667</v>
      </c>
      <c r="R1116" s="5" t="n">
        <v>46242.1118055556</v>
      </c>
      <c r="S1116" s="3" t="s">
        <v>1699</v>
      </c>
      <c r="T1116" s="7" t="n">
        <f aca="false">ROUND(MIN(IF(OR(O1116=TRUE(),O1116="TRUE",O1116="Yes"),59,100),(I1116*Rubric!$C$2+J1116*Rubric!$C$3+K1116*Rubric!$C$4+L1116*Rubric!$C$5+M1116*Rubric!$C$6+N1116*Rubric!$C$7)/5),1)</f>
        <v>88</v>
      </c>
      <c r="U1116" s="8" t="str">
        <f aca="false">LOOKUP(T1116,Bands!$A$2:$A$6,Bands!$B$2:$B$6)</f>
        <v>Solid Performance</v>
      </c>
      <c r="V1116" s="8" t="n">
        <f aca="false">IF(Q1116="","",ROUND((Q1116-B1116)*24,1))</f>
        <v>0</v>
      </c>
    </row>
    <row r="1117" customFormat="false" ht="15" hidden="false" customHeight="false" outlineLevel="0" collapsed="false">
      <c r="A1117" s="3" t="s">
        <v>2368</v>
      </c>
      <c r="B1117" s="5" t="n">
        <v>46241.6763888889</v>
      </c>
      <c r="C1117" s="3" t="s">
        <v>68</v>
      </c>
      <c r="D1117" s="3" t="s">
        <v>307</v>
      </c>
      <c r="E1117" s="3" t="s">
        <v>308</v>
      </c>
      <c r="F1117" s="3" t="s">
        <v>33</v>
      </c>
      <c r="G1117" s="3" t="s">
        <v>34</v>
      </c>
      <c r="H1117" s="3" t="s">
        <v>2369</v>
      </c>
      <c r="I1117" s="3" t="n">
        <v>4</v>
      </c>
      <c r="J1117" s="3" t="n">
        <v>2</v>
      </c>
      <c r="K1117" s="3" t="n">
        <v>5</v>
      </c>
      <c r="L1117" s="3" t="n">
        <v>5</v>
      </c>
      <c r="M1117" s="3" t="n">
        <v>5</v>
      </c>
      <c r="N1117" s="3" t="n">
        <v>5</v>
      </c>
      <c r="O1117" s="6" t="b">
        <f aca="false">FALSE()</f>
        <v>0</v>
      </c>
      <c r="P1117" s="3" t="s">
        <v>56</v>
      </c>
      <c r="Q1117" s="5" t="n">
        <v>46241.6770833333</v>
      </c>
      <c r="R1117" s="5" t="n">
        <v>46241.7333333333</v>
      </c>
      <c r="S1117" s="3" t="s">
        <v>1699</v>
      </c>
      <c r="T1117" s="7" t="n">
        <f aca="false">ROUND(MIN(IF(OR(O1117=TRUE(),O1117="TRUE",O1117="Yes"),59,100),(I1117*Rubric!$C$2+J1117*Rubric!$C$3+K1117*Rubric!$C$4+L1117*Rubric!$C$5+M1117*Rubric!$C$6+N1117*Rubric!$C$7)/5),1)</f>
        <v>82</v>
      </c>
      <c r="U1117" s="8" t="str">
        <f aca="false">LOOKUP(T1117,Bands!$A$2:$A$6,Bands!$B$2:$B$6)</f>
        <v>Solid Performance</v>
      </c>
      <c r="V1117" s="8" t="n">
        <f aca="false">IF(Q1117="","",ROUND((Q1117-B1117)*24,1))</f>
        <v>0</v>
      </c>
    </row>
    <row r="1118" customFormat="false" ht="15" hidden="false" customHeight="false" outlineLevel="0" collapsed="false">
      <c r="A1118" s="3" t="s">
        <v>2370</v>
      </c>
      <c r="B1118" s="5" t="n">
        <v>46244.6215277778</v>
      </c>
      <c r="C1118" s="3" t="s">
        <v>68</v>
      </c>
      <c r="D1118" s="3" t="s">
        <v>31</v>
      </c>
      <c r="E1118" s="3" t="s">
        <v>32</v>
      </c>
      <c r="F1118" s="3" t="s">
        <v>33</v>
      </c>
      <c r="G1118" s="3" t="s">
        <v>54</v>
      </c>
      <c r="H1118" s="3" t="s">
        <v>2371</v>
      </c>
      <c r="I1118" s="3" t="n">
        <v>4</v>
      </c>
      <c r="J1118" s="3" t="n">
        <v>5</v>
      </c>
      <c r="K1118" s="3" t="n">
        <v>4</v>
      </c>
      <c r="L1118" s="3" t="n">
        <v>4</v>
      </c>
      <c r="M1118" s="3" t="n">
        <v>4</v>
      </c>
      <c r="N1118" s="3" t="n">
        <v>4</v>
      </c>
      <c r="O1118" s="6" t="b">
        <f aca="false">FALSE()</f>
        <v>0</v>
      </c>
      <c r="P1118" s="3"/>
      <c r="Q1118" s="5" t="n">
        <v>46244.6236111111</v>
      </c>
      <c r="R1118" s="5" t="n">
        <v>46244.8222222222</v>
      </c>
      <c r="S1118" s="3" t="s">
        <v>1699</v>
      </c>
      <c r="T1118" s="7" t="n">
        <f aca="false">ROUND(MIN(IF(OR(O1118=TRUE(),O1118="TRUE",O1118="Yes"),59,100),(I1118*Rubric!$C$2+J1118*Rubric!$C$3+K1118*Rubric!$C$4+L1118*Rubric!$C$5+M1118*Rubric!$C$6+N1118*Rubric!$C$7)/5),1)</f>
        <v>85</v>
      </c>
      <c r="U1118" s="8" t="str">
        <f aca="false">LOOKUP(T1118,Bands!$A$2:$A$6,Bands!$B$2:$B$6)</f>
        <v>Solid Performance</v>
      </c>
      <c r="V1118" s="8" t="n">
        <f aca="false">IF(Q1118="","",ROUND((Q1118-B1118)*24,1))</f>
        <v>0</v>
      </c>
    </row>
    <row r="1119" customFormat="false" ht="15" hidden="false" customHeight="false" outlineLevel="0" collapsed="false">
      <c r="A1119" s="3" t="s">
        <v>2372</v>
      </c>
      <c r="B1119" s="5" t="n">
        <v>46244.6333333333</v>
      </c>
      <c r="C1119" s="3" t="s">
        <v>39</v>
      </c>
      <c r="D1119" s="3" t="s">
        <v>202</v>
      </c>
      <c r="E1119" s="3" t="s">
        <v>203</v>
      </c>
      <c r="F1119" s="3" t="s">
        <v>53</v>
      </c>
      <c r="G1119" s="3" t="s">
        <v>54</v>
      </c>
      <c r="H1119" s="3" t="s">
        <v>2373</v>
      </c>
      <c r="I1119" s="3" t="n">
        <v>3</v>
      </c>
      <c r="J1119" s="3" t="n">
        <v>3</v>
      </c>
      <c r="K1119" s="3" t="n">
        <v>4</v>
      </c>
      <c r="L1119" s="3" t="n">
        <v>3</v>
      </c>
      <c r="M1119" s="3" t="n">
        <v>4</v>
      </c>
      <c r="N1119" s="3" t="n">
        <v>3</v>
      </c>
      <c r="O1119" s="6" t="b">
        <f aca="false">FALSE()</f>
        <v>0</v>
      </c>
      <c r="P1119" s="3"/>
      <c r="Q1119" s="5" t="n">
        <v>46244.6354166667</v>
      </c>
      <c r="R1119" s="5" t="n">
        <v>46244.8534722222</v>
      </c>
      <c r="S1119" s="3" t="s">
        <v>1699</v>
      </c>
      <c r="T1119" s="7" t="n">
        <f aca="false">ROUND(MIN(IF(OR(O1119=TRUE(),O1119="TRUE",O1119="Yes"),59,100),(I1119*Rubric!$C$2+J1119*Rubric!$C$3+K1119*Rubric!$C$4+L1119*Rubric!$C$5+M1119*Rubric!$C$6+N1119*Rubric!$C$7)/5),1)</f>
        <v>66</v>
      </c>
      <c r="U1119" s="8" t="str">
        <f aca="false">LOOKUP(T1119,Bands!$A$2:$A$6,Bands!$B$2:$B$6)</f>
        <v>Needs Improvement</v>
      </c>
      <c r="V1119" s="8" t="n">
        <f aca="false">IF(Q1119="","",ROUND((Q1119-B1119)*24,1))</f>
        <v>0.1</v>
      </c>
    </row>
    <row r="1120" customFormat="false" ht="15" hidden="false" customHeight="false" outlineLevel="0" collapsed="false">
      <c r="A1120" s="3" t="s">
        <v>2374</v>
      </c>
      <c r="B1120" s="5" t="n">
        <v>46244.5284722222</v>
      </c>
      <c r="C1120" s="3" t="s">
        <v>39</v>
      </c>
      <c r="D1120" s="3" t="s">
        <v>77</v>
      </c>
      <c r="E1120" s="3" t="s">
        <v>78</v>
      </c>
      <c r="F1120" s="3" t="s">
        <v>33</v>
      </c>
      <c r="G1120" s="3" t="s">
        <v>34</v>
      </c>
      <c r="H1120" s="3" t="s">
        <v>2375</v>
      </c>
      <c r="I1120" s="3" t="n">
        <v>5</v>
      </c>
      <c r="J1120" s="3" t="n">
        <v>5</v>
      </c>
      <c r="K1120" s="3" t="n">
        <v>3</v>
      </c>
      <c r="L1120" s="3" t="n">
        <v>5</v>
      </c>
      <c r="M1120" s="3" t="n">
        <v>5</v>
      </c>
      <c r="N1120" s="3" t="n">
        <v>5</v>
      </c>
      <c r="O1120" s="6" t="b">
        <f aca="false">FALSE()</f>
        <v>0</v>
      </c>
      <c r="P1120" s="3"/>
      <c r="Q1120" s="5" t="n">
        <v>46244.5291666667</v>
      </c>
      <c r="R1120" s="5" t="n">
        <v>46244.6375</v>
      </c>
      <c r="S1120" s="3" t="s">
        <v>1699</v>
      </c>
      <c r="T1120" s="7" t="n">
        <f aca="false">ROUND(MIN(IF(OR(O1120=TRUE(),O1120="TRUE",O1120="Yes"),59,100),(I1120*Rubric!$C$2+J1120*Rubric!$C$3+K1120*Rubric!$C$4+L1120*Rubric!$C$5+M1120*Rubric!$C$6+N1120*Rubric!$C$7)/5),1)</f>
        <v>92</v>
      </c>
      <c r="U1120" s="8" t="str">
        <f aca="false">LOOKUP(T1120,Bands!$A$2:$A$6,Bands!$B$2:$B$6)</f>
        <v>Outstanding</v>
      </c>
      <c r="V1120" s="8" t="n">
        <f aca="false">IF(Q1120="","",ROUND((Q1120-B1120)*24,1))</f>
        <v>0</v>
      </c>
    </row>
    <row r="1121" customFormat="false" ht="15" hidden="false" customHeight="false" outlineLevel="0" collapsed="false">
      <c r="A1121" s="3" t="s">
        <v>2376</v>
      </c>
      <c r="B1121" s="5" t="n">
        <v>46244.4027777778</v>
      </c>
      <c r="C1121" s="3" t="s">
        <v>39</v>
      </c>
      <c r="D1121" s="3" t="s">
        <v>212</v>
      </c>
      <c r="E1121" s="3" t="s">
        <v>213</v>
      </c>
      <c r="F1121" s="3" t="s">
        <v>33</v>
      </c>
      <c r="G1121" s="3" t="s">
        <v>54</v>
      </c>
      <c r="H1121" s="3" t="s">
        <v>2377</v>
      </c>
      <c r="I1121" s="3" t="n">
        <v>4</v>
      </c>
      <c r="J1121" s="3" t="n">
        <v>3</v>
      </c>
      <c r="K1121" s="3" t="n">
        <v>4</v>
      </c>
      <c r="L1121" s="3" t="n">
        <v>3</v>
      </c>
      <c r="M1121" s="3" t="n">
        <v>4</v>
      </c>
      <c r="N1121" s="3" t="n">
        <v>4</v>
      </c>
      <c r="O1121" s="6" t="b">
        <f aca="false">FALSE()</f>
        <v>0</v>
      </c>
      <c r="P1121" s="3"/>
      <c r="Q1121" s="5" t="n">
        <v>46244.4048611111</v>
      </c>
      <c r="R1121" s="5" t="n">
        <v>46244.4652777778</v>
      </c>
      <c r="S1121" s="3" t="s">
        <v>1699</v>
      </c>
      <c r="T1121" s="7" t="n">
        <f aca="false">ROUND(MIN(IF(OR(O1121=TRUE(),O1121="TRUE",O1121="Yes"),59,100),(I1121*Rubric!$C$2+J1121*Rubric!$C$3+K1121*Rubric!$C$4+L1121*Rubric!$C$5+M1121*Rubric!$C$6+N1121*Rubric!$C$7)/5),1)</f>
        <v>72</v>
      </c>
      <c r="U1121" s="8" t="str">
        <f aca="false">LOOKUP(T1121,Bands!$A$2:$A$6,Bands!$B$2:$B$6)</f>
        <v>Meets Expectations</v>
      </c>
      <c r="V1121" s="8" t="n">
        <f aca="false">IF(Q1121="","",ROUND((Q1121-B1121)*24,1))</f>
        <v>0</v>
      </c>
    </row>
    <row r="1122" customFormat="false" ht="15" hidden="false" customHeight="false" outlineLevel="0" collapsed="false">
      <c r="A1122" s="3" t="s">
        <v>2378</v>
      </c>
      <c r="B1122" s="5" t="n">
        <v>46244.5833333333</v>
      </c>
      <c r="C1122" s="3" t="s">
        <v>30</v>
      </c>
      <c r="D1122" s="3" t="s">
        <v>63</v>
      </c>
      <c r="E1122" s="3" t="s">
        <v>64</v>
      </c>
      <c r="F1122" s="3" t="s">
        <v>65</v>
      </c>
      <c r="G1122" s="3" t="s">
        <v>42</v>
      </c>
      <c r="H1122" s="3" t="s">
        <v>2379</v>
      </c>
      <c r="I1122" s="3" t="n">
        <v>4</v>
      </c>
      <c r="J1122" s="3" t="n">
        <v>4</v>
      </c>
      <c r="K1122" s="3" t="n">
        <v>5</v>
      </c>
      <c r="L1122" s="3" t="n">
        <v>4</v>
      </c>
      <c r="M1122" s="3" t="n">
        <v>4</v>
      </c>
      <c r="N1122" s="3" t="n">
        <v>4</v>
      </c>
      <c r="O1122" s="6" t="b">
        <f aca="false">FALSE()</f>
        <v>0</v>
      </c>
      <c r="P1122" s="3"/>
      <c r="Q1122" s="5" t="n">
        <v>46244.5840277778</v>
      </c>
      <c r="R1122" s="5" t="n">
        <v>46244.7930555556</v>
      </c>
      <c r="S1122" s="3" t="s">
        <v>1699</v>
      </c>
      <c r="T1122" s="7" t="n">
        <f aca="false">ROUND(MIN(IF(OR(O1122=TRUE(),O1122="TRUE",O1122="Yes"),59,100),(I1122*Rubric!$C$2+J1122*Rubric!$C$3+K1122*Rubric!$C$4+L1122*Rubric!$C$5+M1122*Rubric!$C$6+N1122*Rubric!$C$7)/5),1)</f>
        <v>84</v>
      </c>
      <c r="U1122" s="8" t="str">
        <f aca="false">LOOKUP(T1122,Bands!$A$2:$A$6,Bands!$B$2:$B$6)</f>
        <v>Solid Performance</v>
      </c>
      <c r="V1122" s="8" t="n">
        <f aca="false">IF(Q1122="","",ROUND((Q1122-B1122)*24,1))</f>
        <v>0</v>
      </c>
    </row>
    <row r="1123" customFormat="false" ht="15" hidden="false" customHeight="false" outlineLevel="0" collapsed="false">
      <c r="A1123" s="3" t="s">
        <v>2380</v>
      </c>
      <c r="B1123" s="5" t="n">
        <v>46244.4090277778</v>
      </c>
      <c r="C1123" s="3" t="s">
        <v>39</v>
      </c>
      <c r="D1123" s="3" t="s">
        <v>151</v>
      </c>
      <c r="E1123" s="3" t="s">
        <v>152</v>
      </c>
      <c r="F1123" s="3" t="s">
        <v>33</v>
      </c>
      <c r="G1123" s="3" t="s">
        <v>54</v>
      </c>
      <c r="H1123" s="3" t="s">
        <v>2381</v>
      </c>
      <c r="I1123" s="3" t="n">
        <v>4</v>
      </c>
      <c r="J1123" s="3" t="n">
        <v>3</v>
      </c>
      <c r="K1123" s="3" t="n">
        <v>5</v>
      </c>
      <c r="L1123" s="3" t="n">
        <v>4</v>
      </c>
      <c r="M1123" s="3" t="n">
        <v>5</v>
      </c>
      <c r="N1123" s="3" t="n">
        <v>5</v>
      </c>
      <c r="O1123" s="6" t="b">
        <f aca="false">FALSE()</f>
        <v>0</v>
      </c>
      <c r="P1123" s="3"/>
      <c r="Q1123" s="5" t="n">
        <v>46244.4104166667</v>
      </c>
      <c r="R1123" s="5" t="n">
        <v>46244.4986111111</v>
      </c>
      <c r="S1123" s="3" t="s">
        <v>1699</v>
      </c>
      <c r="T1123" s="7" t="n">
        <f aca="false">ROUND(MIN(IF(OR(O1123=TRUE(),O1123="TRUE",O1123="Yes"),59,100),(I1123*Rubric!$C$2+J1123*Rubric!$C$3+K1123*Rubric!$C$4+L1123*Rubric!$C$5+M1123*Rubric!$C$6+N1123*Rubric!$C$7)/5),1)</f>
        <v>84</v>
      </c>
      <c r="U1123" s="8" t="str">
        <f aca="false">LOOKUP(T1123,Bands!$A$2:$A$6,Bands!$B$2:$B$6)</f>
        <v>Solid Performance</v>
      </c>
      <c r="V1123" s="8" t="n">
        <f aca="false">IF(Q1123="","",ROUND((Q1123-B1123)*24,1))</f>
        <v>0</v>
      </c>
    </row>
    <row r="1124" customFormat="false" ht="15" hidden="false" customHeight="false" outlineLevel="0" collapsed="false">
      <c r="A1124" s="3" t="s">
        <v>2382</v>
      </c>
      <c r="B1124" s="5" t="n">
        <v>46244.5368055556</v>
      </c>
      <c r="C1124" s="3" t="s">
        <v>30</v>
      </c>
      <c r="D1124" s="3" t="s">
        <v>85</v>
      </c>
      <c r="E1124" s="3" t="s">
        <v>86</v>
      </c>
      <c r="F1124" s="3" t="s">
        <v>33</v>
      </c>
      <c r="G1124" s="3" t="s">
        <v>54</v>
      </c>
      <c r="H1124" s="3" t="s">
        <v>2383</v>
      </c>
      <c r="I1124" s="3" t="n">
        <v>3</v>
      </c>
      <c r="J1124" s="3" t="n">
        <v>5</v>
      </c>
      <c r="K1124" s="3" t="n">
        <v>5</v>
      </c>
      <c r="L1124" s="3" t="n">
        <v>4</v>
      </c>
      <c r="M1124" s="3" t="n">
        <v>4</v>
      </c>
      <c r="N1124" s="3" t="n">
        <v>4</v>
      </c>
      <c r="O1124" s="6" t="b">
        <f aca="false">FALSE()</f>
        <v>0</v>
      </c>
      <c r="P1124" s="3"/>
      <c r="Q1124" s="5" t="n">
        <v>46244.5375</v>
      </c>
      <c r="R1124" s="5" t="n">
        <v>46244.5423611111</v>
      </c>
      <c r="S1124" s="3" t="s">
        <v>1699</v>
      </c>
      <c r="T1124" s="7" t="n">
        <f aca="false">ROUND(MIN(IF(OR(O1124=TRUE(),O1124="TRUE",O1124="Yes"),59,100),(I1124*Rubric!$C$2+J1124*Rubric!$C$3+K1124*Rubric!$C$4+L1124*Rubric!$C$5+M1124*Rubric!$C$6+N1124*Rubric!$C$7)/5),1)</f>
        <v>86</v>
      </c>
      <c r="U1124" s="8" t="str">
        <f aca="false">LOOKUP(T1124,Bands!$A$2:$A$6,Bands!$B$2:$B$6)</f>
        <v>Solid Performance</v>
      </c>
      <c r="V1124" s="8" t="n">
        <f aca="false">IF(Q1124="","",ROUND((Q1124-B1124)*24,1))</f>
        <v>0</v>
      </c>
    </row>
    <row r="1125" customFormat="false" ht="15" hidden="false" customHeight="false" outlineLevel="0" collapsed="false">
      <c r="A1125" s="3" t="s">
        <v>2384</v>
      </c>
      <c r="B1125" s="5" t="n">
        <v>46244.5416666667</v>
      </c>
      <c r="C1125" s="3" t="s">
        <v>39</v>
      </c>
      <c r="D1125" s="3" t="s">
        <v>111</v>
      </c>
      <c r="E1125" s="3" t="s">
        <v>112</v>
      </c>
      <c r="F1125" s="3" t="s">
        <v>33</v>
      </c>
      <c r="G1125" s="3" t="s">
        <v>54</v>
      </c>
      <c r="H1125" s="3" t="s">
        <v>2385</v>
      </c>
      <c r="I1125" s="3" t="n">
        <v>3</v>
      </c>
      <c r="J1125" s="3" t="n">
        <v>4</v>
      </c>
      <c r="K1125" s="3" t="n">
        <v>4</v>
      </c>
      <c r="L1125" s="3" t="n">
        <v>5</v>
      </c>
      <c r="M1125" s="3" t="n">
        <v>5</v>
      </c>
      <c r="N1125" s="3" t="n">
        <v>4</v>
      </c>
      <c r="O1125" s="6" t="b">
        <f aca="false">FALSE()</f>
        <v>0</v>
      </c>
      <c r="P1125" s="3"/>
      <c r="Q1125" s="5" t="n">
        <v>46244.54375</v>
      </c>
      <c r="R1125" s="5" t="n">
        <v>46244.6513888889</v>
      </c>
      <c r="S1125" s="3" t="s">
        <v>1699</v>
      </c>
      <c r="T1125" s="7" t="n">
        <f aca="false">ROUND(MIN(IF(OR(O1125=TRUE(),O1125="TRUE",O1125="Yes"),59,100),(I1125*Rubric!$C$2+J1125*Rubric!$C$3+K1125*Rubric!$C$4+L1125*Rubric!$C$5+M1125*Rubric!$C$6+N1125*Rubric!$C$7)/5),1)</f>
        <v>82</v>
      </c>
      <c r="U1125" s="8" t="str">
        <f aca="false">LOOKUP(T1125,Bands!$A$2:$A$6,Bands!$B$2:$B$6)</f>
        <v>Solid Performance</v>
      </c>
      <c r="V1125" s="8" t="n">
        <f aca="false">IF(Q1125="","",ROUND((Q1125-B1125)*24,1))</f>
        <v>0</v>
      </c>
    </row>
    <row r="1126" customFormat="false" ht="15" hidden="false" customHeight="false" outlineLevel="0" collapsed="false">
      <c r="A1126" s="3" t="s">
        <v>2386</v>
      </c>
      <c r="B1126" s="5" t="n">
        <v>46244.6347222222</v>
      </c>
      <c r="C1126" s="3" t="s">
        <v>68</v>
      </c>
      <c r="D1126" s="3" t="s">
        <v>486</v>
      </c>
      <c r="E1126" s="3" t="s">
        <v>487</v>
      </c>
      <c r="F1126" s="3" t="s">
        <v>65</v>
      </c>
      <c r="G1126" s="3" t="s">
        <v>34</v>
      </c>
      <c r="H1126" s="3" t="s">
        <v>2387</v>
      </c>
      <c r="I1126" s="3" t="n">
        <v>4</v>
      </c>
      <c r="J1126" s="3" t="n">
        <v>3</v>
      </c>
      <c r="K1126" s="3" t="n">
        <v>5</v>
      </c>
      <c r="L1126" s="3" t="n">
        <v>5</v>
      </c>
      <c r="M1126" s="3" t="n">
        <v>5</v>
      </c>
      <c r="N1126" s="3" t="n">
        <v>5</v>
      </c>
      <c r="O1126" s="6" t="b">
        <f aca="false">FALSE()</f>
        <v>0</v>
      </c>
      <c r="P1126" s="3"/>
      <c r="Q1126" s="5" t="n">
        <v>46244.6361111111</v>
      </c>
      <c r="R1126" s="5" t="n">
        <v>46244.9743055556</v>
      </c>
      <c r="S1126" s="3" t="s">
        <v>1699</v>
      </c>
      <c r="T1126" s="7" t="n">
        <f aca="false">ROUND(MIN(IF(OR(O1126=TRUE(),O1126="TRUE",O1126="Yes"),59,100),(I1126*Rubric!$C$2+J1126*Rubric!$C$3+K1126*Rubric!$C$4+L1126*Rubric!$C$5+M1126*Rubric!$C$6+N1126*Rubric!$C$7)/5),1)</f>
        <v>87</v>
      </c>
      <c r="U1126" s="8" t="str">
        <f aca="false">LOOKUP(T1126,Bands!$A$2:$A$6,Bands!$B$2:$B$6)</f>
        <v>Solid Performance</v>
      </c>
      <c r="V1126" s="8" t="n">
        <f aca="false">IF(Q1126="","",ROUND((Q1126-B1126)*24,1))</f>
        <v>0</v>
      </c>
    </row>
    <row r="1127" customFormat="false" ht="15" hidden="false" customHeight="false" outlineLevel="0" collapsed="false">
      <c r="A1127" s="3" t="s">
        <v>2388</v>
      </c>
      <c r="B1127" s="5" t="n">
        <v>46244.4861111111</v>
      </c>
      <c r="C1127" s="3" t="s">
        <v>30</v>
      </c>
      <c r="D1127" s="3" t="s">
        <v>366</v>
      </c>
      <c r="E1127" s="3" t="s">
        <v>367</v>
      </c>
      <c r="F1127" s="3" t="s">
        <v>53</v>
      </c>
      <c r="G1127" s="3" t="s">
        <v>54</v>
      </c>
      <c r="H1127" s="3" t="s">
        <v>2389</v>
      </c>
      <c r="I1127" s="3" t="n">
        <v>4</v>
      </c>
      <c r="J1127" s="3" t="n">
        <v>4</v>
      </c>
      <c r="K1127" s="3" t="n">
        <v>2</v>
      </c>
      <c r="L1127" s="3" t="n">
        <v>5</v>
      </c>
      <c r="M1127" s="3" t="n">
        <v>4</v>
      </c>
      <c r="N1127" s="3" t="n">
        <v>4</v>
      </c>
      <c r="O1127" s="6" t="b">
        <f aca="false">FALSE()</f>
        <v>0</v>
      </c>
      <c r="P1127" s="3" t="s">
        <v>49</v>
      </c>
      <c r="Q1127" s="5" t="n">
        <v>46244.4881944444</v>
      </c>
      <c r="R1127" s="5" t="n">
        <v>46244.7409722222</v>
      </c>
      <c r="S1127" s="3" t="s">
        <v>1699</v>
      </c>
      <c r="T1127" s="7" t="n">
        <f aca="false">ROUND(MIN(IF(OR(O1127=TRUE(),O1127="TRUE",O1127="Yes"),59,100),(I1127*Rubric!$C$2+J1127*Rubric!$C$3+K1127*Rubric!$C$4+L1127*Rubric!$C$5+M1127*Rubric!$C$6+N1127*Rubric!$C$7)/5),1)</f>
        <v>75</v>
      </c>
      <c r="U1127" s="8" t="str">
        <f aca="false">LOOKUP(T1127,Bands!$A$2:$A$6,Bands!$B$2:$B$6)</f>
        <v>Meets Expectations</v>
      </c>
      <c r="V1127" s="8" t="n">
        <f aca="false">IF(Q1127="","",ROUND((Q1127-B1127)*24,1))</f>
        <v>0</v>
      </c>
    </row>
    <row r="1128" customFormat="false" ht="15" hidden="false" customHeight="false" outlineLevel="0" collapsed="false">
      <c r="A1128" s="3" t="s">
        <v>2390</v>
      </c>
      <c r="B1128" s="5" t="n">
        <v>46244.6784722222</v>
      </c>
      <c r="C1128" s="3" t="s">
        <v>30</v>
      </c>
      <c r="D1128" s="3" t="s">
        <v>137</v>
      </c>
      <c r="E1128" s="3" t="s">
        <v>138</v>
      </c>
      <c r="F1128" s="3" t="s">
        <v>65</v>
      </c>
      <c r="G1128" s="3" t="s">
        <v>42</v>
      </c>
      <c r="H1128" s="3" t="s">
        <v>2391</v>
      </c>
      <c r="I1128" s="3" t="n">
        <v>4</v>
      </c>
      <c r="J1128" s="3" t="n">
        <v>5</v>
      </c>
      <c r="K1128" s="3" t="n">
        <v>5</v>
      </c>
      <c r="L1128" s="3" t="n">
        <v>4</v>
      </c>
      <c r="M1128" s="3" t="n">
        <v>5</v>
      </c>
      <c r="N1128" s="3" t="n">
        <v>4</v>
      </c>
      <c r="O1128" s="6" t="b">
        <f aca="false">FALSE()</f>
        <v>0</v>
      </c>
      <c r="P1128" s="3"/>
      <c r="Q1128" s="5" t="n">
        <v>46244.6791666667</v>
      </c>
      <c r="R1128" s="5" t="n">
        <v>46244.7236111111</v>
      </c>
      <c r="S1128" s="3" t="s">
        <v>1699</v>
      </c>
      <c r="T1128" s="7" t="n">
        <f aca="false">ROUND(MIN(IF(OR(O1128=TRUE(),O1128="TRUE",O1128="Yes"),59,100),(I1128*Rubric!$C$2+J1128*Rubric!$C$3+K1128*Rubric!$C$4+L1128*Rubric!$C$5+M1128*Rubric!$C$6+N1128*Rubric!$C$7)/5),1)</f>
        <v>91</v>
      </c>
      <c r="U1128" s="8" t="str">
        <f aca="false">LOOKUP(T1128,Bands!$A$2:$A$6,Bands!$B$2:$B$6)</f>
        <v>Outstanding</v>
      </c>
      <c r="V1128" s="8" t="n">
        <f aca="false">IF(Q1128="","",ROUND((Q1128-B1128)*24,1))</f>
        <v>0</v>
      </c>
    </row>
    <row r="1129" customFormat="false" ht="15" hidden="false" customHeight="false" outlineLevel="0" collapsed="false">
      <c r="A1129" s="3" t="s">
        <v>2392</v>
      </c>
      <c r="B1129" s="5" t="n">
        <v>46244.6090277778</v>
      </c>
      <c r="C1129" s="3" t="s">
        <v>39</v>
      </c>
      <c r="D1129" s="3" t="s">
        <v>96</v>
      </c>
      <c r="E1129" s="3" t="s">
        <v>97</v>
      </c>
      <c r="F1129" s="3" t="s">
        <v>33</v>
      </c>
      <c r="G1129" s="3" t="s">
        <v>54</v>
      </c>
      <c r="H1129" s="3" t="s">
        <v>2393</v>
      </c>
      <c r="I1129" s="3" t="n">
        <v>4</v>
      </c>
      <c r="J1129" s="3" t="n">
        <v>3</v>
      </c>
      <c r="K1129" s="3" t="n">
        <v>4</v>
      </c>
      <c r="L1129" s="3" t="n">
        <v>4</v>
      </c>
      <c r="M1129" s="3" t="n">
        <v>5</v>
      </c>
      <c r="N1129" s="3" t="n">
        <v>1</v>
      </c>
      <c r="O1129" s="6" t="b">
        <f aca="false">TRUE()</f>
        <v>1</v>
      </c>
      <c r="P1129" s="3" t="s">
        <v>36</v>
      </c>
      <c r="Q1129" s="5" t="n">
        <v>46244.6111111111</v>
      </c>
      <c r="R1129" s="5" t="n">
        <v>46244.9888888889</v>
      </c>
      <c r="S1129" s="3" t="s">
        <v>1699</v>
      </c>
      <c r="T1129" s="7" t="n">
        <f aca="false">ROUND(MIN(IF(OR(O1129=TRUE(),O1129="TRUE",O1129="Yes"),59,100),(I1129*Rubric!$C$2+J1129*Rubric!$C$3+K1129*Rubric!$C$4+L1129*Rubric!$C$5+M1129*Rubric!$C$6+N1129*Rubric!$C$7)/5),1)</f>
        <v>59</v>
      </c>
      <c r="U1129" s="8" t="str">
        <f aca="false">LOOKUP(T1129,Bands!$A$2:$A$6,Bands!$B$2:$B$6)</f>
        <v>Critical</v>
      </c>
      <c r="V1129" s="8" t="n">
        <f aca="false">IF(Q1129="","",ROUND((Q1129-B1129)*24,1))</f>
        <v>0</v>
      </c>
    </row>
    <row r="1130" customFormat="false" ht="15" hidden="false" customHeight="false" outlineLevel="0" collapsed="false">
      <c r="A1130" s="3" t="s">
        <v>2394</v>
      </c>
      <c r="B1130" s="5" t="n">
        <v>46245.5013888889</v>
      </c>
      <c r="C1130" s="3" t="s">
        <v>68</v>
      </c>
      <c r="D1130" s="3" t="s">
        <v>366</v>
      </c>
      <c r="E1130" s="3" t="s">
        <v>367</v>
      </c>
      <c r="F1130" s="3" t="s">
        <v>53</v>
      </c>
      <c r="G1130" s="3" t="s">
        <v>54</v>
      </c>
      <c r="H1130" s="3" t="s">
        <v>2395</v>
      </c>
      <c r="I1130" s="3" t="n">
        <v>4</v>
      </c>
      <c r="J1130" s="3" t="n">
        <v>4</v>
      </c>
      <c r="K1130" s="3" t="n">
        <v>4</v>
      </c>
      <c r="L1130" s="3" t="n">
        <v>4</v>
      </c>
      <c r="M1130" s="3" t="n">
        <v>4</v>
      </c>
      <c r="N1130" s="3" t="n">
        <v>5</v>
      </c>
      <c r="O1130" s="6" t="b">
        <f aca="false">FALSE()</f>
        <v>0</v>
      </c>
      <c r="P1130" s="3"/>
      <c r="Q1130" s="5" t="n">
        <v>46245.5020833333</v>
      </c>
      <c r="R1130" s="5" t="n">
        <v>46245.6229166667</v>
      </c>
      <c r="S1130" s="3" t="s">
        <v>1699</v>
      </c>
      <c r="T1130" s="7" t="n">
        <f aca="false">ROUND(MIN(IF(OR(O1130=TRUE(),O1130="TRUE",O1130="Yes"),59,100),(I1130*Rubric!$C$2+J1130*Rubric!$C$3+K1130*Rubric!$C$4+L1130*Rubric!$C$5+M1130*Rubric!$C$6+N1130*Rubric!$C$7)/5),1)</f>
        <v>83</v>
      </c>
      <c r="U1130" s="8" t="str">
        <f aca="false">LOOKUP(T1130,Bands!$A$2:$A$6,Bands!$B$2:$B$6)</f>
        <v>Solid Performance</v>
      </c>
      <c r="V1130" s="8" t="n">
        <f aca="false">IF(Q1130="","",ROUND((Q1130-B1130)*24,1))</f>
        <v>0</v>
      </c>
    </row>
    <row r="1131" customFormat="false" ht="15" hidden="false" customHeight="false" outlineLevel="0" collapsed="false">
      <c r="A1131" s="3" t="s">
        <v>2396</v>
      </c>
      <c r="B1131" s="5" t="n">
        <v>46245.4652777778</v>
      </c>
      <c r="C1131" s="3" t="s">
        <v>39</v>
      </c>
      <c r="D1131" s="3" t="s">
        <v>155</v>
      </c>
      <c r="E1131" s="3" t="s">
        <v>156</v>
      </c>
      <c r="F1131" s="3" t="s">
        <v>65</v>
      </c>
      <c r="G1131" s="3" t="s">
        <v>54</v>
      </c>
      <c r="H1131" s="3" t="s">
        <v>2397</v>
      </c>
      <c r="I1131" s="3" t="n">
        <v>4</v>
      </c>
      <c r="J1131" s="3" t="n">
        <v>5</v>
      </c>
      <c r="K1131" s="3" t="n">
        <v>4</v>
      </c>
      <c r="L1131" s="3" t="n">
        <v>4</v>
      </c>
      <c r="M1131" s="3" t="n">
        <v>4</v>
      </c>
      <c r="N1131" s="3" t="n">
        <v>4</v>
      </c>
      <c r="O1131" s="6" t="b">
        <f aca="false">FALSE()</f>
        <v>0</v>
      </c>
      <c r="P1131" s="3"/>
      <c r="Q1131" s="5" t="n">
        <v>46245.4666666667</v>
      </c>
      <c r="R1131" s="5" t="n">
        <v>46245.6513888889</v>
      </c>
      <c r="S1131" s="3" t="s">
        <v>1699</v>
      </c>
      <c r="T1131" s="7" t="n">
        <f aca="false">ROUND(MIN(IF(OR(O1131=TRUE(),O1131="TRUE",O1131="Yes"),59,100),(I1131*Rubric!$C$2+J1131*Rubric!$C$3+K1131*Rubric!$C$4+L1131*Rubric!$C$5+M1131*Rubric!$C$6+N1131*Rubric!$C$7)/5),1)</f>
        <v>85</v>
      </c>
      <c r="U1131" s="8" t="str">
        <f aca="false">LOOKUP(T1131,Bands!$A$2:$A$6,Bands!$B$2:$B$6)</f>
        <v>Solid Performance</v>
      </c>
      <c r="V1131" s="8" t="n">
        <f aca="false">IF(Q1131="","",ROUND((Q1131-B1131)*24,1))</f>
        <v>0</v>
      </c>
    </row>
    <row r="1132" customFormat="false" ht="15" hidden="false" customHeight="false" outlineLevel="0" collapsed="false">
      <c r="A1132" s="3" t="s">
        <v>2398</v>
      </c>
      <c r="B1132" s="5" t="n">
        <v>46245.43125</v>
      </c>
      <c r="C1132" s="3" t="s">
        <v>39</v>
      </c>
      <c r="D1132" s="3" t="s">
        <v>69</v>
      </c>
      <c r="E1132" s="3" t="s">
        <v>70</v>
      </c>
      <c r="F1132" s="3" t="s">
        <v>65</v>
      </c>
      <c r="G1132" s="3" t="s">
        <v>54</v>
      </c>
      <c r="H1132" s="3" t="s">
        <v>2399</v>
      </c>
      <c r="I1132" s="3" t="n">
        <v>4</v>
      </c>
      <c r="J1132" s="3" t="n">
        <v>5</v>
      </c>
      <c r="K1132" s="3" t="n">
        <v>4</v>
      </c>
      <c r="L1132" s="3" t="n">
        <v>4</v>
      </c>
      <c r="M1132" s="3" t="n">
        <v>5</v>
      </c>
      <c r="N1132" s="3" t="n">
        <v>4</v>
      </c>
      <c r="O1132" s="6" t="b">
        <f aca="false">FALSE()</f>
        <v>0</v>
      </c>
      <c r="P1132" s="3"/>
      <c r="Q1132" s="5" t="n">
        <v>46245.4326388889</v>
      </c>
      <c r="R1132" s="5" t="n">
        <v>46245.5354166667</v>
      </c>
      <c r="S1132" s="3" t="s">
        <v>1699</v>
      </c>
      <c r="T1132" s="7" t="n">
        <f aca="false">ROUND(MIN(IF(OR(O1132=TRUE(),O1132="TRUE",O1132="Yes"),59,100),(I1132*Rubric!$C$2+J1132*Rubric!$C$3+K1132*Rubric!$C$4+L1132*Rubric!$C$5+M1132*Rubric!$C$6+N1132*Rubric!$C$7)/5),1)</f>
        <v>87</v>
      </c>
      <c r="U1132" s="8" t="str">
        <f aca="false">LOOKUP(T1132,Bands!$A$2:$A$6,Bands!$B$2:$B$6)</f>
        <v>Solid Performance</v>
      </c>
      <c r="V1132" s="8" t="n">
        <f aca="false">IF(Q1132="","",ROUND((Q1132-B1132)*24,1))</f>
        <v>0</v>
      </c>
    </row>
    <row r="1133" customFormat="false" ht="15" hidden="false" customHeight="false" outlineLevel="0" collapsed="false">
      <c r="A1133" s="3" t="s">
        <v>2400</v>
      </c>
      <c r="B1133" s="5" t="n">
        <v>46245.4423611111</v>
      </c>
      <c r="C1133" s="3" t="s">
        <v>39</v>
      </c>
      <c r="D1133" s="3" t="s">
        <v>202</v>
      </c>
      <c r="E1133" s="3" t="s">
        <v>203</v>
      </c>
      <c r="F1133" s="3" t="s">
        <v>53</v>
      </c>
      <c r="G1133" s="3" t="s">
        <v>54</v>
      </c>
      <c r="H1133" s="3" t="s">
        <v>2401</v>
      </c>
      <c r="I1133" s="3" t="n">
        <v>4</v>
      </c>
      <c r="J1133" s="3" t="n">
        <v>4</v>
      </c>
      <c r="K1133" s="3" t="n">
        <v>4</v>
      </c>
      <c r="L1133" s="3" t="n">
        <v>3</v>
      </c>
      <c r="M1133" s="3" t="n">
        <v>3</v>
      </c>
      <c r="N1133" s="3" t="n">
        <v>3</v>
      </c>
      <c r="O1133" s="6" t="b">
        <f aca="false">FALSE()</f>
        <v>0</v>
      </c>
      <c r="P1133" s="3"/>
      <c r="Q1133" s="5" t="n">
        <v>46245.4430555556</v>
      </c>
      <c r="R1133" s="5" t="n">
        <v>46246.0534722222</v>
      </c>
      <c r="S1133" s="3" t="s">
        <v>1699</v>
      </c>
      <c r="T1133" s="7" t="n">
        <f aca="false">ROUND(MIN(IF(OR(O1133=TRUE(),O1133="TRUE",O1133="Yes"),59,100),(I1133*Rubric!$C$2+J1133*Rubric!$C$3+K1133*Rubric!$C$4+L1133*Rubric!$C$5+M1133*Rubric!$C$6+N1133*Rubric!$C$7)/5),1)</f>
        <v>72</v>
      </c>
      <c r="U1133" s="8" t="str">
        <f aca="false">LOOKUP(T1133,Bands!$A$2:$A$6,Bands!$B$2:$B$6)</f>
        <v>Meets Expectations</v>
      </c>
      <c r="V1133" s="8" t="n">
        <f aca="false">IF(Q1133="","",ROUND((Q1133-B1133)*24,1))</f>
        <v>0</v>
      </c>
    </row>
    <row r="1134" customFormat="false" ht="15" hidden="false" customHeight="false" outlineLevel="0" collapsed="false">
      <c r="A1134" s="3" t="s">
        <v>2402</v>
      </c>
      <c r="B1134" s="5" t="n">
        <v>46245.4909722222</v>
      </c>
      <c r="C1134" s="3" t="s">
        <v>68</v>
      </c>
      <c r="D1134" s="3" t="s">
        <v>115</v>
      </c>
      <c r="E1134" s="3" t="s">
        <v>116</v>
      </c>
      <c r="F1134" s="3" t="s">
        <v>33</v>
      </c>
      <c r="G1134" s="3" t="s">
        <v>42</v>
      </c>
      <c r="H1134" s="3" t="s">
        <v>2403</v>
      </c>
      <c r="I1134" s="3" t="n">
        <v>4</v>
      </c>
      <c r="J1134" s="3" t="n">
        <v>5</v>
      </c>
      <c r="K1134" s="3" t="n">
        <v>4</v>
      </c>
      <c r="L1134" s="3" t="n">
        <v>5</v>
      </c>
      <c r="M1134" s="3" t="n">
        <v>3</v>
      </c>
      <c r="N1134" s="3" t="n">
        <v>0</v>
      </c>
      <c r="O1134" s="6" t="b">
        <f aca="false">TRUE()</f>
        <v>1</v>
      </c>
      <c r="P1134" s="3" t="s">
        <v>36</v>
      </c>
      <c r="Q1134" s="5" t="n">
        <v>46245.4930555556</v>
      </c>
      <c r="R1134" s="5" t="n">
        <v>46246.375</v>
      </c>
      <c r="S1134" s="3" t="s">
        <v>1699</v>
      </c>
      <c r="T1134" s="7" t="n">
        <f aca="false">ROUND(MIN(IF(OR(O1134=TRUE(),O1134="TRUE",O1134="Yes"),59,100),(I1134*Rubric!$C$2+J1134*Rubric!$C$3+K1134*Rubric!$C$4+L1134*Rubric!$C$5+M1134*Rubric!$C$6+N1134*Rubric!$C$7)/5),1)</f>
        <v>59</v>
      </c>
      <c r="U1134" s="8" t="str">
        <f aca="false">LOOKUP(T1134,Bands!$A$2:$A$6,Bands!$B$2:$B$6)</f>
        <v>Critical</v>
      </c>
      <c r="V1134" s="8" t="n">
        <f aca="false">IF(Q1134="","",ROUND((Q1134-B1134)*24,1))</f>
        <v>0.1</v>
      </c>
    </row>
    <row r="1135" customFormat="false" ht="15" hidden="false" customHeight="false" outlineLevel="0" collapsed="false">
      <c r="A1135" s="3" t="s">
        <v>2404</v>
      </c>
      <c r="B1135" s="5" t="n">
        <v>46245.4527777778</v>
      </c>
      <c r="C1135" s="3" t="s">
        <v>39</v>
      </c>
      <c r="D1135" s="3" t="s">
        <v>105</v>
      </c>
      <c r="E1135" s="3" t="s">
        <v>106</v>
      </c>
      <c r="F1135" s="3" t="s">
        <v>65</v>
      </c>
      <c r="G1135" s="3" t="s">
        <v>42</v>
      </c>
      <c r="H1135" s="3" t="s">
        <v>2405</v>
      </c>
      <c r="I1135" s="3" t="n">
        <v>4</v>
      </c>
      <c r="J1135" s="3" t="n">
        <v>4</v>
      </c>
      <c r="K1135" s="3" t="n">
        <v>5</v>
      </c>
      <c r="L1135" s="3" t="n">
        <v>4</v>
      </c>
      <c r="M1135" s="3" t="n">
        <v>4</v>
      </c>
      <c r="N1135" s="3" t="n">
        <v>4</v>
      </c>
      <c r="O1135" s="6" t="b">
        <f aca="false">FALSE()</f>
        <v>0</v>
      </c>
      <c r="P1135" s="3"/>
      <c r="Q1135" s="5" t="n">
        <v>46245.4534722222</v>
      </c>
      <c r="R1135" s="5" t="n">
        <v>46245.5326388889</v>
      </c>
      <c r="S1135" s="3" t="s">
        <v>1699</v>
      </c>
      <c r="T1135" s="7" t="n">
        <f aca="false">ROUND(MIN(IF(OR(O1135=TRUE(),O1135="TRUE",O1135="Yes"),59,100),(I1135*Rubric!$C$2+J1135*Rubric!$C$3+K1135*Rubric!$C$4+L1135*Rubric!$C$5+M1135*Rubric!$C$6+N1135*Rubric!$C$7)/5),1)</f>
        <v>84</v>
      </c>
      <c r="U1135" s="8" t="str">
        <f aca="false">LOOKUP(T1135,Bands!$A$2:$A$6,Bands!$B$2:$B$6)</f>
        <v>Solid Performance</v>
      </c>
      <c r="V1135" s="8" t="n">
        <f aca="false">IF(Q1135="","",ROUND((Q1135-B1135)*24,1))</f>
        <v>0</v>
      </c>
    </row>
    <row r="1136" customFormat="false" ht="15" hidden="false" customHeight="false" outlineLevel="0" collapsed="false">
      <c r="A1136" s="3" t="s">
        <v>2406</v>
      </c>
      <c r="B1136" s="5" t="n">
        <v>46245.6604166667</v>
      </c>
      <c r="C1136" s="3" t="s">
        <v>39</v>
      </c>
      <c r="D1136" s="3" t="s">
        <v>194</v>
      </c>
      <c r="E1136" s="3" t="s">
        <v>195</v>
      </c>
      <c r="F1136" s="3" t="s">
        <v>53</v>
      </c>
      <c r="G1136" s="3" t="s">
        <v>54</v>
      </c>
      <c r="H1136" s="3" t="s">
        <v>2407</v>
      </c>
      <c r="I1136" s="3" t="n">
        <v>5</v>
      </c>
      <c r="J1136" s="3" t="n">
        <v>4</v>
      </c>
      <c r="K1136" s="3" t="n">
        <v>5</v>
      </c>
      <c r="L1136" s="3" t="n">
        <v>2</v>
      </c>
      <c r="M1136" s="3" t="n">
        <v>4</v>
      </c>
      <c r="N1136" s="3" t="n">
        <v>5</v>
      </c>
      <c r="O1136" s="6" t="b">
        <f aca="false">FALSE()</f>
        <v>0</v>
      </c>
      <c r="P1136" s="3" t="s">
        <v>44</v>
      </c>
      <c r="Q1136" s="5" t="n">
        <v>46245.6625</v>
      </c>
      <c r="R1136" s="5" t="n">
        <v>46245.7506944445</v>
      </c>
      <c r="S1136" s="3" t="s">
        <v>1699</v>
      </c>
      <c r="T1136" s="7" t="n">
        <f aca="false">ROUND(MIN(IF(OR(O1136=TRUE(),O1136="TRUE",O1136="Yes"),59,100),(I1136*Rubric!$C$2+J1136*Rubric!$C$3+K1136*Rubric!$C$4+L1136*Rubric!$C$5+M1136*Rubric!$C$6+N1136*Rubric!$C$7)/5),1)</f>
        <v>84</v>
      </c>
      <c r="U1136" s="8" t="str">
        <f aca="false">LOOKUP(T1136,Bands!$A$2:$A$6,Bands!$B$2:$B$6)</f>
        <v>Solid Performance</v>
      </c>
      <c r="V1136" s="8" t="n">
        <f aca="false">IF(Q1136="","",ROUND((Q1136-B1136)*24,1))</f>
        <v>0</v>
      </c>
    </row>
    <row r="1137" customFormat="false" ht="15" hidden="false" customHeight="false" outlineLevel="0" collapsed="false">
      <c r="A1137" s="3" t="s">
        <v>2408</v>
      </c>
      <c r="B1137" s="5" t="n">
        <v>46245.675</v>
      </c>
      <c r="C1137" s="3" t="s">
        <v>39</v>
      </c>
      <c r="D1137" s="3" t="s">
        <v>119</v>
      </c>
      <c r="E1137" s="3" t="s">
        <v>120</v>
      </c>
      <c r="F1137" s="3" t="s">
        <v>33</v>
      </c>
      <c r="G1137" s="3" t="s">
        <v>34</v>
      </c>
      <c r="H1137" s="3" t="s">
        <v>2409</v>
      </c>
      <c r="I1137" s="3" t="n">
        <v>3</v>
      </c>
      <c r="J1137" s="3" t="n">
        <v>5</v>
      </c>
      <c r="K1137" s="3" t="n">
        <v>5</v>
      </c>
      <c r="L1137" s="3" t="n">
        <v>3</v>
      </c>
      <c r="M1137" s="3" t="n">
        <v>4</v>
      </c>
      <c r="N1137" s="3" t="n">
        <v>3</v>
      </c>
      <c r="O1137" s="6" t="b">
        <f aca="false">FALSE()</f>
        <v>0</v>
      </c>
      <c r="P1137" s="3"/>
      <c r="Q1137" s="5" t="n">
        <v>46245.6770833333</v>
      </c>
      <c r="R1137" s="5" t="n">
        <v>46245.7972222222</v>
      </c>
      <c r="S1137" s="3" t="s">
        <v>1699</v>
      </c>
      <c r="T1137" s="7" t="n">
        <f aca="false">ROUND(MIN(IF(OR(O1137=TRUE(),O1137="TRUE",O1137="Yes"),59,100),(I1137*Rubric!$C$2+J1137*Rubric!$C$3+K1137*Rubric!$C$4+L1137*Rubric!$C$5+M1137*Rubric!$C$6+N1137*Rubric!$C$7)/5),1)</f>
        <v>80</v>
      </c>
      <c r="U1137" s="8" t="str">
        <f aca="false">LOOKUP(T1137,Bands!$A$2:$A$6,Bands!$B$2:$B$6)</f>
        <v>Solid Performance</v>
      </c>
      <c r="V1137" s="8" t="n">
        <f aca="false">IF(Q1137="","",ROUND((Q1137-B1137)*24,1))</f>
        <v>0</v>
      </c>
    </row>
    <row r="1138" customFormat="false" ht="15" hidden="false" customHeight="false" outlineLevel="0" collapsed="false">
      <c r="A1138" s="3" t="s">
        <v>2410</v>
      </c>
      <c r="B1138" s="5" t="n">
        <v>46245.4111111111</v>
      </c>
      <c r="C1138" s="3" t="s">
        <v>68</v>
      </c>
      <c r="D1138" s="3" t="s">
        <v>265</v>
      </c>
      <c r="E1138" s="3" t="s">
        <v>266</v>
      </c>
      <c r="F1138" s="3" t="s">
        <v>33</v>
      </c>
      <c r="G1138" s="3" t="s">
        <v>34</v>
      </c>
      <c r="H1138" s="3" t="s">
        <v>2411</v>
      </c>
      <c r="I1138" s="3" t="n">
        <v>4</v>
      </c>
      <c r="J1138" s="3" t="n">
        <v>3</v>
      </c>
      <c r="K1138" s="3" t="n">
        <v>3</v>
      </c>
      <c r="L1138" s="3" t="n">
        <v>3</v>
      </c>
      <c r="M1138" s="3" t="n">
        <v>3</v>
      </c>
      <c r="N1138" s="3" t="n">
        <v>3</v>
      </c>
      <c r="O1138" s="6" t="b">
        <f aca="false">FALSE()</f>
        <v>0</v>
      </c>
      <c r="P1138" s="3"/>
      <c r="Q1138" s="5" t="n">
        <v>46245.4131944445</v>
      </c>
      <c r="R1138" s="5" t="n">
        <v>46245.4423611111</v>
      </c>
      <c r="S1138" s="3" t="s">
        <v>1699</v>
      </c>
      <c r="T1138" s="7" t="n">
        <f aca="false">ROUND(MIN(IF(OR(O1138=TRUE(),O1138="TRUE",O1138="Yes"),59,100),(I1138*Rubric!$C$2+J1138*Rubric!$C$3+K1138*Rubric!$C$4+L1138*Rubric!$C$5+M1138*Rubric!$C$6+N1138*Rubric!$C$7)/5),1)</f>
        <v>63</v>
      </c>
      <c r="U1138" s="8" t="str">
        <f aca="false">LOOKUP(T1138,Bands!$A$2:$A$6,Bands!$B$2:$B$6)</f>
        <v>Needs Improvement</v>
      </c>
      <c r="V1138" s="8" t="n">
        <f aca="false">IF(Q1138="","",ROUND((Q1138-B1138)*24,1))</f>
        <v>0.1</v>
      </c>
    </row>
    <row r="1139" customFormat="false" ht="15" hidden="false" customHeight="false" outlineLevel="0" collapsed="false">
      <c r="A1139" s="3" t="s">
        <v>2412</v>
      </c>
      <c r="B1139" s="5" t="n">
        <v>46245.4638888889</v>
      </c>
      <c r="C1139" s="3" t="s">
        <v>30</v>
      </c>
      <c r="D1139" s="3" t="s">
        <v>58</v>
      </c>
      <c r="E1139" s="3" t="s">
        <v>59</v>
      </c>
      <c r="F1139" s="3" t="s">
        <v>53</v>
      </c>
      <c r="G1139" s="3" t="s">
        <v>54</v>
      </c>
      <c r="H1139" s="3" t="s">
        <v>2413</v>
      </c>
      <c r="I1139" s="3" t="n">
        <v>3</v>
      </c>
      <c r="J1139" s="3" t="n">
        <v>2</v>
      </c>
      <c r="K1139" s="3" t="n">
        <v>3</v>
      </c>
      <c r="L1139" s="3" t="n">
        <v>3</v>
      </c>
      <c r="M1139" s="3" t="n">
        <v>3</v>
      </c>
      <c r="N1139" s="3" t="n">
        <v>3</v>
      </c>
      <c r="O1139" s="6" t="b">
        <f aca="false">FALSE()</f>
        <v>0</v>
      </c>
      <c r="P1139" s="3" t="s">
        <v>56</v>
      </c>
      <c r="Q1139" s="5" t="n">
        <v>46245.4652777778</v>
      </c>
      <c r="R1139" s="5" t="n">
        <v>46245.5847222222</v>
      </c>
      <c r="S1139" s="3" t="s">
        <v>1699</v>
      </c>
      <c r="T1139" s="7" t="n">
        <f aca="false">ROUND(MIN(IF(OR(O1139=TRUE(),O1139="TRUE",O1139="Yes"),59,100),(I1139*Rubric!$C$2+J1139*Rubric!$C$3+K1139*Rubric!$C$4+L1139*Rubric!$C$5+M1139*Rubric!$C$6+N1139*Rubric!$C$7)/5),1)</f>
        <v>55</v>
      </c>
      <c r="U1139" s="8" t="str">
        <f aca="false">LOOKUP(T1139,Bands!$A$2:$A$6,Bands!$B$2:$B$6)</f>
        <v>Critical</v>
      </c>
      <c r="V1139" s="8" t="n">
        <f aca="false">IF(Q1139="","",ROUND((Q1139-B1139)*24,1))</f>
        <v>0</v>
      </c>
    </row>
    <row r="1140" customFormat="false" ht="15" hidden="false" customHeight="false" outlineLevel="0" collapsed="false">
      <c r="A1140" s="3" t="s">
        <v>2414</v>
      </c>
      <c r="B1140" s="5" t="n">
        <v>46245.6986111111</v>
      </c>
      <c r="C1140" s="3" t="s">
        <v>39</v>
      </c>
      <c r="D1140" s="3" t="s">
        <v>46</v>
      </c>
      <c r="E1140" s="3" t="s">
        <v>47</v>
      </c>
      <c r="F1140" s="3" t="s">
        <v>33</v>
      </c>
      <c r="G1140" s="3" t="s">
        <v>34</v>
      </c>
      <c r="H1140" s="3" t="s">
        <v>2415</v>
      </c>
      <c r="I1140" s="3" t="n">
        <v>5</v>
      </c>
      <c r="J1140" s="3" t="n">
        <v>4</v>
      </c>
      <c r="K1140" s="3" t="n">
        <v>3</v>
      </c>
      <c r="L1140" s="3" t="n">
        <v>5</v>
      </c>
      <c r="M1140" s="3" t="n">
        <v>5</v>
      </c>
      <c r="N1140" s="3" t="n">
        <v>4</v>
      </c>
      <c r="O1140" s="6" t="b">
        <f aca="false">FALSE()</f>
        <v>0</v>
      </c>
      <c r="P1140" s="3"/>
      <c r="Q1140" s="5" t="n">
        <v>46245.7006944444</v>
      </c>
      <c r="R1140" s="5" t="n">
        <v>46245.9270833333</v>
      </c>
      <c r="S1140" s="3" t="s">
        <v>1699</v>
      </c>
      <c r="T1140" s="7" t="n">
        <f aca="false">ROUND(MIN(IF(OR(O1140=TRUE(),O1140="TRUE",O1140="Yes"),59,100),(I1140*Rubric!$C$2+J1140*Rubric!$C$3+K1140*Rubric!$C$4+L1140*Rubric!$C$5+M1140*Rubric!$C$6+N1140*Rubric!$C$7)/5),1)</f>
        <v>84</v>
      </c>
      <c r="U1140" s="8" t="str">
        <f aca="false">LOOKUP(T1140,Bands!$A$2:$A$6,Bands!$B$2:$B$6)</f>
        <v>Solid Performance</v>
      </c>
      <c r="V1140" s="8" t="n">
        <f aca="false">IF(Q1140="","",ROUND((Q1140-B1140)*24,1))</f>
        <v>0</v>
      </c>
    </row>
    <row r="1141" customFormat="false" ht="15" hidden="false" customHeight="false" outlineLevel="0" collapsed="false">
      <c r="A1141" s="3" t="s">
        <v>2416</v>
      </c>
      <c r="B1141" s="5" t="n">
        <v>46245.5465277778</v>
      </c>
      <c r="C1141" s="3" t="s">
        <v>30</v>
      </c>
      <c r="D1141" s="3" t="s">
        <v>198</v>
      </c>
      <c r="E1141" s="3" t="s">
        <v>199</v>
      </c>
      <c r="F1141" s="3" t="s">
        <v>33</v>
      </c>
      <c r="G1141" s="3" t="s">
        <v>34</v>
      </c>
      <c r="H1141" s="3" t="s">
        <v>2417</v>
      </c>
      <c r="I1141" s="3" t="n">
        <v>4</v>
      </c>
      <c r="J1141" s="3" t="n">
        <v>4</v>
      </c>
      <c r="K1141" s="3" t="n">
        <v>4</v>
      </c>
      <c r="L1141" s="3" t="n">
        <v>4</v>
      </c>
      <c r="M1141" s="3" t="n">
        <v>5</v>
      </c>
      <c r="N1141" s="3" t="n">
        <v>3</v>
      </c>
      <c r="O1141" s="6" t="b">
        <f aca="false">FALSE()</f>
        <v>0</v>
      </c>
      <c r="P1141" s="3"/>
      <c r="Q1141" s="5" t="n">
        <v>46245.5472222222</v>
      </c>
      <c r="R1141" s="5" t="n">
        <v>46245.5770833333</v>
      </c>
      <c r="S1141" s="3" t="s">
        <v>1699</v>
      </c>
      <c r="T1141" s="7" t="n">
        <f aca="false">ROUND(MIN(IF(OR(O1141=TRUE(),O1141="TRUE",O1141="Yes"),59,100),(I1141*Rubric!$C$2+J1141*Rubric!$C$3+K1141*Rubric!$C$4+L1141*Rubric!$C$5+M1141*Rubric!$C$6+N1141*Rubric!$C$7)/5),1)</f>
        <v>79</v>
      </c>
      <c r="U1141" s="8" t="str">
        <f aca="false">LOOKUP(T1141,Bands!$A$2:$A$6,Bands!$B$2:$B$6)</f>
        <v>Meets Expectations</v>
      </c>
      <c r="V1141" s="8" t="n">
        <f aca="false">IF(Q1141="","",ROUND((Q1141-B1141)*24,1))</f>
        <v>0</v>
      </c>
    </row>
    <row r="1142" customFormat="false" ht="15" hidden="false" customHeight="false" outlineLevel="0" collapsed="false">
      <c r="A1142" s="3" t="s">
        <v>2418</v>
      </c>
      <c r="B1142" s="5" t="n">
        <v>46246.4916666667</v>
      </c>
      <c r="C1142" s="3" t="s">
        <v>39</v>
      </c>
      <c r="D1142" s="3" t="s">
        <v>222</v>
      </c>
      <c r="E1142" s="3" t="s">
        <v>223</v>
      </c>
      <c r="F1142" s="3" t="s">
        <v>53</v>
      </c>
      <c r="G1142" s="3" t="s">
        <v>54</v>
      </c>
      <c r="H1142" s="3" t="s">
        <v>2419</v>
      </c>
      <c r="I1142" s="3" t="n">
        <v>4</v>
      </c>
      <c r="J1142" s="3" t="n">
        <v>4</v>
      </c>
      <c r="K1142" s="3" t="n">
        <v>4</v>
      </c>
      <c r="L1142" s="3" t="n">
        <v>5</v>
      </c>
      <c r="M1142" s="3" t="n">
        <v>4</v>
      </c>
      <c r="N1142" s="3" t="n">
        <v>3</v>
      </c>
      <c r="O1142" s="6" t="b">
        <f aca="false">FALSE()</f>
        <v>0</v>
      </c>
      <c r="P1142" s="3"/>
      <c r="Q1142" s="5" t="n">
        <v>46246.49375</v>
      </c>
      <c r="R1142" s="5" t="n">
        <v>46246.5173611111</v>
      </c>
      <c r="S1142" s="3" t="s">
        <v>1699</v>
      </c>
      <c r="T1142" s="7" t="n">
        <f aca="false">ROUND(MIN(IF(OR(O1142=TRUE(),O1142="TRUE",O1142="Yes"),59,100),(I1142*Rubric!$C$2+J1142*Rubric!$C$3+K1142*Rubric!$C$4+L1142*Rubric!$C$5+M1142*Rubric!$C$6+N1142*Rubric!$C$7)/5),1)</f>
        <v>80</v>
      </c>
      <c r="U1142" s="8" t="str">
        <f aca="false">LOOKUP(T1142,Bands!$A$2:$A$6,Bands!$B$2:$B$6)</f>
        <v>Solid Performance</v>
      </c>
      <c r="V1142" s="8" t="n">
        <f aca="false">IF(Q1142="","",ROUND((Q1142-B1142)*24,1))</f>
        <v>0</v>
      </c>
    </row>
    <row r="1143" customFormat="false" ht="15" hidden="false" customHeight="false" outlineLevel="0" collapsed="false">
      <c r="A1143" s="3" t="s">
        <v>2420</v>
      </c>
      <c r="B1143" s="5" t="n">
        <v>46246.3881944444</v>
      </c>
      <c r="C1143" s="3" t="s">
        <v>39</v>
      </c>
      <c r="D1143" s="3" t="s">
        <v>167</v>
      </c>
      <c r="E1143" s="3" t="s">
        <v>168</v>
      </c>
      <c r="F1143" s="3" t="s">
        <v>33</v>
      </c>
      <c r="G1143" s="3" t="s">
        <v>34</v>
      </c>
      <c r="H1143" s="3" t="s">
        <v>2421</v>
      </c>
      <c r="I1143" s="3" t="n">
        <v>3</v>
      </c>
      <c r="J1143" s="3" t="n">
        <v>3</v>
      </c>
      <c r="K1143" s="3" t="n">
        <v>4</v>
      </c>
      <c r="L1143" s="3" t="n">
        <v>3</v>
      </c>
      <c r="M1143" s="3" t="n">
        <v>3</v>
      </c>
      <c r="N1143" s="3" t="n">
        <v>4</v>
      </c>
      <c r="O1143" s="6" t="b">
        <f aca="false">FALSE()</f>
        <v>0</v>
      </c>
      <c r="P1143" s="3"/>
      <c r="Q1143" s="5" t="n">
        <v>46246.3888888889</v>
      </c>
      <c r="R1143" s="5" t="n">
        <v>46246.5034722222</v>
      </c>
      <c r="S1143" s="3" t="s">
        <v>1699</v>
      </c>
      <c r="T1143" s="7" t="n">
        <f aca="false">ROUND(MIN(IF(OR(O1143=TRUE(),O1143="TRUE",O1143="Yes"),59,100),(I1143*Rubric!$C$2+J1143*Rubric!$C$3+K1143*Rubric!$C$4+L1143*Rubric!$C$5+M1143*Rubric!$C$6+N1143*Rubric!$C$7)/5),1)</f>
        <v>67</v>
      </c>
      <c r="U1143" s="8" t="str">
        <f aca="false">LOOKUP(T1143,Bands!$A$2:$A$6,Bands!$B$2:$B$6)</f>
        <v>Needs Improvement</v>
      </c>
      <c r="V1143" s="8" t="n">
        <f aca="false">IF(Q1143="","",ROUND((Q1143-B1143)*24,1))</f>
        <v>0</v>
      </c>
    </row>
    <row r="1144" customFormat="false" ht="15" hidden="false" customHeight="false" outlineLevel="0" collapsed="false">
      <c r="A1144" s="3" t="s">
        <v>2422</v>
      </c>
      <c r="B1144" s="5" t="n">
        <v>46246.4847222222</v>
      </c>
      <c r="C1144" s="3" t="s">
        <v>30</v>
      </c>
      <c r="D1144" s="3" t="s">
        <v>307</v>
      </c>
      <c r="E1144" s="3" t="s">
        <v>308</v>
      </c>
      <c r="F1144" s="3" t="s">
        <v>33</v>
      </c>
      <c r="G1144" s="3" t="s">
        <v>54</v>
      </c>
      <c r="H1144" s="3" t="s">
        <v>2423</v>
      </c>
      <c r="I1144" s="3" t="n">
        <v>5</v>
      </c>
      <c r="J1144" s="3" t="n">
        <v>4</v>
      </c>
      <c r="K1144" s="3" t="n">
        <v>5</v>
      </c>
      <c r="L1144" s="3" t="n">
        <v>5</v>
      </c>
      <c r="M1144" s="3" t="n">
        <v>5</v>
      </c>
      <c r="N1144" s="3" t="n">
        <v>5</v>
      </c>
      <c r="O1144" s="6" t="b">
        <f aca="false">FALSE()</f>
        <v>0</v>
      </c>
      <c r="P1144" s="3"/>
      <c r="Q1144" s="5" t="n">
        <v>46246.4854166667</v>
      </c>
      <c r="R1144" s="5" t="n">
        <v>46246.5590277778</v>
      </c>
      <c r="S1144" s="3" t="s">
        <v>1699</v>
      </c>
      <c r="T1144" s="7" t="n">
        <f aca="false">ROUND(MIN(IF(OR(O1144=TRUE(),O1144="TRUE",O1144="Yes"),59,100),(I1144*Rubric!$C$2+J1144*Rubric!$C$3+K1144*Rubric!$C$4+L1144*Rubric!$C$5+M1144*Rubric!$C$6+N1144*Rubric!$C$7)/5),1)</f>
        <v>95</v>
      </c>
      <c r="U1144" s="8" t="str">
        <f aca="false">LOOKUP(T1144,Bands!$A$2:$A$6,Bands!$B$2:$B$6)</f>
        <v>Outstanding</v>
      </c>
      <c r="V1144" s="8" t="n">
        <f aca="false">IF(Q1144="","",ROUND((Q1144-B1144)*24,1))</f>
        <v>0</v>
      </c>
    </row>
    <row r="1145" customFormat="false" ht="15" hidden="false" customHeight="false" outlineLevel="0" collapsed="false">
      <c r="A1145" s="3" t="s">
        <v>2424</v>
      </c>
      <c r="B1145" s="5" t="n">
        <v>46246.5895833333</v>
      </c>
      <c r="C1145" s="3" t="s">
        <v>30</v>
      </c>
      <c r="D1145" s="3" t="s">
        <v>151</v>
      </c>
      <c r="E1145" s="3" t="s">
        <v>152</v>
      </c>
      <c r="F1145" s="3" t="s">
        <v>33</v>
      </c>
      <c r="G1145" s="3" t="s">
        <v>42</v>
      </c>
      <c r="H1145" s="3" t="s">
        <v>2425</v>
      </c>
      <c r="I1145" s="3" t="n">
        <v>5</v>
      </c>
      <c r="J1145" s="3" t="n">
        <v>4</v>
      </c>
      <c r="K1145" s="3" t="n">
        <v>5</v>
      </c>
      <c r="L1145" s="3" t="n">
        <v>5</v>
      </c>
      <c r="M1145" s="3" t="n">
        <v>5</v>
      </c>
      <c r="N1145" s="3" t="n">
        <v>4</v>
      </c>
      <c r="O1145" s="6" t="b">
        <f aca="false">FALSE()</f>
        <v>0</v>
      </c>
      <c r="P1145" s="3"/>
      <c r="Q1145" s="5" t="n">
        <v>46246.5909722222</v>
      </c>
      <c r="R1145" s="5" t="n">
        <v>46246.8118055556</v>
      </c>
      <c r="S1145" s="3" t="s">
        <v>1699</v>
      </c>
      <c r="T1145" s="7" t="n">
        <f aca="false">ROUND(MIN(IF(OR(O1145=TRUE(),O1145="TRUE",O1145="Yes"),59,100),(I1145*Rubric!$C$2+J1145*Rubric!$C$3+K1145*Rubric!$C$4+L1145*Rubric!$C$5+M1145*Rubric!$C$6+N1145*Rubric!$C$7)/5),1)</f>
        <v>92</v>
      </c>
      <c r="U1145" s="8" t="str">
        <f aca="false">LOOKUP(T1145,Bands!$A$2:$A$6,Bands!$B$2:$B$6)</f>
        <v>Outstanding</v>
      </c>
      <c r="V1145" s="8" t="n">
        <f aca="false">IF(Q1145="","",ROUND((Q1145-B1145)*24,1))</f>
        <v>0</v>
      </c>
    </row>
    <row r="1146" customFormat="false" ht="15" hidden="false" customHeight="false" outlineLevel="0" collapsed="false">
      <c r="A1146" s="3" t="s">
        <v>2426</v>
      </c>
      <c r="B1146" s="5" t="n">
        <v>46246.7013888889</v>
      </c>
      <c r="C1146" s="3" t="s">
        <v>30</v>
      </c>
      <c r="D1146" s="3" t="s">
        <v>46</v>
      </c>
      <c r="E1146" s="3" t="s">
        <v>47</v>
      </c>
      <c r="F1146" s="3" t="s">
        <v>33</v>
      </c>
      <c r="G1146" s="3" t="s">
        <v>54</v>
      </c>
      <c r="H1146" s="3" t="s">
        <v>2427</v>
      </c>
      <c r="I1146" s="3" t="n">
        <v>5</v>
      </c>
      <c r="J1146" s="3" t="n">
        <v>5</v>
      </c>
      <c r="K1146" s="3" t="n">
        <v>4</v>
      </c>
      <c r="L1146" s="3" t="n">
        <v>4</v>
      </c>
      <c r="M1146" s="3" t="n">
        <v>5</v>
      </c>
      <c r="N1146" s="3" t="n">
        <v>5</v>
      </c>
      <c r="O1146" s="6" t="b">
        <f aca="false">FALSE()</f>
        <v>0</v>
      </c>
      <c r="P1146" s="3"/>
      <c r="Q1146" s="5" t="n">
        <v>46246.7034722222</v>
      </c>
      <c r="R1146" s="5" t="n">
        <v>46246.7097222222</v>
      </c>
      <c r="S1146" s="3" t="s">
        <v>1699</v>
      </c>
      <c r="T1146" s="7" t="n">
        <f aca="false">ROUND(MIN(IF(OR(O1146=TRUE(),O1146="TRUE",O1146="Yes"),59,100),(I1146*Rubric!$C$2+J1146*Rubric!$C$3+K1146*Rubric!$C$4+L1146*Rubric!$C$5+M1146*Rubric!$C$6+N1146*Rubric!$C$7)/5),1)</f>
        <v>93</v>
      </c>
      <c r="U1146" s="8" t="str">
        <f aca="false">LOOKUP(T1146,Bands!$A$2:$A$6,Bands!$B$2:$B$6)</f>
        <v>Outstanding</v>
      </c>
      <c r="V1146" s="8" t="n">
        <f aca="false">IF(Q1146="","",ROUND((Q1146-B1146)*24,1))</f>
        <v>0</v>
      </c>
    </row>
    <row r="1147" customFormat="false" ht="15" hidden="false" customHeight="false" outlineLevel="0" collapsed="false">
      <c r="A1147" s="3" t="s">
        <v>2428</v>
      </c>
      <c r="B1147" s="5" t="n">
        <v>46246.4569444444</v>
      </c>
      <c r="C1147" s="3" t="s">
        <v>39</v>
      </c>
      <c r="D1147" s="3" t="s">
        <v>58</v>
      </c>
      <c r="E1147" s="3" t="s">
        <v>59</v>
      </c>
      <c r="F1147" s="3" t="s">
        <v>53</v>
      </c>
      <c r="G1147" s="3" t="s">
        <v>42</v>
      </c>
      <c r="H1147" s="3" t="s">
        <v>2429</v>
      </c>
      <c r="I1147" s="3" t="n">
        <v>3</v>
      </c>
      <c r="J1147" s="3" t="n">
        <v>4</v>
      </c>
      <c r="K1147" s="3" t="n">
        <v>3</v>
      </c>
      <c r="L1147" s="3" t="n">
        <v>4</v>
      </c>
      <c r="M1147" s="3" t="n">
        <v>4</v>
      </c>
      <c r="N1147" s="3" t="n">
        <v>3</v>
      </c>
      <c r="O1147" s="6" t="b">
        <f aca="false">FALSE()</f>
        <v>0</v>
      </c>
      <c r="P1147" s="3"/>
      <c r="Q1147" s="5" t="n">
        <v>46246.4590277778</v>
      </c>
      <c r="R1147" s="5" t="n">
        <v>46246.9416666667</v>
      </c>
      <c r="S1147" s="3" t="s">
        <v>1699</v>
      </c>
      <c r="T1147" s="7" t="n">
        <f aca="false">ROUND(MIN(IF(OR(O1147=TRUE(),O1147="TRUE",O1147="Yes"),59,100),(I1147*Rubric!$C$2+J1147*Rubric!$C$3+K1147*Rubric!$C$4+L1147*Rubric!$C$5+M1147*Rubric!$C$6+N1147*Rubric!$C$7)/5),1)</f>
        <v>70</v>
      </c>
      <c r="U1147" s="8" t="str">
        <f aca="false">LOOKUP(T1147,Bands!$A$2:$A$6,Bands!$B$2:$B$6)</f>
        <v>Meets Expectations</v>
      </c>
      <c r="V1147" s="8" t="n">
        <f aca="false">IF(Q1147="","",ROUND((Q1147-B1147)*24,1))</f>
        <v>0.1</v>
      </c>
    </row>
    <row r="1148" customFormat="false" ht="15" hidden="false" customHeight="false" outlineLevel="0" collapsed="false">
      <c r="A1148" s="3" t="s">
        <v>2430</v>
      </c>
      <c r="B1148" s="5" t="n">
        <v>46246.58125</v>
      </c>
      <c r="C1148" s="3" t="s">
        <v>68</v>
      </c>
      <c r="D1148" s="3" t="s">
        <v>198</v>
      </c>
      <c r="E1148" s="3" t="s">
        <v>199</v>
      </c>
      <c r="F1148" s="3" t="s">
        <v>33</v>
      </c>
      <c r="G1148" s="3" t="s">
        <v>54</v>
      </c>
      <c r="H1148" s="3" t="s">
        <v>2431</v>
      </c>
      <c r="I1148" s="3" t="n">
        <v>4</v>
      </c>
      <c r="J1148" s="3" t="n">
        <v>3</v>
      </c>
      <c r="K1148" s="3" t="n">
        <v>4</v>
      </c>
      <c r="L1148" s="3" t="n">
        <v>4</v>
      </c>
      <c r="M1148" s="3" t="n">
        <v>5</v>
      </c>
      <c r="N1148" s="3" t="n">
        <v>4</v>
      </c>
      <c r="O1148" s="6" t="b">
        <f aca="false">FALSE()</f>
        <v>0</v>
      </c>
      <c r="P1148" s="3"/>
      <c r="Q1148" s="5" t="n">
        <v>46246.5826388889</v>
      </c>
      <c r="R1148" s="5" t="n">
        <v>46246.9368055556</v>
      </c>
      <c r="S1148" s="3" t="s">
        <v>1699</v>
      </c>
      <c r="T1148" s="7" t="n">
        <f aca="false">ROUND(MIN(IF(OR(O1148=TRUE(),O1148="TRUE",O1148="Yes"),59,100),(I1148*Rubric!$C$2+J1148*Rubric!$C$3+K1148*Rubric!$C$4+L1148*Rubric!$C$5+M1148*Rubric!$C$6+N1148*Rubric!$C$7)/5),1)</f>
        <v>77</v>
      </c>
      <c r="U1148" s="8" t="str">
        <f aca="false">LOOKUP(T1148,Bands!$A$2:$A$6,Bands!$B$2:$B$6)</f>
        <v>Meets Expectations</v>
      </c>
      <c r="V1148" s="8" t="n">
        <f aca="false">IF(Q1148="","",ROUND((Q1148-B1148)*24,1))</f>
        <v>0</v>
      </c>
    </row>
    <row r="1149" customFormat="false" ht="15" hidden="false" customHeight="false" outlineLevel="0" collapsed="false">
      <c r="A1149" s="3" t="s">
        <v>2432</v>
      </c>
      <c r="B1149" s="5" t="n">
        <v>46246.6409722222</v>
      </c>
      <c r="C1149" s="3" t="s">
        <v>68</v>
      </c>
      <c r="D1149" s="3" t="s">
        <v>105</v>
      </c>
      <c r="E1149" s="3" t="s">
        <v>106</v>
      </c>
      <c r="F1149" s="3" t="s">
        <v>65</v>
      </c>
      <c r="G1149" s="3" t="s">
        <v>54</v>
      </c>
      <c r="H1149" s="3" t="s">
        <v>2433</v>
      </c>
      <c r="I1149" s="3" t="n">
        <v>4</v>
      </c>
      <c r="J1149" s="3" t="n">
        <v>3</v>
      </c>
      <c r="K1149" s="3" t="n">
        <v>5</v>
      </c>
      <c r="L1149" s="3" t="n">
        <v>4</v>
      </c>
      <c r="M1149" s="3" t="n">
        <v>4</v>
      </c>
      <c r="N1149" s="3" t="n">
        <v>4</v>
      </c>
      <c r="O1149" s="6" t="b">
        <f aca="false">FALSE()</f>
        <v>0</v>
      </c>
      <c r="P1149" s="3"/>
      <c r="Q1149" s="5" t="n">
        <v>46246.6423611111</v>
      </c>
      <c r="R1149" s="5" t="n">
        <v>46246.6583333333</v>
      </c>
      <c r="S1149" s="3" t="s">
        <v>1699</v>
      </c>
      <c r="T1149" s="7" t="n">
        <f aca="false">ROUND(MIN(IF(OR(O1149=TRUE(),O1149="TRUE",O1149="Yes"),59,100),(I1149*Rubric!$C$2+J1149*Rubric!$C$3+K1149*Rubric!$C$4+L1149*Rubric!$C$5+M1149*Rubric!$C$6+N1149*Rubric!$C$7)/5),1)</f>
        <v>79</v>
      </c>
      <c r="U1149" s="8" t="str">
        <f aca="false">LOOKUP(T1149,Bands!$A$2:$A$6,Bands!$B$2:$B$6)</f>
        <v>Meets Expectations</v>
      </c>
      <c r="V1149" s="8" t="n">
        <f aca="false">IF(Q1149="","",ROUND((Q1149-B1149)*24,1))</f>
        <v>0</v>
      </c>
    </row>
    <row r="1150" customFormat="false" ht="15" hidden="false" customHeight="false" outlineLevel="0" collapsed="false">
      <c r="A1150" s="3" t="s">
        <v>2434</v>
      </c>
      <c r="B1150" s="5" t="n">
        <v>46246.4173611111</v>
      </c>
      <c r="C1150" s="3" t="s">
        <v>39</v>
      </c>
      <c r="D1150" s="3" t="s">
        <v>51</v>
      </c>
      <c r="E1150" s="3" t="s">
        <v>52</v>
      </c>
      <c r="F1150" s="3" t="s">
        <v>53</v>
      </c>
      <c r="G1150" s="3" t="s">
        <v>34</v>
      </c>
      <c r="H1150" s="3" t="s">
        <v>2435</v>
      </c>
      <c r="I1150" s="3" t="n">
        <v>5</v>
      </c>
      <c r="J1150" s="3" t="n">
        <v>4</v>
      </c>
      <c r="K1150" s="3" t="n">
        <v>4</v>
      </c>
      <c r="L1150" s="3" t="n">
        <v>4</v>
      </c>
      <c r="M1150" s="3" t="n">
        <v>4</v>
      </c>
      <c r="N1150" s="3" t="n">
        <v>4</v>
      </c>
      <c r="O1150" s="6" t="b">
        <f aca="false">FALSE()</f>
        <v>0</v>
      </c>
      <c r="P1150" s="3"/>
      <c r="Q1150" s="5" t="n">
        <v>46246.41875</v>
      </c>
      <c r="R1150" s="5" t="n">
        <v>46246.4291666667</v>
      </c>
      <c r="S1150" s="3" t="s">
        <v>1699</v>
      </c>
      <c r="T1150" s="7" t="n">
        <f aca="false">ROUND(MIN(IF(OR(O1150=TRUE(),O1150="TRUE",O1150="Yes"),59,100),(I1150*Rubric!$C$2+J1150*Rubric!$C$3+K1150*Rubric!$C$4+L1150*Rubric!$C$5+M1150*Rubric!$C$6+N1150*Rubric!$C$7)/5),1)</f>
        <v>83</v>
      </c>
      <c r="U1150" s="8" t="str">
        <f aca="false">LOOKUP(T1150,Bands!$A$2:$A$6,Bands!$B$2:$B$6)</f>
        <v>Solid Performance</v>
      </c>
      <c r="V1150" s="8" t="n">
        <f aca="false">IF(Q1150="","",ROUND((Q1150-B1150)*24,1))</f>
        <v>0</v>
      </c>
    </row>
    <row r="1151" customFormat="false" ht="15" hidden="false" customHeight="false" outlineLevel="0" collapsed="false">
      <c r="A1151" s="3" t="s">
        <v>2436</v>
      </c>
      <c r="B1151" s="5" t="n">
        <v>46246.4277777778</v>
      </c>
      <c r="C1151" s="3" t="s">
        <v>30</v>
      </c>
      <c r="D1151" s="3" t="s">
        <v>90</v>
      </c>
      <c r="E1151" s="3" t="s">
        <v>91</v>
      </c>
      <c r="F1151" s="3" t="s">
        <v>65</v>
      </c>
      <c r="G1151" s="3" t="s">
        <v>34</v>
      </c>
      <c r="H1151" s="3" t="s">
        <v>2437</v>
      </c>
      <c r="I1151" s="3" t="n">
        <v>4</v>
      </c>
      <c r="J1151" s="3" t="n">
        <v>4</v>
      </c>
      <c r="K1151" s="3" t="n">
        <v>4</v>
      </c>
      <c r="L1151" s="3" t="n">
        <v>4</v>
      </c>
      <c r="M1151" s="3" t="n">
        <v>4</v>
      </c>
      <c r="N1151" s="3" t="n">
        <v>4</v>
      </c>
      <c r="O1151" s="6" t="b">
        <f aca="false">FALSE()</f>
        <v>0</v>
      </c>
      <c r="P1151" s="3"/>
      <c r="Q1151" s="5" t="n">
        <v>46246.4298611111</v>
      </c>
      <c r="R1151" s="5" t="n">
        <v>46246.6131944444</v>
      </c>
      <c r="S1151" s="3" t="s">
        <v>1699</v>
      </c>
      <c r="T1151" s="7" t="n">
        <f aca="false">ROUND(MIN(IF(OR(O1151=TRUE(),O1151="TRUE",O1151="Yes"),59,100),(I1151*Rubric!$C$2+J1151*Rubric!$C$3+K1151*Rubric!$C$4+L1151*Rubric!$C$5+M1151*Rubric!$C$6+N1151*Rubric!$C$7)/5),1)</f>
        <v>80</v>
      </c>
      <c r="U1151" s="8" t="str">
        <f aca="false">LOOKUP(T1151,Bands!$A$2:$A$6,Bands!$B$2:$B$6)</f>
        <v>Solid Performance</v>
      </c>
      <c r="V1151" s="8" t="n">
        <f aca="false">IF(Q1151="","",ROUND((Q1151-B1151)*24,1))</f>
        <v>0</v>
      </c>
    </row>
    <row r="1152" customFormat="false" ht="15" hidden="false" customHeight="false" outlineLevel="0" collapsed="false">
      <c r="A1152" s="3" t="s">
        <v>2438</v>
      </c>
      <c r="B1152" s="5" t="n">
        <v>46246.5625</v>
      </c>
      <c r="C1152" s="3" t="s">
        <v>39</v>
      </c>
      <c r="D1152" s="3" t="s">
        <v>228</v>
      </c>
      <c r="E1152" s="3" t="s">
        <v>229</v>
      </c>
      <c r="F1152" s="3" t="s">
        <v>65</v>
      </c>
      <c r="G1152" s="3" t="s">
        <v>54</v>
      </c>
      <c r="H1152" s="3" t="s">
        <v>2439</v>
      </c>
      <c r="I1152" s="3" t="n">
        <v>4</v>
      </c>
      <c r="J1152" s="3" t="n">
        <v>4</v>
      </c>
      <c r="K1152" s="3" t="n">
        <v>4</v>
      </c>
      <c r="L1152" s="3" t="n">
        <v>3</v>
      </c>
      <c r="M1152" s="3" t="n">
        <v>3</v>
      </c>
      <c r="N1152" s="3" t="n">
        <v>4</v>
      </c>
      <c r="O1152" s="6" t="b">
        <f aca="false">FALSE()</f>
        <v>0</v>
      </c>
      <c r="P1152" s="3"/>
      <c r="Q1152" s="5" t="n">
        <v>46246.5631944445</v>
      </c>
      <c r="R1152" s="5" t="n">
        <v>46246.6604166667</v>
      </c>
      <c r="S1152" s="3" t="s">
        <v>1699</v>
      </c>
      <c r="T1152" s="7" t="n">
        <f aca="false">ROUND(MIN(IF(OR(O1152=TRUE(),O1152="TRUE",O1152="Yes"),59,100),(I1152*Rubric!$C$2+J1152*Rubric!$C$3+K1152*Rubric!$C$4+L1152*Rubric!$C$5+M1152*Rubric!$C$6+N1152*Rubric!$C$7)/5),1)</f>
        <v>75</v>
      </c>
      <c r="U1152" s="8" t="str">
        <f aca="false">LOOKUP(T1152,Bands!$A$2:$A$6,Bands!$B$2:$B$6)</f>
        <v>Meets Expectations</v>
      </c>
      <c r="V1152" s="8" t="n">
        <f aca="false">IF(Q1152="","",ROUND((Q1152-B1152)*24,1))</f>
        <v>0</v>
      </c>
    </row>
    <row r="1153" customFormat="false" ht="15" hidden="false" customHeight="false" outlineLevel="0" collapsed="false">
      <c r="A1153" s="3" t="s">
        <v>2440</v>
      </c>
      <c r="B1153" s="5" t="n">
        <v>46246.4034722222</v>
      </c>
      <c r="C1153" s="3" t="s">
        <v>39</v>
      </c>
      <c r="D1153" s="3" t="s">
        <v>251</v>
      </c>
      <c r="E1153" s="3" t="s">
        <v>252</v>
      </c>
      <c r="F1153" s="3" t="s">
        <v>53</v>
      </c>
      <c r="G1153" s="3" t="s">
        <v>42</v>
      </c>
      <c r="H1153" s="3" t="s">
        <v>2441</v>
      </c>
      <c r="I1153" s="3" t="n">
        <v>3</v>
      </c>
      <c r="J1153" s="3" t="n">
        <v>4</v>
      </c>
      <c r="K1153" s="3" t="n">
        <v>4</v>
      </c>
      <c r="L1153" s="3" t="n">
        <v>3</v>
      </c>
      <c r="M1153" s="3" t="n">
        <v>3</v>
      </c>
      <c r="N1153" s="3" t="n">
        <v>4</v>
      </c>
      <c r="O1153" s="6" t="b">
        <f aca="false">FALSE()</f>
        <v>0</v>
      </c>
      <c r="P1153" s="3"/>
      <c r="Q1153" s="5" t="n">
        <v>46246.4055555556</v>
      </c>
      <c r="R1153" s="5" t="n">
        <v>46246.55625</v>
      </c>
      <c r="S1153" s="3" t="s">
        <v>1699</v>
      </c>
      <c r="T1153" s="7" t="n">
        <f aca="false">ROUND(MIN(IF(OR(O1153=TRUE(),O1153="TRUE",O1153="Yes"),59,100),(I1153*Rubric!$C$2+J1153*Rubric!$C$3+K1153*Rubric!$C$4+L1153*Rubric!$C$5+M1153*Rubric!$C$6+N1153*Rubric!$C$7)/5),1)</f>
        <v>72</v>
      </c>
      <c r="U1153" s="8" t="str">
        <f aca="false">LOOKUP(T1153,Bands!$A$2:$A$6,Bands!$B$2:$B$6)</f>
        <v>Meets Expectations</v>
      </c>
      <c r="V1153" s="8" t="n">
        <f aca="false">IF(Q1153="","",ROUND((Q1153-B1153)*24,1))</f>
        <v>0.1</v>
      </c>
    </row>
    <row r="1154" customFormat="false" ht="15" hidden="false" customHeight="false" outlineLevel="0" collapsed="false">
      <c r="A1154" s="3" t="s">
        <v>2442</v>
      </c>
      <c r="B1154" s="5" t="n">
        <v>46247.4125</v>
      </c>
      <c r="C1154" s="3" t="s">
        <v>68</v>
      </c>
      <c r="D1154" s="3" t="s">
        <v>46</v>
      </c>
      <c r="E1154" s="3" t="s">
        <v>47</v>
      </c>
      <c r="F1154" s="3" t="s">
        <v>33</v>
      </c>
      <c r="G1154" s="3" t="s">
        <v>54</v>
      </c>
      <c r="H1154" s="3" t="s">
        <v>2443</v>
      </c>
      <c r="I1154" s="3" t="n">
        <v>5</v>
      </c>
      <c r="J1154" s="3" t="n">
        <v>5</v>
      </c>
      <c r="K1154" s="3" t="n">
        <v>4</v>
      </c>
      <c r="L1154" s="3" t="n">
        <v>4</v>
      </c>
      <c r="M1154" s="3" t="n">
        <v>4</v>
      </c>
      <c r="N1154" s="3" t="n">
        <v>4</v>
      </c>
      <c r="O1154" s="6" t="b">
        <f aca="false">FALSE()</f>
        <v>0</v>
      </c>
      <c r="P1154" s="3"/>
      <c r="Q1154" s="5" t="n">
        <v>46247.4131944445</v>
      </c>
      <c r="R1154" s="5" t="n">
        <v>46247.5229166667</v>
      </c>
      <c r="S1154" s="3" t="s">
        <v>1699</v>
      </c>
      <c r="T1154" s="7" t="n">
        <f aca="false">ROUND(MIN(IF(OR(O1154=TRUE(),O1154="TRUE",O1154="Yes"),59,100),(I1154*Rubric!$C$2+J1154*Rubric!$C$3+K1154*Rubric!$C$4+L1154*Rubric!$C$5+M1154*Rubric!$C$6+N1154*Rubric!$C$7)/5),1)</f>
        <v>88</v>
      </c>
      <c r="U1154" s="8" t="str">
        <f aca="false">LOOKUP(T1154,Bands!$A$2:$A$6,Bands!$B$2:$B$6)</f>
        <v>Solid Performance</v>
      </c>
      <c r="V1154" s="8" t="n">
        <f aca="false">IF(Q1154="","",ROUND((Q1154-B1154)*24,1))</f>
        <v>0</v>
      </c>
    </row>
    <row r="1155" customFormat="false" ht="15" hidden="false" customHeight="false" outlineLevel="0" collapsed="false">
      <c r="A1155" s="3" t="s">
        <v>2444</v>
      </c>
      <c r="B1155" s="5" t="n">
        <v>46247.5069444445</v>
      </c>
      <c r="C1155" s="3" t="s">
        <v>39</v>
      </c>
      <c r="D1155" s="3" t="s">
        <v>111</v>
      </c>
      <c r="E1155" s="3" t="s">
        <v>112</v>
      </c>
      <c r="F1155" s="3" t="s">
        <v>33</v>
      </c>
      <c r="G1155" s="3" t="s">
        <v>42</v>
      </c>
      <c r="H1155" s="3" t="s">
        <v>2445</v>
      </c>
      <c r="I1155" s="3" t="n">
        <v>3</v>
      </c>
      <c r="J1155" s="3" t="n">
        <v>4</v>
      </c>
      <c r="K1155" s="3" t="n">
        <v>4</v>
      </c>
      <c r="L1155" s="3" t="n">
        <v>5</v>
      </c>
      <c r="M1155" s="3" t="n">
        <v>4</v>
      </c>
      <c r="N1155" s="3" t="n">
        <v>5</v>
      </c>
      <c r="O1155" s="6" t="b">
        <f aca="false">FALSE()</f>
        <v>0</v>
      </c>
      <c r="P1155" s="3"/>
      <c r="Q1155" s="5" t="n">
        <v>46247.5083333333</v>
      </c>
      <c r="R1155" s="5" t="n">
        <v>46247.6097222222</v>
      </c>
      <c r="S1155" s="3" t="s">
        <v>1699</v>
      </c>
      <c r="T1155" s="7" t="n">
        <f aca="false">ROUND(MIN(IF(OR(O1155=TRUE(),O1155="TRUE",O1155="Yes"),59,100),(I1155*Rubric!$C$2+J1155*Rubric!$C$3+K1155*Rubric!$C$4+L1155*Rubric!$C$5+M1155*Rubric!$C$6+N1155*Rubric!$C$7)/5),1)</f>
        <v>83</v>
      </c>
      <c r="U1155" s="8" t="str">
        <f aca="false">LOOKUP(T1155,Bands!$A$2:$A$6,Bands!$B$2:$B$6)</f>
        <v>Solid Performance</v>
      </c>
      <c r="V1155" s="8" t="n">
        <f aca="false">IF(Q1155="","",ROUND((Q1155-B1155)*24,1))</f>
        <v>0</v>
      </c>
    </row>
    <row r="1156" customFormat="false" ht="15" hidden="false" customHeight="false" outlineLevel="0" collapsed="false">
      <c r="A1156" s="3" t="s">
        <v>2446</v>
      </c>
      <c r="B1156" s="5" t="n">
        <v>46247.60625</v>
      </c>
      <c r="C1156" s="3" t="s">
        <v>30</v>
      </c>
      <c r="D1156" s="3" t="s">
        <v>58</v>
      </c>
      <c r="E1156" s="3" t="s">
        <v>59</v>
      </c>
      <c r="F1156" s="3" t="s">
        <v>53</v>
      </c>
      <c r="G1156" s="3" t="s">
        <v>54</v>
      </c>
      <c r="H1156" s="3" t="s">
        <v>2447</v>
      </c>
      <c r="I1156" s="3" t="n">
        <v>4</v>
      </c>
      <c r="J1156" s="3" t="n">
        <v>3</v>
      </c>
      <c r="K1156" s="3" t="n">
        <v>3</v>
      </c>
      <c r="L1156" s="3" t="n">
        <v>3</v>
      </c>
      <c r="M1156" s="3" t="n">
        <v>3</v>
      </c>
      <c r="N1156" s="3" t="n">
        <v>3</v>
      </c>
      <c r="O1156" s="6" t="b">
        <f aca="false">FALSE()</f>
        <v>0</v>
      </c>
      <c r="P1156" s="3"/>
      <c r="Q1156" s="5" t="n">
        <v>46247.6076388889</v>
      </c>
      <c r="R1156" s="5" t="n">
        <v>46247.7451388889</v>
      </c>
      <c r="S1156" s="3" t="s">
        <v>1699</v>
      </c>
      <c r="T1156" s="7" t="n">
        <f aca="false">ROUND(MIN(IF(OR(O1156=TRUE(),O1156="TRUE",O1156="Yes"),59,100),(I1156*Rubric!$C$2+J1156*Rubric!$C$3+K1156*Rubric!$C$4+L1156*Rubric!$C$5+M1156*Rubric!$C$6+N1156*Rubric!$C$7)/5),1)</f>
        <v>63</v>
      </c>
      <c r="U1156" s="8" t="str">
        <f aca="false">LOOKUP(T1156,Bands!$A$2:$A$6,Bands!$B$2:$B$6)</f>
        <v>Needs Improvement</v>
      </c>
      <c r="V1156" s="8" t="n">
        <f aca="false">IF(Q1156="","",ROUND((Q1156-B1156)*24,1))</f>
        <v>0</v>
      </c>
    </row>
    <row r="1157" customFormat="false" ht="15" hidden="false" customHeight="false" outlineLevel="0" collapsed="false">
      <c r="A1157" s="3" t="s">
        <v>2448</v>
      </c>
      <c r="B1157" s="5" t="n">
        <v>46247.6423611111</v>
      </c>
      <c r="C1157" s="3" t="s">
        <v>39</v>
      </c>
      <c r="D1157" s="3" t="s">
        <v>119</v>
      </c>
      <c r="E1157" s="3" t="s">
        <v>120</v>
      </c>
      <c r="F1157" s="3" t="s">
        <v>33</v>
      </c>
      <c r="G1157" s="3" t="s">
        <v>34</v>
      </c>
      <c r="H1157" s="3" t="s">
        <v>2449</v>
      </c>
      <c r="I1157" s="3" t="n">
        <v>4</v>
      </c>
      <c r="J1157" s="3" t="n">
        <v>5</v>
      </c>
      <c r="K1157" s="3" t="n">
        <v>3</v>
      </c>
      <c r="L1157" s="3" t="n">
        <v>3</v>
      </c>
      <c r="M1157" s="3" t="n">
        <v>4</v>
      </c>
      <c r="N1157" s="3" t="n">
        <v>3</v>
      </c>
      <c r="O1157" s="6" t="b">
        <f aca="false">FALSE()</f>
        <v>0</v>
      </c>
      <c r="P1157" s="3"/>
      <c r="Q1157" s="5" t="n">
        <v>46247.6444444444</v>
      </c>
      <c r="R1157" s="5" t="n">
        <v>46247.6840277778</v>
      </c>
      <c r="S1157" s="3" t="s">
        <v>1699</v>
      </c>
      <c r="T1157" s="7" t="n">
        <f aca="false">ROUND(MIN(IF(OR(O1157=TRUE(),O1157="TRUE",O1157="Yes"),59,100),(I1157*Rubric!$C$2+J1157*Rubric!$C$3+K1157*Rubric!$C$4+L1157*Rubric!$C$5+M1157*Rubric!$C$6+N1157*Rubric!$C$7)/5),1)</f>
        <v>75</v>
      </c>
      <c r="U1157" s="8" t="str">
        <f aca="false">LOOKUP(T1157,Bands!$A$2:$A$6,Bands!$B$2:$B$6)</f>
        <v>Meets Expectations</v>
      </c>
      <c r="V1157" s="8" t="n">
        <f aca="false">IF(Q1157="","",ROUND((Q1157-B1157)*24,1))</f>
        <v>0</v>
      </c>
    </row>
    <row r="1158" customFormat="false" ht="15" hidden="false" customHeight="false" outlineLevel="0" collapsed="false">
      <c r="A1158" s="3" t="s">
        <v>2450</v>
      </c>
      <c r="B1158" s="5" t="n">
        <v>46247.4694444445</v>
      </c>
      <c r="C1158" s="3" t="s">
        <v>30</v>
      </c>
      <c r="D1158" s="3" t="s">
        <v>155</v>
      </c>
      <c r="E1158" s="3" t="s">
        <v>156</v>
      </c>
      <c r="F1158" s="3" t="s">
        <v>65</v>
      </c>
      <c r="G1158" s="3" t="s">
        <v>42</v>
      </c>
      <c r="H1158" s="3" t="s">
        <v>2451</v>
      </c>
      <c r="I1158" s="3" t="n">
        <v>4</v>
      </c>
      <c r="J1158" s="3" t="n">
        <v>5</v>
      </c>
      <c r="K1158" s="3" t="n">
        <v>5</v>
      </c>
      <c r="L1158" s="3" t="n">
        <v>4</v>
      </c>
      <c r="M1158" s="3" t="n">
        <v>5</v>
      </c>
      <c r="N1158" s="3" t="n">
        <v>4</v>
      </c>
      <c r="O1158" s="6" t="b">
        <f aca="false">FALSE()</f>
        <v>0</v>
      </c>
      <c r="P1158" s="3"/>
      <c r="Q1158" s="5" t="n">
        <v>46247.4701388889</v>
      </c>
      <c r="R1158" s="5" t="n">
        <v>46247.6263888889</v>
      </c>
      <c r="S1158" s="3" t="s">
        <v>1699</v>
      </c>
      <c r="T1158" s="7" t="n">
        <f aca="false">ROUND(MIN(IF(OR(O1158=TRUE(),O1158="TRUE",O1158="Yes"),59,100),(I1158*Rubric!$C$2+J1158*Rubric!$C$3+K1158*Rubric!$C$4+L1158*Rubric!$C$5+M1158*Rubric!$C$6+N1158*Rubric!$C$7)/5),1)</f>
        <v>91</v>
      </c>
      <c r="U1158" s="8" t="str">
        <f aca="false">LOOKUP(T1158,Bands!$A$2:$A$6,Bands!$B$2:$B$6)</f>
        <v>Outstanding</v>
      </c>
      <c r="V1158" s="8" t="n">
        <f aca="false">IF(Q1158="","",ROUND((Q1158-B1158)*24,1))</f>
        <v>0</v>
      </c>
    </row>
    <row r="1159" customFormat="false" ht="15" hidden="false" customHeight="false" outlineLevel="0" collapsed="false">
      <c r="A1159" s="3" t="s">
        <v>2452</v>
      </c>
      <c r="B1159" s="5" t="n">
        <v>46247.6284722222</v>
      </c>
      <c r="C1159" s="3" t="s">
        <v>68</v>
      </c>
      <c r="D1159" s="3" t="s">
        <v>366</v>
      </c>
      <c r="E1159" s="3" t="s">
        <v>367</v>
      </c>
      <c r="F1159" s="3" t="s">
        <v>53</v>
      </c>
      <c r="G1159" s="3" t="s">
        <v>34</v>
      </c>
      <c r="H1159" s="3" t="s">
        <v>2453</v>
      </c>
      <c r="I1159" s="3" t="n">
        <v>4</v>
      </c>
      <c r="J1159" s="3" t="n">
        <v>4</v>
      </c>
      <c r="K1159" s="3" t="n">
        <v>4</v>
      </c>
      <c r="L1159" s="3" t="n">
        <v>4</v>
      </c>
      <c r="M1159" s="3" t="n">
        <v>3</v>
      </c>
      <c r="N1159" s="3" t="n">
        <v>4</v>
      </c>
      <c r="O1159" s="6" t="b">
        <f aca="false">FALSE()</f>
        <v>0</v>
      </c>
      <c r="P1159" s="3"/>
      <c r="Q1159" s="5" t="n">
        <v>46247.6305555556</v>
      </c>
      <c r="R1159" s="5" t="n">
        <v>46247.75</v>
      </c>
      <c r="S1159" s="3" t="s">
        <v>1699</v>
      </c>
      <c r="T1159" s="7" t="n">
        <f aca="false">ROUND(MIN(IF(OR(O1159=TRUE(),O1159="TRUE",O1159="Yes"),59,100),(I1159*Rubric!$C$2+J1159*Rubric!$C$3+K1159*Rubric!$C$4+L1159*Rubric!$C$5+M1159*Rubric!$C$6+N1159*Rubric!$C$7)/5),1)</f>
        <v>78</v>
      </c>
      <c r="U1159" s="8" t="str">
        <f aca="false">LOOKUP(T1159,Bands!$A$2:$A$6,Bands!$B$2:$B$6)</f>
        <v>Meets Expectations</v>
      </c>
      <c r="V1159" s="8" t="n">
        <f aca="false">IF(Q1159="","",ROUND((Q1159-B1159)*24,1))</f>
        <v>0.1</v>
      </c>
    </row>
    <row r="1160" customFormat="false" ht="15" hidden="false" customHeight="false" outlineLevel="0" collapsed="false">
      <c r="A1160" s="3" t="s">
        <v>2454</v>
      </c>
      <c r="B1160" s="5" t="n">
        <v>46247.4527777778</v>
      </c>
      <c r="C1160" s="3" t="s">
        <v>30</v>
      </c>
      <c r="D1160" s="3" t="s">
        <v>259</v>
      </c>
      <c r="E1160" s="3" t="s">
        <v>260</v>
      </c>
      <c r="F1160" s="3" t="s">
        <v>33</v>
      </c>
      <c r="G1160" s="3" t="s">
        <v>54</v>
      </c>
      <c r="H1160" s="3" t="s">
        <v>2455</v>
      </c>
      <c r="I1160" s="3" t="n">
        <v>5</v>
      </c>
      <c r="J1160" s="3" t="n">
        <v>5</v>
      </c>
      <c r="K1160" s="3" t="n">
        <v>3</v>
      </c>
      <c r="L1160" s="3" t="n">
        <v>5</v>
      </c>
      <c r="M1160" s="3" t="n">
        <v>5</v>
      </c>
      <c r="N1160" s="3" t="n">
        <v>4</v>
      </c>
      <c r="O1160" s="6" t="b">
        <f aca="false">FALSE()</f>
        <v>0</v>
      </c>
      <c r="P1160" s="3"/>
      <c r="Q1160" s="5" t="n">
        <v>46247.4534722222</v>
      </c>
      <c r="R1160" s="5" t="n">
        <v>46247.7451388889</v>
      </c>
      <c r="S1160" s="3" t="s">
        <v>1699</v>
      </c>
      <c r="T1160" s="7" t="n">
        <f aca="false">ROUND(MIN(IF(OR(O1160=TRUE(),O1160="TRUE",O1160="Yes"),59,100),(I1160*Rubric!$C$2+J1160*Rubric!$C$3+K1160*Rubric!$C$4+L1160*Rubric!$C$5+M1160*Rubric!$C$6+N1160*Rubric!$C$7)/5),1)</f>
        <v>89</v>
      </c>
      <c r="U1160" s="8" t="str">
        <f aca="false">LOOKUP(T1160,Bands!$A$2:$A$6,Bands!$B$2:$B$6)</f>
        <v>Solid Performance</v>
      </c>
      <c r="V1160" s="8" t="n">
        <f aca="false">IF(Q1160="","",ROUND((Q1160-B1160)*24,1))</f>
        <v>0</v>
      </c>
    </row>
    <row r="1161" customFormat="false" ht="15" hidden="false" customHeight="false" outlineLevel="0" collapsed="false">
      <c r="A1161" s="3" t="s">
        <v>2456</v>
      </c>
      <c r="B1161" s="5" t="n">
        <v>46247.3888888889</v>
      </c>
      <c r="C1161" s="3" t="s">
        <v>39</v>
      </c>
      <c r="D1161" s="3" t="s">
        <v>167</v>
      </c>
      <c r="E1161" s="3" t="s">
        <v>168</v>
      </c>
      <c r="F1161" s="3" t="s">
        <v>33</v>
      </c>
      <c r="G1161" s="3" t="s">
        <v>42</v>
      </c>
      <c r="H1161" s="3" t="s">
        <v>2457</v>
      </c>
      <c r="I1161" s="3" t="n">
        <v>4</v>
      </c>
      <c r="J1161" s="3" t="n">
        <v>5</v>
      </c>
      <c r="K1161" s="3" t="n">
        <v>4</v>
      </c>
      <c r="L1161" s="3" t="n">
        <v>3</v>
      </c>
      <c r="M1161" s="3" t="n">
        <v>3</v>
      </c>
      <c r="N1161" s="3" t="n">
        <v>4</v>
      </c>
      <c r="O1161" s="6" t="b">
        <f aca="false">FALSE()</f>
        <v>0</v>
      </c>
      <c r="P1161" s="3"/>
      <c r="Q1161" s="5" t="n">
        <v>46247.3895833333</v>
      </c>
      <c r="R1161" s="5" t="n">
        <v>46247.4972222222</v>
      </c>
      <c r="S1161" s="3" t="s">
        <v>1699</v>
      </c>
      <c r="T1161" s="7" t="n">
        <f aca="false">ROUND(MIN(IF(OR(O1161=TRUE(),O1161="TRUE",O1161="Yes"),59,100),(I1161*Rubric!$C$2+J1161*Rubric!$C$3+K1161*Rubric!$C$4+L1161*Rubric!$C$5+M1161*Rubric!$C$6+N1161*Rubric!$C$7)/5),1)</f>
        <v>80</v>
      </c>
      <c r="U1161" s="8" t="str">
        <f aca="false">LOOKUP(T1161,Bands!$A$2:$A$6,Bands!$B$2:$B$6)</f>
        <v>Solid Performance</v>
      </c>
      <c r="V1161" s="8" t="n">
        <f aca="false">IF(Q1161="","",ROUND((Q1161-B1161)*24,1))</f>
        <v>0</v>
      </c>
    </row>
    <row r="1162" customFormat="false" ht="15" hidden="false" customHeight="false" outlineLevel="0" collapsed="false">
      <c r="A1162" s="3" t="s">
        <v>2458</v>
      </c>
      <c r="B1162" s="5" t="n">
        <v>46247.4486111111</v>
      </c>
      <c r="C1162" s="3" t="s">
        <v>30</v>
      </c>
      <c r="D1162" s="3" t="s">
        <v>63</v>
      </c>
      <c r="E1162" s="3" t="s">
        <v>64</v>
      </c>
      <c r="F1162" s="3" t="s">
        <v>65</v>
      </c>
      <c r="G1162" s="3" t="s">
        <v>42</v>
      </c>
      <c r="H1162" s="3" t="s">
        <v>2459</v>
      </c>
      <c r="I1162" s="3" t="n">
        <v>3</v>
      </c>
      <c r="J1162" s="3" t="n">
        <v>4</v>
      </c>
      <c r="K1162" s="3" t="n">
        <v>3</v>
      </c>
      <c r="L1162" s="3" t="n">
        <v>4</v>
      </c>
      <c r="M1162" s="3" t="n">
        <v>4</v>
      </c>
      <c r="N1162" s="3" t="n">
        <v>4</v>
      </c>
      <c r="O1162" s="6" t="b">
        <f aca="false">FALSE()</f>
        <v>0</v>
      </c>
      <c r="P1162" s="3"/>
      <c r="Q1162" s="5" t="n">
        <v>46247.4493055556</v>
      </c>
      <c r="R1162" s="5" t="n">
        <v>46247.6465277778</v>
      </c>
      <c r="S1162" s="3" t="s">
        <v>1699</v>
      </c>
      <c r="T1162" s="7" t="n">
        <f aca="false">ROUND(MIN(IF(OR(O1162=TRUE(),O1162="TRUE",O1162="Yes"),59,100),(I1162*Rubric!$C$2+J1162*Rubric!$C$3+K1162*Rubric!$C$4+L1162*Rubric!$C$5+M1162*Rubric!$C$6+N1162*Rubric!$C$7)/5),1)</f>
        <v>73</v>
      </c>
      <c r="U1162" s="8" t="str">
        <f aca="false">LOOKUP(T1162,Bands!$A$2:$A$6,Bands!$B$2:$B$6)</f>
        <v>Meets Expectations</v>
      </c>
      <c r="V1162" s="8" t="n">
        <f aca="false">IF(Q1162="","",ROUND((Q1162-B1162)*24,1))</f>
        <v>0</v>
      </c>
    </row>
    <row r="1163" customFormat="false" ht="15" hidden="false" customHeight="false" outlineLevel="0" collapsed="false">
      <c r="A1163" s="3" t="s">
        <v>2460</v>
      </c>
      <c r="B1163" s="5" t="n">
        <v>46247.5701388889</v>
      </c>
      <c r="C1163" s="3" t="s">
        <v>39</v>
      </c>
      <c r="D1163" s="3" t="s">
        <v>51</v>
      </c>
      <c r="E1163" s="3" t="s">
        <v>52</v>
      </c>
      <c r="F1163" s="3" t="s">
        <v>53</v>
      </c>
      <c r="G1163" s="3" t="s">
        <v>34</v>
      </c>
      <c r="H1163" s="3" t="s">
        <v>2461</v>
      </c>
      <c r="I1163" s="3" t="n">
        <v>5</v>
      </c>
      <c r="J1163" s="3" t="n">
        <v>2</v>
      </c>
      <c r="K1163" s="3" t="n">
        <v>4</v>
      </c>
      <c r="L1163" s="3" t="n">
        <v>4</v>
      </c>
      <c r="M1163" s="3" t="n">
        <v>4</v>
      </c>
      <c r="N1163" s="3" t="n">
        <v>4</v>
      </c>
      <c r="O1163" s="6" t="b">
        <f aca="false">FALSE()</f>
        <v>0</v>
      </c>
      <c r="P1163" s="3" t="s">
        <v>56</v>
      </c>
      <c r="Q1163" s="5" t="n">
        <v>46247.5715277778</v>
      </c>
      <c r="R1163" s="5" t="n">
        <v>46247.6368055556</v>
      </c>
      <c r="S1163" s="3" t="s">
        <v>1699</v>
      </c>
      <c r="T1163" s="7" t="n">
        <f aca="false">ROUND(MIN(IF(OR(O1163=TRUE(),O1163="TRUE",O1163="Yes"),59,100),(I1163*Rubric!$C$2+J1163*Rubric!$C$3+K1163*Rubric!$C$4+L1163*Rubric!$C$5+M1163*Rubric!$C$6+N1163*Rubric!$C$7)/5),1)</f>
        <v>73</v>
      </c>
      <c r="U1163" s="8" t="str">
        <f aca="false">LOOKUP(T1163,Bands!$A$2:$A$6,Bands!$B$2:$B$6)</f>
        <v>Meets Expectations</v>
      </c>
      <c r="V1163" s="8" t="n">
        <f aca="false">IF(Q1163="","",ROUND((Q1163-B1163)*24,1))</f>
        <v>0</v>
      </c>
    </row>
    <row r="1164" customFormat="false" ht="15" hidden="false" customHeight="false" outlineLevel="0" collapsed="false">
      <c r="A1164" s="3" t="s">
        <v>2462</v>
      </c>
      <c r="B1164" s="5" t="n">
        <v>46247.4930555556</v>
      </c>
      <c r="C1164" s="3" t="s">
        <v>68</v>
      </c>
      <c r="D1164" s="3" t="s">
        <v>77</v>
      </c>
      <c r="E1164" s="3" t="s">
        <v>78</v>
      </c>
      <c r="F1164" s="3" t="s">
        <v>33</v>
      </c>
      <c r="G1164" s="3" t="s">
        <v>54</v>
      </c>
      <c r="H1164" s="3" t="s">
        <v>2463</v>
      </c>
      <c r="I1164" s="3" t="n">
        <v>5</v>
      </c>
      <c r="J1164" s="3" t="n">
        <v>5</v>
      </c>
      <c r="K1164" s="3" t="n">
        <v>2</v>
      </c>
      <c r="L1164" s="3" t="n">
        <v>5</v>
      </c>
      <c r="M1164" s="3" t="n">
        <v>5</v>
      </c>
      <c r="N1164" s="3" t="n">
        <v>4</v>
      </c>
      <c r="O1164" s="6" t="b">
        <f aca="false">FALSE()</f>
        <v>0</v>
      </c>
      <c r="P1164" s="3" t="s">
        <v>49</v>
      </c>
      <c r="Q1164" s="5" t="n">
        <v>46247.4951388889</v>
      </c>
      <c r="R1164" s="5" t="n">
        <v>46247.65</v>
      </c>
      <c r="S1164" s="3" t="s">
        <v>1699</v>
      </c>
      <c r="T1164" s="7" t="n">
        <f aca="false">ROUND(MIN(IF(OR(O1164=TRUE(),O1164="TRUE",O1164="Yes"),59,100),(I1164*Rubric!$C$2+J1164*Rubric!$C$3+K1164*Rubric!$C$4+L1164*Rubric!$C$5+M1164*Rubric!$C$6+N1164*Rubric!$C$7)/5),1)</f>
        <v>85</v>
      </c>
      <c r="U1164" s="8" t="str">
        <f aca="false">LOOKUP(T1164,Bands!$A$2:$A$6,Bands!$B$2:$B$6)</f>
        <v>Solid Performance</v>
      </c>
      <c r="V1164" s="8" t="n">
        <f aca="false">IF(Q1164="","",ROUND((Q1164-B1164)*24,1))</f>
        <v>0</v>
      </c>
    </row>
    <row r="1165" customFormat="false" ht="15" hidden="false" customHeight="false" outlineLevel="0" collapsed="false">
      <c r="A1165" s="3" t="s">
        <v>2464</v>
      </c>
      <c r="B1165" s="5" t="n">
        <v>46247.6131944444</v>
      </c>
      <c r="C1165" s="3" t="s">
        <v>39</v>
      </c>
      <c r="D1165" s="3" t="s">
        <v>161</v>
      </c>
      <c r="E1165" s="3" t="s">
        <v>162</v>
      </c>
      <c r="F1165" s="3" t="s">
        <v>33</v>
      </c>
      <c r="G1165" s="3" t="s">
        <v>42</v>
      </c>
      <c r="H1165" s="3" t="s">
        <v>2465</v>
      </c>
      <c r="I1165" s="3" t="n">
        <v>4</v>
      </c>
      <c r="J1165" s="3" t="n">
        <v>4</v>
      </c>
      <c r="K1165" s="3" t="n">
        <v>4</v>
      </c>
      <c r="L1165" s="3" t="n">
        <v>5</v>
      </c>
      <c r="M1165" s="3" t="n">
        <v>2</v>
      </c>
      <c r="N1165" s="3" t="n">
        <v>4</v>
      </c>
      <c r="O1165" s="6" t="b">
        <f aca="false">FALSE()</f>
        <v>0</v>
      </c>
      <c r="P1165" s="3" t="s">
        <v>103</v>
      </c>
      <c r="Q1165" s="5" t="n">
        <v>46247.6138888889</v>
      </c>
      <c r="R1165" s="5" t="n">
        <v>46247.6236111111</v>
      </c>
      <c r="S1165" s="3" t="s">
        <v>1699</v>
      </c>
      <c r="T1165" s="7" t="n">
        <f aca="false">ROUND(MIN(IF(OR(O1165=TRUE(),O1165="TRUE",O1165="Yes"),59,100),(I1165*Rubric!$C$2+J1165*Rubric!$C$3+K1165*Rubric!$C$4+L1165*Rubric!$C$5+M1165*Rubric!$C$6+N1165*Rubric!$C$7)/5),1)</f>
        <v>79</v>
      </c>
      <c r="U1165" s="8" t="str">
        <f aca="false">LOOKUP(T1165,Bands!$A$2:$A$6,Bands!$B$2:$B$6)</f>
        <v>Meets Expectations</v>
      </c>
      <c r="V1165" s="8" t="n">
        <f aca="false">IF(Q1165="","",ROUND((Q1165-B1165)*24,1))</f>
        <v>0</v>
      </c>
    </row>
    <row r="1166" customFormat="false" ht="15" hidden="false" customHeight="false" outlineLevel="0" collapsed="false">
      <c r="A1166" s="3" t="s">
        <v>2466</v>
      </c>
      <c r="B1166" s="5" t="n">
        <v>46248.3777777778</v>
      </c>
      <c r="C1166" s="3" t="s">
        <v>30</v>
      </c>
      <c r="D1166" s="3" t="s">
        <v>145</v>
      </c>
      <c r="E1166" s="3" t="s">
        <v>146</v>
      </c>
      <c r="F1166" s="3" t="s">
        <v>33</v>
      </c>
      <c r="G1166" s="3" t="s">
        <v>42</v>
      </c>
      <c r="H1166" s="3" t="s">
        <v>2467</v>
      </c>
      <c r="I1166" s="3" t="n">
        <v>3</v>
      </c>
      <c r="J1166" s="3" t="n">
        <v>3</v>
      </c>
      <c r="K1166" s="3" t="n">
        <v>4</v>
      </c>
      <c r="L1166" s="3" t="n">
        <v>4</v>
      </c>
      <c r="M1166" s="3" t="n">
        <v>4</v>
      </c>
      <c r="N1166" s="3" t="n">
        <v>4</v>
      </c>
      <c r="O1166" s="6" t="b">
        <f aca="false">FALSE()</f>
        <v>0</v>
      </c>
      <c r="P1166" s="3"/>
      <c r="Q1166" s="5" t="n">
        <v>46248.3798611111</v>
      </c>
      <c r="R1166" s="5" t="n">
        <v>46248.5472222222</v>
      </c>
      <c r="S1166" s="3" t="s">
        <v>1699</v>
      </c>
      <c r="T1166" s="7" t="n">
        <f aca="false">ROUND(MIN(IF(OR(O1166=TRUE(),O1166="TRUE",O1166="Yes"),59,100),(I1166*Rubric!$C$2+J1166*Rubric!$C$3+K1166*Rubric!$C$4+L1166*Rubric!$C$5+M1166*Rubric!$C$6+N1166*Rubric!$C$7)/5),1)</f>
        <v>72</v>
      </c>
      <c r="U1166" s="8" t="str">
        <f aca="false">LOOKUP(T1166,Bands!$A$2:$A$6,Bands!$B$2:$B$6)</f>
        <v>Meets Expectations</v>
      </c>
      <c r="V1166" s="8" t="n">
        <f aca="false">IF(Q1166="","",ROUND((Q1166-B1166)*24,1))</f>
        <v>0</v>
      </c>
    </row>
    <row r="1167" customFormat="false" ht="15" hidden="false" customHeight="false" outlineLevel="0" collapsed="false">
      <c r="A1167" s="3" t="s">
        <v>2468</v>
      </c>
      <c r="B1167" s="5" t="n">
        <v>46248.4305555556</v>
      </c>
      <c r="C1167" s="3" t="s">
        <v>30</v>
      </c>
      <c r="D1167" s="3" t="s">
        <v>161</v>
      </c>
      <c r="E1167" s="3" t="s">
        <v>162</v>
      </c>
      <c r="F1167" s="3" t="s">
        <v>33</v>
      </c>
      <c r="G1167" s="3" t="s">
        <v>42</v>
      </c>
      <c r="H1167" s="3" t="s">
        <v>2469</v>
      </c>
      <c r="I1167" s="3" t="n">
        <v>3</v>
      </c>
      <c r="J1167" s="3" t="n">
        <v>5</v>
      </c>
      <c r="K1167" s="3" t="n">
        <v>4</v>
      </c>
      <c r="L1167" s="3" t="n">
        <v>3</v>
      </c>
      <c r="M1167" s="3" t="n">
        <v>4</v>
      </c>
      <c r="N1167" s="3" t="n">
        <v>5</v>
      </c>
      <c r="O1167" s="6" t="b">
        <f aca="false">FALSE()</f>
        <v>0</v>
      </c>
      <c r="P1167" s="3"/>
      <c r="Q1167" s="5" t="n">
        <v>46248.4319444444</v>
      </c>
      <c r="R1167" s="5" t="n">
        <v>46248.4777777778</v>
      </c>
      <c r="S1167" s="3" t="s">
        <v>1699</v>
      </c>
      <c r="T1167" s="7" t="n">
        <f aca="false">ROUND(MIN(IF(OR(O1167=TRUE(),O1167="TRUE",O1167="Yes"),59,100),(I1167*Rubric!$C$2+J1167*Rubric!$C$3+K1167*Rubric!$C$4+L1167*Rubric!$C$5+M1167*Rubric!$C$6+N1167*Rubric!$C$7)/5),1)</f>
        <v>82</v>
      </c>
      <c r="U1167" s="8" t="str">
        <f aca="false">LOOKUP(T1167,Bands!$A$2:$A$6,Bands!$B$2:$B$6)</f>
        <v>Solid Performance</v>
      </c>
      <c r="V1167" s="8" t="n">
        <f aca="false">IF(Q1167="","",ROUND((Q1167-B1167)*24,1))</f>
        <v>0</v>
      </c>
    </row>
    <row r="1168" customFormat="false" ht="15" hidden="false" customHeight="false" outlineLevel="0" collapsed="false">
      <c r="A1168" s="3" t="s">
        <v>2470</v>
      </c>
      <c r="B1168" s="5" t="n">
        <v>46248.4638888889</v>
      </c>
      <c r="C1168" s="3" t="s">
        <v>30</v>
      </c>
      <c r="D1168" s="3" t="s">
        <v>77</v>
      </c>
      <c r="E1168" s="3" t="s">
        <v>78</v>
      </c>
      <c r="F1168" s="3" t="s">
        <v>33</v>
      </c>
      <c r="G1168" s="3" t="s">
        <v>54</v>
      </c>
      <c r="H1168" s="3" t="s">
        <v>2471</v>
      </c>
      <c r="I1168" s="3" t="n">
        <v>4</v>
      </c>
      <c r="J1168" s="3" t="n">
        <v>5</v>
      </c>
      <c r="K1168" s="3" t="n">
        <v>3</v>
      </c>
      <c r="L1168" s="3" t="n">
        <v>5</v>
      </c>
      <c r="M1168" s="3" t="n">
        <v>5</v>
      </c>
      <c r="N1168" s="3" t="n">
        <v>5</v>
      </c>
      <c r="O1168" s="6" t="b">
        <f aca="false">FALSE()</f>
        <v>0</v>
      </c>
      <c r="P1168" s="3"/>
      <c r="Q1168" s="5" t="n">
        <v>46248.4659722222</v>
      </c>
      <c r="R1168" s="5" t="n">
        <v>46248.4854166667</v>
      </c>
      <c r="S1168" s="3" t="s">
        <v>1699</v>
      </c>
      <c r="T1168" s="7" t="n">
        <f aca="false">ROUND(MIN(IF(OR(O1168=TRUE(),O1168="TRUE",O1168="Yes"),59,100),(I1168*Rubric!$C$2+J1168*Rubric!$C$3+K1168*Rubric!$C$4+L1168*Rubric!$C$5+M1168*Rubric!$C$6+N1168*Rubric!$C$7)/5),1)</f>
        <v>89</v>
      </c>
      <c r="U1168" s="8" t="str">
        <f aca="false">LOOKUP(T1168,Bands!$A$2:$A$6,Bands!$B$2:$B$6)</f>
        <v>Solid Performance</v>
      </c>
      <c r="V1168" s="8" t="n">
        <f aca="false">IF(Q1168="","",ROUND((Q1168-B1168)*24,1))</f>
        <v>0</v>
      </c>
    </row>
    <row r="1169" customFormat="false" ht="15" hidden="false" customHeight="false" outlineLevel="0" collapsed="false">
      <c r="A1169" s="3" t="s">
        <v>2472</v>
      </c>
      <c r="B1169" s="5" t="n">
        <v>46248.3986111111</v>
      </c>
      <c r="C1169" s="3" t="s">
        <v>30</v>
      </c>
      <c r="D1169" s="3" t="s">
        <v>228</v>
      </c>
      <c r="E1169" s="3" t="s">
        <v>229</v>
      </c>
      <c r="F1169" s="3" t="s">
        <v>65</v>
      </c>
      <c r="G1169" s="3" t="s">
        <v>42</v>
      </c>
      <c r="H1169" s="3" t="s">
        <v>2473</v>
      </c>
      <c r="I1169" s="3" t="n">
        <v>4</v>
      </c>
      <c r="J1169" s="3" t="n">
        <v>3</v>
      </c>
      <c r="K1169" s="3" t="n">
        <v>3</v>
      </c>
      <c r="L1169" s="3" t="n">
        <v>3</v>
      </c>
      <c r="M1169" s="3" t="n">
        <v>2</v>
      </c>
      <c r="N1169" s="3" t="n">
        <v>3</v>
      </c>
      <c r="O1169" s="6" t="b">
        <f aca="false">FALSE()</f>
        <v>0</v>
      </c>
      <c r="P1169" s="3" t="s">
        <v>103</v>
      </c>
      <c r="Q1169" s="5" t="n">
        <v>46248.3993055556</v>
      </c>
      <c r="R1169" s="5" t="n">
        <v>46248.5090277778</v>
      </c>
      <c r="S1169" s="3" t="s">
        <v>1699</v>
      </c>
      <c r="T1169" s="7" t="n">
        <f aca="false">ROUND(MIN(IF(OR(O1169=TRUE(),O1169="TRUE",O1169="Yes"),59,100),(I1169*Rubric!$C$2+J1169*Rubric!$C$3+K1169*Rubric!$C$4+L1169*Rubric!$C$5+M1169*Rubric!$C$6+N1169*Rubric!$C$7)/5),1)</f>
        <v>61</v>
      </c>
      <c r="U1169" s="8" t="str">
        <f aca="false">LOOKUP(T1169,Bands!$A$2:$A$6,Bands!$B$2:$B$6)</f>
        <v>Needs Improvement</v>
      </c>
      <c r="V1169" s="8" t="n">
        <f aca="false">IF(Q1169="","",ROUND((Q1169-B1169)*24,1))</f>
        <v>0</v>
      </c>
    </row>
    <row r="1170" customFormat="false" ht="15" hidden="false" customHeight="false" outlineLevel="0" collapsed="false">
      <c r="A1170" s="3" t="s">
        <v>2474</v>
      </c>
      <c r="B1170" s="5" t="n">
        <v>46248.5229166667</v>
      </c>
      <c r="C1170" s="3" t="s">
        <v>30</v>
      </c>
      <c r="D1170" s="3" t="s">
        <v>265</v>
      </c>
      <c r="E1170" s="3" t="s">
        <v>266</v>
      </c>
      <c r="F1170" s="3" t="s">
        <v>33</v>
      </c>
      <c r="G1170" s="3" t="s">
        <v>34</v>
      </c>
      <c r="H1170" s="3" t="s">
        <v>2475</v>
      </c>
      <c r="I1170" s="3" t="n">
        <v>3</v>
      </c>
      <c r="J1170" s="3" t="n">
        <v>2</v>
      </c>
      <c r="K1170" s="3" t="n">
        <v>4</v>
      </c>
      <c r="L1170" s="3" t="n">
        <v>4</v>
      </c>
      <c r="M1170" s="3" t="n">
        <v>4</v>
      </c>
      <c r="N1170" s="3" t="n">
        <v>3</v>
      </c>
      <c r="O1170" s="6" t="b">
        <f aca="false">FALSE()</f>
        <v>0</v>
      </c>
      <c r="P1170" s="3" t="s">
        <v>56</v>
      </c>
      <c r="Q1170" s="5" t="n">
        <v>46248.5243055556</v>
      </c>
      <c r="R1170" s="5" t="n">
        <v>46248.7729166667</v>
      </c>
      <c r="S1170" s="3" t="s">
        <v>1699</v>
      </c>
      <c r="T1170" s="7" t="n">
        <f aca="false">ROUND(MIN(IF(OR(O1170=TRUE(),O1170="TRUE",O1170="Yes"),59,100),(I1170*Rubric!$C$2+J1170*Rubric!$C$3+K1170*Rubric!$C$4+L1170*Rubric!$C$5+M1170*Rubric!$C$6+N1170*Rubric!$C$7)/5),1)</f>
        <v>64</v>
      </c>
      <c r="U1170" s="8" t="str">
        <f aca="false">LOOKUP(T1170,Bands!$A$2:$A$6,Bands!$B$2:$B$6)</f>
        <v>Needs Improvement</v>
      </c>
      <c r="V1170" s="8" t="n">
        <f aca="false">IF(Q1170="","",ROUND((Q1170-B1170)*24,1))</f>
        <v>0</v>
      </c>
    </row>
    <row r="1171" customFormat="false" ht="15" hidden="false" customHeight="false" outlineLevel="0" collapsed="false">
      <c r="A1171" s="3" t="s">
        <v>2476</v>
      </c>
      <c r="B1171" s="5" t="n">
        <v>46248.5326388889</v>
      </c>
      <c r="C1171" s="3" t="s">
        <v>68</v>
      </c>
      <c r="D1171" s="3" t="s">
        <v>293</v>
      </c>
      <c r="E1171" s="3" t="s">
        <v>294</v>
      </c>
      <c r="F1171" s="3" t="s">
        <v>65</v>
      </c>
      <c r="G1171" s="3" t="s">
        <v>42</v>
      </c>
      <c r="H1171" s="3" t="s">
        <v>2477</v>
      </c>
      <c r="I1171" s="3" t="n">
        <v>5</v>
      </c>
      <c r="J1171" s="3" t="n">
        <v>5</v>
      </c>
      <c r="K1171" s="3" t="n">
        <v>4</v>
      </c>
      <c r="L1171" s="3" t="n">
        <v>4</v>
      </c>
      <c r="M1171" s="3" t="n">
        <v>5</v>
      </c>
      <c r="N1171" s="3" t="n">
        <v>5</v>
      </c>
      <c r="O1171" s="6" t="b">
        <f aca="false">FALSE()</f>
        <v>0</v>
      </c>
      <c r="P1171" s="3"/>
      <c r="Q1171" s="5" t="n">
        <v>46248.5340277778</v>
      </c>
      <c r="R1171" s="5" t="n">
        <v>46248.9069444445</v>
      </c>
      <c r="S1171" s="3" t="s">
        <v>1699</v>
      </c>
      <c r="T1171" s="7" t="n">
        <f aca="false">ROUND(MIN(IF(OR(O1171=TRUE(),O1171="TRUE",O1171="Yes"),59,100),(I1171*Rubric!$C$2+J1171*Rubric!$C$3+K1171*Rubric!$C$4+L1171*Rubric!$C$5+M1171*Rubric!$C$6+N1171*Rubric!$C$7)/5),1)</f>
        <v>93</v>
      </c>
      <c r="U1171" s="8" t="str">
        <f aca="false">LOOKUP(T1171,Bands!$A$2:$A$6,Bands!$B$2:$B$6)</f>
        <v>Outstanding</v>
      </c>
      <c r="V1171" s="8" t="n">
        <f aca="false">IF(Q1171="","",ROUND((Q1171-B1171)*24,1))</f>
        <v>0</v>
      </c>
    </row>
    <row r="1172" customFormat="false" ht="15" hidden="false" customHeight="false" outlineLevel="0" collapsed="false">
      <c r="A1172" s="3" t="s">
        <v>2478</v>
      </c>
      <c r="B1172" s="5" t="n">
        <v>46248.5395833333</v>
      </c>
      <c r="C1172" s="3" t="s">
        <v>68</v>
      </c>
      <c r="D1172" s="3" t="s">
        <v>81</v>
      </c>
      <c r="E1172" s="3" t="s">
        <v>82</v>
      </c>
      <c r="F1172" s="3" t="s">
        <v>65</v>
      </c>
      <c r="G1172" s="3" t="s">
        <v>42</v>
      </c>
      <c r="H1172" s="3" t="s">
        <v>2479</v>
      </c>
      <c r="I1172" s="3" t="n">
        <v>4</v>
      </c>
      <c r="J1172" s="3" t="n">
        <v>3</v>
      </c>
      <c r="K1172" s="3" t="n">
        <v>4</v>
      </c>
      <c r="L1172" s="3" t="n">
        <v>4</v>
      </c>
      <c r="M1172" s="3" t="n">
        <v>5</v>
      </c>
      <c r="N1172" s="3" t="n">
        <v>4</v>
      </c>
      <c r="O1172" s="6" t="b">
        <f aca="false">FALSE()</f>
        <v>0</v>
      </c>
      <c r="P1172" s="3"/>
      <c r="Q1172" s="5" t="n">
        <v>46248.5416666667</v>
      </c>
      <c r="R1172" s="5" t="n">
        <v>46248.5430555556</v>
      </c>
      <c r="S1172" s="3" t="s">
        <v>1699</v>
      </c>
      <c r="T1172" s="7" t="n">
        <f aca="false">ROUND(MIN(IF(OR(O1172=TRUE(),O1172="TRUE",O1172="Yes"),59,100),(I1172*Rubric!$C$2+J1172*Rubric!$C$3+K1172*Rubric!$C$4+L1172*Rubric!$C$5+M1172*Rubric!$C$6+N1172*Rubric!$C$7)/5),1)</f>
        <v>77</v>
      </c>
      <c r="U1172" s="8" t="str">
        <f aca="false">LOOKUP(T1172,Bands!$A$2:$A$6,Bands!$B$2:$B$6)</f>
        <v>Meets Expectations</v>
      </c>
      <c r="V1172" s="8" t="n">
        <f aca="false">IF(Q1172="","",ROUND((Q1172-B1172)*24,1))</f>
        <v>0.1</v>
      </c>
    </row>
    <row r="1173" customFormat="false" ht="15" hidden="false" customHeight="false" outlineLevel="0" collapsed="false">
      <c r="A1173" s="3" t="s">
        <v>2480</v>
      </c>
      <c r="B1173" s="5" t="n">
        <v>46248.4798611111</v>
      </c>
      <c r="C1173" s="3" t="s">
        <v>68</v>
      </c>
      <c r="D1173" s="3" t="s">
        <v>212</v>
      </c>
      <c r="E1173" s="3" t="s">
        <v>213</v>
      </c>
      <c r="F1173" s="3" t="s">
        <v>33</v>
      </c>
      <c r="G1173" s="3" t="s">
        <v>54</v>
      </c>
      <c r="H1173" s="3" t="s">
        <v>2481</v>
      </c>
      <c r="I1173" s="3" t="n">
        <v>3</v>
      </c>
      <c r="J1173" s="3" t="n">
        <v>4</v>
      </c>
      <c r="K1173" s="3" t="n">
        <v>4</v>
      </c>
      <c r="L1173" s="3" t="n">
        <v>4</v>
      </c>
      <c r="M1173" s="3" t="n">
        <v>3</v>
      </c>
      <c r="N1173" s="3" t="n">
        <v>3</v>
      </c>
      <c r="O1173" s="6" t="b">
        <f aca="false">FALSE()</f>
        <v>0</v>
      </c>
      <c r="P1173" s="3"/>
      <c r="Q1173" s="5" t="n">
        <v>46248.4819444444</v>
      </c>
      <c r="R1173" s="5" t="n">
        <v>46248.5243055556</v>
      </c>
      <c r="S1173" s="3" t="s">
        <v>1699</v>
      </c>
      <c r="T1173" s="7" t="n">
        <f aca="false">ROUND(MIN(IF(OR(O1173=TRUE(),O1173="TRUE",O1173="Yes"),59,100),(I1173*Rubric!$C$2+J1173*Rubric!$C$3+K1173*Rubric!$C$4+L1173*Rubric!$C$5+M1173*Rubric!$C$6+N1173*Rubric!$C$7)/5),1)</f>
        <v>72</v>
      </c>
      <c r="U1173" s="8" t="str">
        <f aca="false">LOOKUP(T1173,Bands!$A$2:$A$6,Bands!$B$2:$B$6)</f>
        <v>Meets Expectations</v>
      </c>
      <c r="V1173" s="8" t="n">
        <f aca="false">IF(Q1173="","",ROUND((Q1173-B1173)*24,1))</f>
        <v>0</v>
      </c>
    </row>
    <row r="1174" customFormat="false" ht="15" hidden="false" customHeight="false" outlineLevel="0" collapsed="false">
      <c r="A1174" s="3" t="s">
        <v>2482</v>
      </c>
      <c r="B1174" s="5" t="n">
        <v>46248.4618055556</v>
      </c>
      <c r="C1174" s="3" t="s">
        <v>68</v>
      </c>
      <c r="D1174" s="3" t="s">
        <v>115</v>
      </c>
      <c r="E1174" s="3" t="s">
        <v>116</v>
      </c>
      <c r="F1174" s="3" t="s">
        <v>33</v>
      </c>
      <c r="G1174" s="3" t="s">
        <v>54</v>
      </c>
      <c r="H1174" s="3" t="s">
        <v>2483</v>
      </c>
      <c r="I1174" s="3" t="n">
        <v>4</v>
      </c>
      <c r="J1174" s="3" t="n">
        <v>5</v>
      </c>
      <c r="K1174" s="3" t="n">
        <v>4</v>
      </c>
      <c r="L1174" s="3" t="n">
        <v>4</v>
      </c>
      <c r="M1174" s="3" t="n">
        <v>2</v>
      </c>
      <c r="N1174" s="3" t="n">
        <v>0</v>
      </c>
      <c r="O1174" s="6" t="b">
        <f aca="false">TRUE()</f>
        <v>1</v>
      </c>
      <c r="P1174" s="3" t="s">
        <v>312</v>
      </c>
      <c r="Q1174" s="5" t="n">
        <v>46248.4638888889</v>
      </c>
      <c r="R1174" s="5" t="n">
        <v>46248.8006944444</v>
      </c>
      <c r="S1174" s="3" t="s">
        <v>1699</v>
      </c>
      <c r="T1174" s="7" t="n">
        <f aca="false">ROUND(MIN(IF(OR(O1174=TRUE(),O1174="TRUE",O1174="Yes"),59,100),(I1174*Rubric!$C$2+J1174*Rubric!$C$3+K1174*Rubric!$C$4+L1174*Rubric!$C$5+M1174*Rubric!$C$6+N1174*Rubric!$C$7)/5),1)</f>
        <v>59</v>
      </c>
      <c r="U1174" s="8" t="str">
        <f aca="false">LOOKUP(T1174,Bands!$A$2:$A$6,Bands!$B$2:$B$6)</f>
        <v>Critical</v>
      </c>
      <c r="V1174" s="8" t="n">
        <f aca="false">IF(Q1174="","",ROUND((Q1174-B1174)*24,1))</f>
        <v>0</v>
      </c>
    </row>
    <row r="1175" customFormat="false" ht="15" hidden="false" customHeight="false" outlineLevel="0" collapsed="false">
      <c r="A1175" s="3" t="s">
        <v>2484</v>
      </c>
      <c r="B1175" s="5" t="n">
        <v>46248.3770833333</v>
      </c>
      <c r="C1175" s="3" t="s">
        <v>68</v>
      </c>
      <c r="D1175" s="3" t="s">
        <v>251</v>
      </c>
      <c r="E1175" s="3" t="s">
        <v>252</v>
      </c>
      <c r="F1175" s="3" t="s">
        <v>53</v>
      </c>
      <c r="G1175" s="3" t="s">
        <v>54</v>
      </c>
      <c r="H1175" s="3" t="s">
        <v>2485</v>
      </c>
      <c r="I1175" s="3" t="n">
        <v>3</v>
      </c>
      <c r="J1175" s="3" t="n">
        <v>4</v>
      </c>
      <c r="K1175" s="3" t="n">
        <v>3</v>
      </c>
      <c r="L1175" s="3" t="n">
        <v>4</v>
      </c>
      <c r="M1175" s="3" t="n">
        <v>3</v>
      </c>
      <c r="N1175" s="3" t="n">
        <v>4</v>
      </c>
      <c r="O1175" s="6" t="b">
        <f aca="false">FALSE()</f>
        <v>0</v>
      </c>
      <c r="P1175" s="3"/>
      <c r="Q1175" s="5" t="n">
        <v>46248.3784722222</v>
      </c>
      <c r="R1175" s="5" t="n">
        <v>46248.4888888889</v>
      </c>
      <c r="S1175" s="3" t="s">
        <v>1699</v>
      </c>
      <c r="T1175" s="7" t="n">
        <f aca="false">ROUND(MIN(IF(OR(O1175=TRUE(),O1175="TRUE",O1175="Yes"),59,100),(I1175*Rubric!$C$2+J1175*Rubric!$C$3+K1175*Rubric!$C$4+L1175*Rubric!$C$5+M1175*Rubric!$C$6+N1175*Rubric!$C$7)/5),1)</f>
        <v>71</v>
      </c>
      <c r="U1175" s="8" t="str">
        <f aca="false">LOOKUP(T1175,Bands!$A$2:$A$6,Bands!$B$2:$B$6)</f>
        <v>Meets Expectations</v>
      </c>
      <c r="V1175" s="8" t="n">
        <f aca="false">IF(Q1175="","",ROUND((Q1175-B1175)*24,1))</f>
        <v>0</v>
      </c>
    </row>
    <row r="1176" customFormat="false" ht="15" hidden="false" customHeight="false" outlineLevel="0" collapsed="false">
      <c r="A1176" s="3" t="s">
        <v>2486</v>
      </c>
      <c r="B1176" s="5" t="n">
        <v>46248.5604166667</v>
      </c>
      <c r="C1176" s="3" t="s">
        <v>30</v>
      </c>
      <c r="D1176" s="3" t="s">
        <v>125</v>
      </c>
      <c r="E1176" s="3" t="s">
        <v>126</v>
      </c>
      <c r="F1176" s="3" t="s">
        <v>53</v>
      </c>
      <c r="G1176" s="3" t="s">
        <v>54</v>
      </c>
      <c r="H1176" s="3" t="s">
        <v>2487</v>
      </c>
      <c r="I1176" s="3" t="n">
        <v>5</v>
      </c>
      <c r="J1176" s="3" t="n">
        <v>4</v>
      </c>
      <c r="K1176" s="3" t="n">
        <v>5</v>
      </c>
      <c r="L1176" s="3" t="n">
        <v>4</v>
      </c>
      <c r="M1176" s="3" t="n">
        <v>4</v>
      </c>
      <c r="N1176" s="3" t="n">
        <v>0</v>
      </c>
      <c r="O1176" s="6" t="b">
        <f aca="false">TRUE()</f>
        <v>1</v>
      </c>
      <c r="P1176" s="3" t="s">
        <v>36</v>
      </c>
      <c r="Q1176" s="5" t="n">
        <v>46248.5611111111</v>
      </c>
      <c r="R1176" s="5" t="n">
        <v>46249.04375</v>
      </c>
      <c r="S1176" s="3" t="s">
        <v>1699</v>
      </c>
      <c r="T1176" s="7" t="n">
        <f aca="false">ROUND(MIN(IF(OR(O1176=TRUE(),O1176="TRUE",O1176="Yes"),59,100),(I1176*Rubric!$C$2+J1176*Rubric!$C$3+K1176*Rubric!$C$4+L1176*Rubric!$C$5+M1176*Rubric!$C$6+N1176*Rubric!$C$7)/5),1)</f>
        <v>59</v>
      </c>
      <c r="U1176" s="8" t="str">
        <f aca="false">LOOKUP(T1176,Bands!$A$2:$A$6,Bands!$B$2:$B$6)</f>
        <v>Critical</v>
      </c>
      <c r="V1176" s="8" t="n">
        <f aca="false">IF(Q1176="","",ROUND((Q1176-B1176)*24,1))</f>
        <v>0</v>
      </c>
    </row>
    <row r="1177" customFormat="false" ht="15" hidden="false" customHeight="false" outlineLevel="0" collapsed="false">
      <c r="A1177" s="3" t="s">
        <v>2488</v>
      </c>
      <c r="B1177" s="5" t="n">
        <v>46248.4583333333</v>
      </c>
      <c r="C1177" s="3" t="s">
        <v>30</v>
      </c>
      <c r="D1177" s="3" t="s">
        <v>105</v>
      </c>
      <c r="E1177" s="3" t="s">
        <v>106</v>
      </c>
      <c r="F1177" s="3" t="s">
        <v>65</v>
      </c>
      <c r="G1177" s="3" t="s">
        <v>42</v>
      </c>
      <c r="H1177" s="3" t="s">
        <v>2489</v>
      </c>
      <c r="I1177" s="3" t="n">
        <v>4</v>
      </c>
      <c r="J1177" s="3" t="n">
        <v>4</v>
      </c>
      <c r="K1177" s="3" t="n">
        <v>4</v>
      </c>
      <c r="L1177" s="3" t="n">
        <v>4</v>
      </c>
      <c r="M1177" s="3" t="n">
        <v>5</v>
      </c>
      <c r="N1177" s="3" t="n">
        <v>3</v>
      </c>
      <c r="O1177" s="6" t="b">
        <f aca="false">FALSE()</f>
        <v>0</v>
      </c>
      <c r="P1177" s="3"/>
      <c r="Q1177" s="5" t="n">
        <v>46248.4590277778</v>
      </c>
      <c r="R1177" s="5" t="n">
        <v>46249.1951388889</v>
      </c>
      <c r="S1177" s="3" t="s">
        <v>1699</v>
      </c>
      <c r="T1177" s="7" t="n">
        <f aca="false">ROUND(MIN(IF(OR(O1177=TRUE(),O1177="TRUE",O1177="Yes"),59,100),(I1177*Rubric!$C$2+J1177*Rubric!$C$3+K1177*Rubric!$C$4+L1177*Rubric!$C$5+M1177*Rubric!$C$6+N1177*Rubric!$C$7)/5),1)</f>
        <v>79</v>
      </c>
      <c r="U1177" s="8" t="str">
        <f aca="false">LOOKUP(T1177,Bands!$A$2:$A$6,Bands!$B$2:$B$6)</f>
        <v>Meets Expectations</v>
      </c>
      <c r="V1177" s="8" t="n">
        <f aca="false">IF(Q1177="","",ROUND((Q1177-B1177)*24,1))</f>
        <v>0</v>
      </c>
    </row>
    <row r="1178" customFormat="false" ht="15" hidden="false" customHeight="false" outlineLevel="0" collapsed="false">
      <c r="A1178" s="3" t="s">
        <v>2490</v>
      </c>
      <c r="B1178" s="5" t="n">
        <v>46251.55</v>
      </c>
      <c r="C1178" s="3" t="s">
        <v>68</v>
      </c>
      <c r="D1178" s="3" t="s">
        <v>73</v>
      </c>
      <c r="E1178" s="3" t="s">
        <v>74</v>
      </c>
      <c r="F1178" s="3" t="s">
        <v>33</v>
      </c>
      <c r="G1178" s="3" t="s">
        <v>54</v>
      </c>
      <c r="H1178" s="3" t="s">
        <v>2491</v>
      </c>
      <c r="I1178" s="3" t="n">
        <v>5</v>
      </c>
      <c r="J1178" s="3" t="n">
        <v>5</v>
      </c>
      <c r="K1178" s="3" t="n">
        <v>3</v>
      </c>
      <c r="L1178" s="3" t="n">
        <v>4</v>
      </c>
      <c r="M1178" s="3" t="n">
        <v>4</v>
      </c>
      <c r="N1178" s="3" t="n">
        <v>2</v>
      </c>
      <c r="O1178" s="6" t="b">
        <f aca="false">FALSE()</f>
        <v>0</v>
      </c>
      <c r="P1178" s="3" t="s">
        <v>36</v>
      </c>
      <c r="Q1178" s="5" t="n">
        <v>46251.5520833333</v>
      </c>
      <c r="R1178" s="5" t="n">
        <v>46251.7875</v>
      </c>
      <c r="S1178" s="3" t="s">
        <v>1699</v>
      </c>
      <c r="T1178" s="7" t="n">
        <f aca="false">ROUND(MIN(IF(OR(O1178=TRUE(),O1178="TRUE",O1178="Yes"),59,100),(I1178*Rubric!$C$2+J1178*Rubric!$C$3+K1178*Rubric!$C$4+L1178*Rubric!$C$5+M1178*Rubric!$C$6+N1178*Rubric!$C$7)/5),1)</f>
        <v>78</v>
      </c>
      <c r="U1178" s="8" t="str">
        <f aca="false">LOOKUP(T1178,Bands!$A$2:$A$6,Bands!$B$2:$B$6)</f>
        <v>Meets Expectations</v>
      </c>
      <c r="V1178" s="8" t="n">
        <f aca="false">IF(Q1178="","",ROUND((Q1178-B1178)*24,1))</f>
        <v>0</v>
      </c>
    </row>
    <row r="1179" customFormat="false" ht="15" hidden="false" customHeight="false" outlineLevel="0" collapsed="false">
      <c r="A1179" s="3" t="s">
        <v>2492</v>
      </c>
      <c r="B1179" s="5" t="n">
        <v>46251.6583333333</v>
      </c>
      <c r="C1179" s="3" t="s">
        <v>68</v>
      </c>
      <c r="D1179" s="3" t="s">
        <v>40</v>
      </c>
      <c r="E1179" s="3" t="s">
        <v>41</v>
      </c>
      <c r="F1179" s="3" t="s">
        <v>33</v>
      </c>
      <c r="G1179" s="3" t="s">
        <v>42</v>
      </c>
      <c r="H1179" s="3" t="s">
        <v>2493</v>
      </c>
      <c r="I1179" s="3" t="n">
        <v>3</v>
      </c>
      <c r="J1179" s="3" t="n">
        <v>4</v>
      </c>
      <c r="K1179" s="3" t="n">
        <v>4</v>
      </c>
      <c r="L1179" s="3" t="n">
        <v>4</v>
      </c>
      <c r="M1179" s="3" t="n">
        <v>5</v>
      </c>
      <c r="N1179" s="3" t="n">
        <v>4</v>
      </c>
      <c r="O1179" s="6" t="b">
        <f aca="false">FALSE()</f>
        <v>0</v>
      </c>
      <c r="P1179" s="3"/>
      <c r="Q1179" s="5" t="n">
        <v>46251.6604166667</v>
      </c>
      <c r="R1179" s="5" t="n">
        <v>46252.1319444445</v>
      </c>
      <c r="S1179" s="3" t="s">
        <v>1699</v>
      </c>
      <c r="T1179" s="7" t="n">
        <f aca="false">ROUND(MIN(IF(OR(O1179=TRUE(),O1179="TRUE",O1179="Yes"),59,100),(I1179*Rubric!$C$2+J1179*Rubric!$C$3+K1179*Rubric!$C$4+L1179*Rubric!$C$5+M1179*Rubric!$C$6+N1179*Rubric!$C$7)/5),1)</f>
        <v>79</v>
      </c>
      <c r="U1179" s="8" t="str">
        <f aca="false">LOOKUP(T1179,Bands!$A$2:$A$6,Bands!$B$2:$B$6)</f>
        <v>Meets Expectations</v>
      </c>
      <c r="V1179" s="8" t="n">
        <f aca="false">IF(Q1179="","",ROUND((Q1179-B1179)*24,1))</f>
        <v>0.1</v>
      </c>
    </row>
    <row r="1180" customFormat="false" ht="15" hidden="false" customHeight="false" outlineLevel="0" collapsed="false">
      <c r="A1180" s="3" t="s">
        <v>2494</v>
      </c>
      <c r="B1180" s="5" t="n">
        <v>46251.4756944445</v>
      </c>
      <c r="C1180" s="3" t="s">
        <v>30</v>
      </c>
      <c r="D1180" s="3" t="s">
        <v>155</v>
      </c>
      <c r="E1180" s="3" t="s">
        <v>156</v>
      </c>
      <c r="F1180" s="3" t="s">
        <v>65</v>
      </c>
      <c r="G1180" s="3" t="s">
        <v>42</v>
      </c>
      <c r="H1180" s="3" t="s">
        <v>2495</v>
      </c>
      <c r="I1180" s="3" t="n">
        <v>3</v>
      </c>
      <c r="J1180" s="3" t="n">
        <v>5</v>
      </c>
      <c r="K1180" s="3" t="n">
        <v>4</v>
      </c>
      <c r="L1180" s="3" t="n">
        <v>3</v>
      </c>
      <c r="M1180" s="3" t="n">
        <v>4</v>
      </c>
      <c r="N1180" s="3" t="n">
        <v>4</v>
      </c>
      <c r="O1180" s="6" t="b">
        <f aca="false">FALSE()</f>
        <v>0</v>
      </c>
      <c r="P1180" s="3"/>
      <c r="Q1180" s="5" t="n">
        <v>46251.4770833333</v>
      </c>
      <c r="R1180" s="5" t="n">
        <v>46251.5916666667</v>
      </c>
      <c r="S1180" s="3" t="s">
        <v>1699</v>
      </c>
      <c r="T1180" s="7" t="n">
        <f aca="false">ROUND(MIN(IF(OR(O1180=TRUE(),O1180="TRUE",O1180="Yes"),59,100),(I1180*Rubric!$C$2+J1180*Rubric!$C$3+K1180*Rubric!$C$4+L1180*Rubric!$C$5+M1180*Rubric!$C$6+N1180*Rubric!$C$7)/5),1)</f>
        <v>79</v>
      </c>
      <c r="U1180" s="8" t="str">
        <f aca="false">LOOKUP(T1180,Bands!$A$2:$A$6,Bands!$B$2:$B$6)</f>
        <v>Meets Expectations</v>
      </c>
      <c r="V1180" s="8" t="n">
        <f aca="false">IF(Q1180="","",ROUND((Q1180-B1180)*24,1))</f>
        <v>0</v>
      </c>
    </row>
    <row r="1181" customFormat="false" ht="15" hidden="false" customHeight="false" outlineLevel="0" collapsed="false">
      <c r="A1181" s="3" t="s">
        <v>2496</v>
      </c>
      <c r="B1181" s="5" t="n">
        <v>46251.49375</v>
      </c>
      <c r="C1181" s="3" t="s">
        <v>30</v>
      </c>
      <c r="D1181" s="3" t="s">
        <v>100</v>
      </c>
      <c r="E1181" s="3" t="s">
        <v>101</v>
      </c>
      <c r="F1181" s="3" t="s">
        <v>33</v>
      </c>
      <c r="G1181" s="3" t="s">
        <v>54</v>
      </c>
      <c r="H1181" s="3" t="s">
        <v>2497</v>
      </c>
      <c r="I1181" s="3" t="n">
        <v>5</v>
      </c>
      <c r="J1181" s="3" t="n">
        <v>4</v>
      </c>
      <c r="K1181" s="3" t="n">
        <v>4</v>
      </c>
      <c r="L1181" s="3" t="n">
        <v>4</v>
      </c>
      <c r="M1181" s="3" t="n">
        <v>3</v>
      </c>
      <c r="N1181" s="3" t="n">
        <v>5</v>
      </c>
      <c r="O1181" s="6" t="b">
        <f aca="false">FALSE()</f>
        <v>0</v>
      </c>
      <c r="P1181" s="3"/>
      <c r="Q1181" s="5" t="n">
        <v>46251.4951388889</v>
      </c>
      <c r="R1181" s="5" t="n">
        <v>46251.8</v>
      </c>
      <c r="S1181" s="3" t="s">
        <v>1699</v>
      </c>
      <c r="T1181" s="7" t="n">
        <f aca="false">ROUND(MIN(IF(OR(O1181=TRUE(),O1181="TRUE",O1181="Yes"),59,100),(I1181*Rubric!$C$2+J1181*Rubric!$C$3+K1181*Rubric!$C$4+L1181*Rubric!$C$5+M1181*Rubric!$C$6+N1181*Rubric!$C$7)/5),1)</f>
        <v>84</v>
      </c>
      <c r="U1181" s="8" t="str">
        <f aca="false">LOOKUP(T1181,Bands!$A$2:$A$6,Bands!$B$2:$B$6)</f>
        <v>Solid Performance</v>
      </c>
      <c r="V1181" s="8" t="n">
        <f aca="false">IF(Q1181="","",ROUND((Q1181-B1181)*24,1))</f>
        <v>0</v>
      </c>
    </row>
    <row r="1182" customFormat="false" ht="15" hidden="false" customHeight="false" outlineLevel="0" collapsed="false">
      <c r="A1182" s="3" t="s">
        <v>2498</v>
      </c>
      <c r="B1182" s="5" t="n">
        <v>46251.6055555556</v>
      </c>
      <c r="C1182" s="3" t="s">
        <v>39</v>
      </c>
      <c r="D1182" s="3" t="s">
        <v>228</v>
      </c>
      <c r="E1182" s="3" t="s">
        <v>229</v>
      </c>
      <c r="F1182" s="3" t="s">
        <v>65</v>
      </c>
      <c r="G1182" s="3" t="s">
        <v>54</v>
      </c>
      <c r="H1182" s="3" t="s">
        <v>2499</v>
      </c>
      <c r="I1182" s="3" t="n">
        <v>3</v>
      </c>
      <c r="J1182" s="3" t="n">
        <v>3</v>
      </c>
      <c r="K1182" s="3" t="n">
        <v>3</v>
      </c>
      <c r="L1182" s="3" t="n">
        <v>3</v>
      </c>
      <c r="M1182" s="3" t="n">
        <v>3</v>
      </c>
      <c r="N1182" s="3" t="n">
        <v>3</v>
      </c>
      <c r="O1182" s="6" t="b">
        <f aca="false">FALSE()</f>
        <v>0</v>
      </c>
      <c r="P1182" s="3"/>
      <c r="Q1182" s="5" t="n">
        <v>46251.6076388889</v>
      </c>
      <c r="R1182" s="5" t="n">
        <v>46251.6236111111</v>
      </c>
      <c r="S1182" s="3" t="s">
        <v>1699</v>
      </c>
      <c r="T1182" s="7" t="n">
        <f aca="false">ROUND(MIN(IF(OR(O1182=TRUE(),O1182="TRUE",O1182="Yes"),59,100),(I1182*Rubric!$C$2+J1182*Rubric!$C$3+K1182*Rubric!$C$4+L1182*Rubric!$C$5+M1182*Rubric!$C$6+N1182*Rubric!$C$7)/5),1)</f>
        <v>60</v>
      </c>
      <c r="U1182" s="8" t="str">
        <f aca="false">LOOKUP(T1182,Bands!$A$2:$A$6,Bands!$B$2:$B$6)</f>
        <v>Needs Improvement</v>
      </c>
      <c r="V1182" s="8" t="n">
        <f aca="false">IF(Q1182="","",ROUND((Q1182-B1182)*24,1))</f>
        <v>0</v>
      </c>
    </row>
    <row r="1183" customFormat="false" ht="15" hidden="false" customHeight="false" outlineLevel="0" collapsed="false">
      <c r="A1183" s="3" t="s">
        <v>2500</v>
      </c>
      <c r="B1183" s="5" t="n">
        <v>46251.3909722222</v>
      </c>
      <c r="C1183" s="3" t="s">
        <v>68</v>
      </c>
      <c r="D1183" s="3" t="s">
        <v>161</v>
      </c>
      <c r="E1183" s="3" t="s">
        <v>162</v>
      </c>
      <c r="F1183" s="3" t="s">
        <v>33</v>
      </c>
      <c r="G1183" s="3" t="s">
        <v>54</v>
      </c>
      <c r="H1183" s="3" t="s">
        <v>2501</v>
      </c>
      <c r="I1183" s="3" t="n">
        <v>5</v>
      </c>
      <c r="J1183" s="3" t="n">
        <v>4</v>
      </c>
      <c r="K1183" s="3" t="n">
        <v>4</v>
      </c>
      <c r="L1183" s="3" t="n">
        <v>4</v>
      </c>
      <c r="M1183" s="3" t="n">
        <v>3</v>
      </c>
      <c r="N1183" s="3" t="n">
        <v>4</v>
      </c>
      <c r="O1183" s="6" t="b">
        <f aca="false">FALSE()</f>
        <v>0</v>
      </c>
      <c r="P1183" s="3"/>
      <c r="Q1183" s="5" t="n">
        <v>46251.3916666667</v>
      </c>
      <c r="R1183" s="5" t="n">
        <v>46251.4097222222</v>
      </c>
      <c r="S1183" s="3" t="s">
        <v>1699</v>
      </c>
      <c r="T1183" s="7" t="n">
        <f aca="false">ROUND(MIN(IF(OR(O1183=TRUE(),O1183="TRUE",O1183="Yes"),59,100),(I1183*Rubric!$C$2+J1183*Rubric!$C$3+K1183*Rubric!$C$4+L1183*Rubric!$C$5+M1183*Rubric!$C$6+N1183*Rubric!$C$7)/5),1)</f>
        <v>81</v>
      </c>
      <c r="U1183" s="8" t="str">
        <f aca="false">LOOKUP(T1183,Bands!$A$2:$A$6,Bands!$B$2:$B$6)</f>
        <v>Solid Performance</v>
      </c>
      <c r="V1183" s="8" t="n">
        <f aca="false">IF(Q1183="","",ROUND((Q1183-B1183)*24,1))</f>
        <v>0</v>
      </c>
    </row>
    <row r="1184" customFormat="false" ht="15" hidden="false" customHeight="false" outlineLevel="0" collapsed="false">
      <c r="A1184" s="3" t="s">
        <v>2502</v>
      </c>
      <c r="B1184" s="5" t="n">
        <v>46251.4173611111</v>
      </c>
      <c r="C1184" s="3" t="s">
        <v>39</v>
      </c>
      <c r="D1184" s="3" t="s">
        <v>51</v>
      </c>
      <c r="E1184" s="3" t="s">
        <v>52</v>
      </c>
      <c r="F1184" s="3" t="s">
        <v>53</v>
      </c>
      <c r="G1184" s="3" t="s">
        <v>54</v>
      </c>
      <c r="H1184" s="3" t="s">
        <v>2503</v>
      </c>
      <c r="I1184" s="3" t="n">
        <v>4</v>
      </c>
      <c r="J1184" s="3" t="n">
        <v>5</v>
      </c>
      <c r="K1184" s="3" t="n">
        <v>5</v>
      </c>
      <c r="L1184" s="3" t="n">
        <v>5</v>
      </c>
      <c r="M1184" s="3" t="n">
        <v>4</v>
      </c>
      <c r="N1184" s="3" t="n">
        <v>4</v>
      </c>
      <c r="O1184" s="6" t="b">
        <f aca="false">FALSE()</f>
        <v>0</v>
      </c>
      <c r="P1184" s="3"/>
      <c r="Q1184" s="5" t="n">
        <v>46251.4194444444</v>
      </c>
      <c r="R1184" s="5" t="n">
        <v>46251.85625</v>
      </c>
      <c r="S1184" s="3" t="s">
        <v>1699</v>
      </c>
      <c r="T1184" s="7" t="n">
        <f aca="false">ROUND(MIN(IF(OR(O1184=TRUE(),O1184="TRUE",O1184="Yes"),59,100),(I1184*Rubric!$C$2+J1184*Rubric!$C$3+K1184*Rubric!$C$4+L1184*Rubric!$C$5+M1184*Rubric!$C$6+N1184*Rubric!$C$7)/5),1)</f>
        <v>92</v>
      </c>
      <c r="U1184" s="8" t="str">
        <f aca="false">LOOKUP(T1184,Bands!$A$2:$A$6,Bands!$B$2:$B$6)</f>
        <v>Outstanding</v>
      </c>
      <c r="V1184" s="8" t="n">
        <f aca="false">IF(Q1184="","",ROUND((Q1184-B1184)*24,1))</f>
        <v>0</v>
      </c>
    </row>
    <row r="1185" customFormat="false" ht="15" hidden="false" customHeight="false" outlineLevel="0" collapsed="false">
      <c r="A1185" s="3" t="s">
        <v>2504</v>
      </c>
      <c r="B1185" s="5" t="n">
        <v>46251.5388888889</v>
      </c>
      <c r="C1185" s="3" t="s">
        <v>39</v>
      </c>
      <c r="D1185" s="3" t="s">
        <v>151</v>
      </c>
      <c r="E1185" s="3" t="s">
        <v>152</v>
      </c>
      <c r="F1185" s="3" t="s">
        <v>33</v>
      </c>
      <c r="G1185" s="3" t="s">
        <v>42</v>
      </c>
      <c r="H1185" s="3" t="s">
        <v>2505</v>
      </c>
      <c r="I1185" s="3" t="n">
        <v>5</v>
      </c>
      <c r="J1185" s="3" t="n">
        <v>4</v>
      </c>
      <c r="K1185" s="3" t="n">
        <v>4</v>
      </c>
      <c r="L1185" s="3" t="n">
        <v>4</v>
      </c>
      <c r="M1185" s="3" t="n">
        <v>4</v>
      </c>
      <c r="N1185" s="3" t="n">
        <v>4</v>
      </c>
      <c r="O1185" s="6" t="b">
        <f aca="false">FALSE()</f>
        <v>0</v>
      </c>
      <c r="P1185" s="3"/>
      <c r="Q1185" s="5" t="n">
        <v>46251.5402777778</v>
      </c>
      <c r="R1185" s="5" t="n">
        <v>46251.6277777778</v>
      </c>
      <c r="S1185" s="3" t="s">
        <v>1699</v>
      </c>
      <c r="T1185" s="7" t="n">
        <f aca="false">ROUND(MIN(IF(OR(O1185=TRUE(),O1185="TRUE",O1185="Yes"),59,100),(I1185*Rubric!$C$2+J1185*Rubric!$C$3+K1185*Rubric!$C$4+L1185*Rubric!$C$5+M1185*Rubric!$C$6+N1185*Rubric!$C$7)/5),1)</f>
        <v>83</v>
      </c>
      <c r="U1185" s="8" t="str">
        <f aca="false">LOOKUP(T1185,Bands!$A$2:$A$6,Bands!$B$2:$B$6)</f>
        <v>Solid Performance</v>
      </c>
      <c r="V1185" s="8" t="n">
        <f aca="false">IF(Q1185="","",ROUND((Q1185-B1185)*24,1))</f>
        <v>0</v>
      </c>
    </row>
    <row r="1186" customFormat="false" ht="15" hidden="false" customHeight="false" outlineLevel="0" collapsed="false">
      <c r="A1186" s="3" t="s">
        <v>2506</v>
      </c>
      <c r="B1186" s="5" t="n">
        <v>46251.5604166667</v>
      </c>
      <c r="C1186" s="3" t="s">
        <v>30</v>
      </c>
      <c r="D1186" s="3" t="s">
        <v>145</v>
      </c>
      <c r="E1186" s="3" t="s">
        <v>146</v>
      </c>
      <c r="F1186" s="3" t="s">
        <v>33</v>
      </c>
      <c r="G1186" s="3" t="s">
        <v>54</v>
      </c>
      <c r="H1186" s="3" t="s">
        <v>2507</v>
      </c>
      <c r="I1186" s="3" t="n">
        <v>4</v>
      </c>
      <c r="J1186" s="3" t="n">
        <v>3</v>
      </c>
      <c r="K1186" s="3" t="n">
        <v>4</v>
      </c>
      <c r="L1186" s="3" t="n">
        <v>4</v>
      </c>
      <c r="M1186" s="3" t="n">
        <v>4</v>
      </c>
      <c r="N1186" s="3" t="n">
        <v>4</v>
      </c>
      <c r="O1186" s="6" t="b">
        <f aca="false">FALSE()</f>
        <v>0</v>
      </c>
      <c r="P1186" s="3"/>
      <c r="Q1186" s="5" t="n">
        <v>46251.5611111111</v>
      </c>
      <c r="R1186" s="5" t="n">
        <v>46251.63125</v>
      </c>
      <c r="S1186" s="3" t="s">
        <v>1699</v>
      </c>
      <c r="T1186" s="7" t="n">
        <f aca="false">ROUND(MIN(IF(OR(O1186=TRUE(),O1186="TRUE",O1186="Yes"),59,100),(I1186*Rubric!$C$2+J1186*Rubric!$C$3+K1186*Rubric!$C$4+L1186*Rubric!$C$5+M1186*Rubric!$C$6+N1186*Rubric!$C$7)/5),1)</f>
        <v>75</v>
      </c>
      <c r="U1186" s="8" t="str">
        <f aca="false">LOOKUP(T1186,Bands!$A$2:$A$6,Bands!$B$2:$B$6)</f>
        <v>Meets Expectations</v>
      </c>
      <c r="V1186" s="8" t="n">
        <f aca="false">IF(Q1186="","",ROUND((Q1186-B1186)*24,1))</f>
        <v>0</v>
      </c>
    </row>
    <row r="1187" customFormat="false" ht="15" hidden="false" customHeight="false" outlineLevel="0" collapsed="false">
      <c r="A1187" s="3" t="s">
        <v>2508</v>
      </c>
      <c r="B1187" s="5" t="n">
        <v>46251.5083333333</v>
      </c>
      <c r="C1187" s="3" t="s">
        <v>68</v>
      </c>
      <c r="D1187" s="3" t="s">
        <v>194</v>
      </c>
      <c r="E1187" s="3" t="s">
        <v>195</v>
      </c>
      <c r="F1187" s="3" t="s">
        <v>53</v>
      </c>
      <c r="G1187" s="3" t="s">
        <v>54</v>
      </c>
      <c r="H1187" s="3" t="s">
        <v>2509</v>
      </c>
      <c r="I1187" s="3" t="n">
        <v>4</v>
      </c>
      <c r="J1187" s="3" t="n">
        <v>4</v>
      </c>
      <c r="K1187" s="3" t="n">
        <v>4</v>
      </c>
      <c r="L1187" s="3" t="n">
        <v>3</v>
      </c>
      <c r="M1187" s="3" t="n">
        <v>5</v>
      </c>
      <c r="N1187" s="3" t="n">
        <v>4</v>
      </c>
      <c r="O1187" s="6" t="b">
        <f aca="false">FALSE()</f>
        <v>0</v>
      </c>
      <c r="P1187" s="3"/>
      <c r="Q1187" s="5" t="n">
        <v>46251.5090277778</v>
      </c>
      <c r="R1187" s="5" t="n">
        <v>46251.78125</v>
      </c>
      <c r="S1187" s="3" t="s">
        <v>1699</v>
      </c>
      <c r="T1187" s="7" t="n">
        <f aca="false">ROUND(MIN(IF(OR(O1187=TRUE(),O1187="TRUE",O1187="Yes"),59,100),(I1187*Rubric!$C$2+J1187*Rubric!$C$3+K1187*Rubric!$C$4+L1187*Rubric!$C$5+M1187*Rubric!$C$6+N1187*Rubric!$C$7)/5),1)</f>
        <v>79</v>
      </c>
      <c r="U1187" s="8" t="str">
        <f aca="false">LOOKUP(T1187,Bands!$A$2:$A$6,Bands!$B$2:$B$6)</f>
        <v>Meets Expectations</v>
      </c>
      <c r="V1187" s="8" t="n">
        <f aca="false">IF(Q1187="","",ROUND((Q1187-B1187)*24,1))</f>
        <v>0</v>
      </c>
    </row>
    <row r="1188" customFormat="false" ht="15" hidden="false" customHeight="false" outlineLevel="0" collapsed="false">
      <c r="A1188" s="3" t="s">
        <v>2510</v>
      </c>
      <c r="B1188" s="5" t="n">
        <v>46251.6486111111</v>
      </c>
      <c r="C1188" s="3" t="s">
        <v>68</v>
      </c>
      <c r="D1188" s="3" t="s">
        <v>96</v>
      </c>
      <c r="E1188" s="3" t="s">
        <v>97</v>
      </c>
      <c r="F1188" s="3" t="s">
        <v>33</v>
      </c>
      <c r="G1188" s="3" t="s">
        <v>54</v>
      </c>
      <c r="H1188" s="3" t="s">
        <v>2511</v>
      </c>
      <c r="I1188" s="3" t="n">
        <v>5</v>
      </c>
      <c r="J1188" s="3" t="n">
        <v>4</v>
      </c>
      <c r="K1188" s="3" t="n">
        <v>5</v>
      </c>
      <c r="L1188" s="3" t="n">
        <v>5</v>
      </c>
      <c r="M1188" s="3" t="n">
        <v>4</v>
      </c>
      <c r="N1188" s="3" t="n">
        <v>4</v>
      </c>
      <c r="O1188" s="6" t="b">
        <f aca="false">FALSE()</f>
        <v>0</v>
      </c>
      <c r="P1188" s="3"/>
      <c r="Q1188" s="5" t="n">
        <v>46251.65</v>
      </c>
      <c r="R1188" s="5" t="n">
        <v>46251.8034722222</v>
      </c>
      <c r="S1188" s="3" t="s">
        <v>1699</v>
      </c>
      <c r="T1188" s="7" t="n">
        <f aca="false">ROUND(MIN(IF(OR(O1188=TRUE(),O1188="TRUE",O1188="Yes"),59,100),(I1188*Rubric!$C$2+J1188*Rubric!$C$3+K1188*Rubric!$C$4+L1188*Rubric!$C$5+M1188*Rubric!$C$6+N1188*Rubric!$C$7)/5),1)</f>
        <v>90</v>
      </c>
      <c r="U1188" s="8" t="str">
        <f aca="false">LOOKUP(T1188,Bands!$A$2:$A$6,Bands!$B$2:$B$6)</f>
        <v>Outstanding</v>
      </c>
      <c r="V1188" s="8" t="n">
        <f aca="false">IF(Q1188="","",ROUND((Q1188-B1188)*24,1))</f>
        <v>0</v>
      </c>
    </row>
    <row r="1189" customFormat="false" ht="15" hidden="false" customHeight="false" outlineLevel="0" collapsed="false">
      <c r="A1189" s="3" t="s">
        <v>2512</v>
      </c>
      <c r="B1189" s="5" t="n">
        <v>46251.6618055556</v>
      </c>
      <c r="C1189" s="3" t="s">
        <v>39</v>
      </c>
      <c r="D1189" s="3" t="s">
        <v>251</v>
      </c>
      <c r="E1189" s="3" t="s">
        <v>252</v>
      </c>
      <c r="F1189" s="3" t="s">
        <v>53</v>
      </c>
      <c r="G1189" s="3" t="s">
        <v>54</v>
      </c>
      <c r="H1189" s="3" t="s">
        <v>2513</v>
      </c>
      <c r="I1189" s="3" t="n">
        <v>4</v>
      </c>
      <c r="J1189" s="3" t="n">
        <v>4</v>
      </c>
      <c r="K1189" s="3" t="n">
        <v>4</v>
      </c>
      <c r="L1189" s="3" t="n">
        <v>5</v>
      </c>
      <c r="M1189" s="3" t="n">
        <v>3</v>
      </c>
      <c r="N1189" s="3" t="n">
        <v>1</v>
      </c>
      <c r="O1189" s="6" t="b">
        <f aca="false">TRUE()</f>
        <v>1</v>
      </c>
      <c r="P1189" s="3" t="s">
        <v>36</v>
      </c>
      <c r="Q1189" s="5" t="n">
        <v>46251.6638888889</v>
      </c>
      <c r="R1189" s="5" t="n">
        <v>46251.7166666667</v>
      </c>
      <c r="S1189" s="3" t="s">
        <v>1699</v>
      </c>
      <c r="T1189" s="7" t="n">
        <f aca="false">ROUND(MIN(IF(OR(O1189=TRUE(),O1189="TRUE",O1189="Yes"),59,100),(I1189*Rubric!$C$2+J1189*Rubric!$C$3+K1189*Rubric!$C$4+L1189*Rubric!$C$5+M1189*Rubric!$C$6+N1189*Rubric!$C$7)/5),1)</f>
        <v>59</v>
      </c>
      <c r="U1189" s="8" t="str">
        <f aca="false">LOOKUP(T1189,Bands!$A$2:$A$6,Bands!$B$2:$B$6)</f>
        <v>Critical</v>
      </c>
      <c r="V1189" s="8" t="n">
        <f aca="false">IF(Q1189="","",ROUND((Q1189-B1189)*24,1))</f>
        <v>0</v>
      </c>
    </row>
    <row r="1190" customFormat="false" ht="15" hidden="false" customHeight="false" outlineLevel="0" collapsed="false">
      <c r="A1190" s="3" t="s">
        <v>2514</v>
      </c>
      <c r="B1190" s="5" t="n">
        <v>46252.5611111111</v>
      </c>
      <c r="C1190" s="3" t="s">
        <v>39</v>
      </c>
      <c r="D1190" s="3" t="s">
        <v>111</v>
      </c>
      <c r="E1190" s="3" t="s">
        <v>112</v>
      </c>
      <c r="F1190" s="3" t="s">
        <v>33</v>
      </c>
      <c r="G1190" s="3" t="s">
        <v>42</v>
      </c>
      <c r="H1190" s="3" t="s">
        <v>2515</v>
      </c>
      <c r="I1190" s="3" t="n">
        <v>3</v>
      </c>
      <c r="J1190" s="3" t="n">
        <v>3</v>
      </c>
      <c r="K1190" s="3" t="n">
        <v>4</v>
      </c>
      <c r="L1190" s="3" t="n">
        <v>5</v>
      </c>
      <c r="M1190" s="3" t="n">
        <v>4</v>
      </c>
      <c r="N1190" s="3" t="n">
        <v>5</v>
      </c>
      <c r="O1190" s="6" t="b">
        <f aca="false">FALSE()</f>
        <v>0</v>
      </c>
      <c r="P1190" s="3"/>
      <c r="Q1190" s="5" t="n">
        <v>46252.5625</v>
      </c>
      <c r="R1190" s="5" t="n">
        <v>46252.7673611111</v>
      </c>
      <c r="S1190" s="3" t="s">
        <v>1699</v>
      </c>
      <c r="T1190" s="7" t="n">
        <f aca="false">ROUND(MIN(IF(OR(O1190=TRUE(),O1190="TRUE",O1190="Yes"),59,100),(I1190*Rubric!$C$2+J1190*Rubric!$C$3+K1190*Rubric!$C$4+L1190*Rubric!$C$5+M1190*Rubric!$C$6+N1190*Rubric!$C$7)/5),1)</f>
        <v>78</v>
      </c>
      <c r="U1190" s="8" t="str">
        <f aca="false">LOOKUP(T1190,Bands!$A$2:$A$6,Bands!$B$2:$B$6)</f>
        <v>Meets Expectations</v>
      </c>
      <c r="V1190" s="8" t="n">
        <f aca="false">IF(Q1190="","",ROUND((Q1190-B1190)*24,1))</f>
        <v>0</v>
      </c>
    </row>
    <row r="1191" customFormat="false" ht="15" hidden="false" customHeight="false" outlineLevel="0" collapsed="false">
      <c r="A1191" s="3" t="s">
        <v>2516</v>
      </c>
      <c r="B1191" s="5" t="n">
        <v>46252.4791666667</v>
      </c>
      <c r="C1191" s="3" t="s">
        <v>68</v>
      </c>
      <c r="D1191" s="3" t="s">
        <v>51</v>
      </c>
      <c r="E1191" s="3" t="s">
        <v>52</v>
      </c>
      <c r="F1191" s="3" t="s">
        <v>53</v>
      </c>
      <c r="G1191" s="3" t="s">
        <v>54</v>
      </c>
      <c r="H1191" s="3" t="s">
        <v>2517</v>
      </c>
      <c r="I1191" s="3" t="n">
        <v>4</v>
      </c>
      <c r="J1191" s="3" t="n">
        <v>4</v>
      </c>
      <c r="K1191" s="3" t="n">
        <v>4</v>
      </c>
      <c r="L1191" s="3" t="n">
        <v>4</v>
      </c>
      <c r="M1191" s="3" t="n">
        <v>5</v>
      </c>
      <c r="N1191" s="3" t="n">
        <v>4</v>
      </c>
      <c r="O1191" s="6" t="b">
        <f aca="false">FALSE()</f>
        <v>0</v>
      </c>
      <c r="P1191" s="3"/>
      <c r="Q1191" s="5" t="n">
        <v>46252.4798611111</v>
      </c>
      <c r="R1191" s="5" t="n">
        <v>46252.6590277778</v>
      </c>
      <c r="S1191" s="3" t="s">
        <v>1699</v>
      </c>
      <c r="T1191" s="7" t="n">
        <f aca="false">ROUND(MIN(IF(OR(O1191=TRUE(),O1191="TRUE",O1191="Yes"),59,100),(I1191*Rubric!$C$2+J1191*Rubric!$C$3+K1191*Rubric!$C$4+L1191*Rubric!$C$5+M1191*Rubric!$C$6+N1191*Rubric!$C$7)/5),1)</f>
        <v>82</v>
      </c>
      <c r="U1191" s="8" t="str">
        <f aca="false">LOOKUP(T1191,Bands!$A$2:$A$6,Bands!$B$2:$B$6)</f>
        <v>Solid Performance</v>
      </c>
      <c r="V1191" s="8" t="n">
        <f aca="false">IF(Q1191="","",ROUND((Q1191-B1191)*24,1))</f>
        <v>0</v>
      </c>
    </row>
    <row r="1192" customFormat="false" ht="15" hidden="false" customHeight="false" outlineLevel="0" collapsed="false">
      <c r="A1192" s="3" t="s">
        <v>2518</v>
      </c>
      <c r="B1192" s="5" t="n">
        <v>46252.4006944444</v>
      </c>
      <c r="C1192" s="3" t="s">
        <v>68</v>
      </c>
      <c r="D1192" s="3" t="s">
        <v>145</v>
      </c>
      <c r="E1192" s="3" t="s">
        <v>146</v>
      </c>
      <c r="F1192" s="3" t="s">
        <v>33</v>
      </c>
      <c r="G1192" s="3" t="s">
        <v>42</v>
      </c>
      <c r="H1192" s="3" t="s">
        <v>2519</v>
      </c>
      <c r="I1192" s="3" t="n">
        <v>4</v>
      </c>
      <c r="J1192" s="3" t="n">
        <v>3</v>
      </c>
      <c r="K1192" s="3" t="n">
        <v>4</v>
      </c>
      <c r="L1192" s="3" t="n">
        <v>4</v>
      </c>
      <c r="M1192" s="3" t="n">
        <v>4</v>
      </c>
      <c r="N1192" s="3" t="n">
        <v>3</v>
      </c>
      <c r="O1192" s="6" t="b">
        <f aca="false">FALSE()</f>
        <v>0</v>
      </c>
      <c r="P1192" s="3"/>
      <c r="Q1192" s="5" t="n">
        <v>46252.4027777778</v>
      </c>
      <c r="R1192" s="5" t="n">
        <v>46252.525</v>
      </c>
      <c r="S1192" s="3" t="s">
        <v>1699</v>
      </c>
      <c r="T1192" s="7" t="n">
        <f aca="false">ROUND(MIN(IF(OR(O1192=TRUE(),O1192="TRUE",O1192="Yes"),59,100),(I1192*Rubric!$C$2+J1192*Rubric!$C$3+K1192*Rubric!$C$4+L1192*Rubric!$C$5+M1192*Rubric!$C$6+N1192*Rubric!$C$7)/5),1)</f>
        <v>72</v>
      </c>
      <c r="U1192" s="8" t="str">
        <f aca="false">LOOKUP(T1192,Bands!$A$2:$A$6,Bands!$B$2:$B$6)</f>
        <v>Meets Expectations</v>
      </c>
      <c r="V1192" s="8" t="n">
        <f aca="false">IF(Q1192="","",ROUND((Q1192-B1192)*24,1))</f>
        <v>0.1</v>
      </c>
    </row>
    <row r="1193" customFormat="false" ht="15" hidden="false" customHeight="false" outlineLevel="0" collapsed="false">
      <c r="A1193" s="3" t="s">
        <v>2520</v>
      </c>
      <c r="B1193" s="5" t="n">
        <v>46252.5701388889</v>
      </c>
      <c r="C1193" s="3" t="s">
        <v>68</v>
      </c>
      <c r="D1193" s="3" t="s">
        <v>366</v>
      </c>
      <c r="E1193" s="3" t="s">
        <v>367</v>
      </c>
      <c r="F1193" s="3" t="s">
        <v>53</v>
      </c>
      <c r="G1193" s="3" t="s">
        <v>42</v>
      </c>
      <c r="H1193" s="3" t="s">
        <v>2521</v>
      </c>
      <c r="I1193" s="3" t="n">
        <v>3</v>
      </c>
      <c r="J1193" s="3" t="n">
        <v>4</v>
      </c>
      <c r="K1193" s="3" t="n">
        <v>4</v>
      </c>
      <c r="L1193" s="3" t="n">
        <v>4</v>
      </c>
      <c r="M1193" s="3" t="n">
        <v>4</v>
      </c>
      <c r="N1193" s="3" t="n">
        <v>4</v>
      </c>
      <c r="O1193" s="6" t="b">
        <f aca="false">FALSE()</f>
        <v>0</v>
      </c>
      <c r="P1193" s="3"/>
      <c r="Q1193" s="5" t="n">
        <v>46252.5715277778</v>
      </c>
      <c r="R1193" s="5" t="n">
        <v>46252.5763888889</v>
      </c>
      <c r="S1193" s="3" t="s">
        <v>1699</v>
      </c>
      <c r="T1193" s="7" t="n">
        <f aca="false">ROUND(MIN(IF(OR(O1193=TRUE(),O1193="TRUE",O1193="Yes"),59,100),(I1193*Rubric!$C$2+J1193*Rubric!$C$3+K1193*Rubric!$C$4+L1193*Rubric!$C$5+M1193*Rubric!$C$6+N1193*Rubric!$C$7)/5),1)</f>
        <v>77</v>
      </c>
      <c r="U1193" s="8" t="str">
        <f aca="false">LOOKUP(T1193,Bands!$A$2:$A$6,Bands!$B$2:$B$6)</f>
        <v>Meets Expectations</v>
      </c>
      <c r="V1193" s="8" t="n">
        <f aca="false">IF(Q1193="","",ROUND((Q1193-B1193)*24,1))</f>
        <v>0</v>
      </c>
    </row>
    <row r="1194" customFormat="false" ht="15" hidden="false" customHeight="false" outlineLevel="0" collapsed="false">
      <c r="A1194" s="3" t="s">
        <v>2522</v>
      </c>
      <c r="B1194" s="5" t="n">
        <v>46252.5868055556</v>
      </c>
      <c r="C1194" s="3" t="s">
        <v>30</v>
      </c>
      <c r="D1194" s="3" t="s">
        <v>137</v>
      </c>
      <c r="E1194" s="3" t="s">
        <v>138</v>
      </c>
      <c r="F1194" s="3" t="s">
        <v>65</v>
      </c>
      <c r="G1194" s="3" t="s">
        <v>42</v>
      </c>
      <c r="H1194" s="3" t="s">
        <v>2523</v>
      </c>
      <c r="I1194" s="3" t="n">
        <v>4</v>
      </c>
      <c r="J1194" s="3" t="n">
        <v>4</v>
      </c>
      <c r="K1194" s="3" t="n">
        <v>4</v>
      </c>
      <c r="L1194" s="3" t="n">
        <v>4</v>
      </c>
      <c r="M1194" s="3" t="n">
        <v>4</v>
      </c>
      <c r="N1194" s="3" t="n">
        <v>5</v>
      </c>
      <c r="O1194" s="6" t="b">
        <f aca="false">FALSE()</f>
        <v>0</v>
      </c>
      <c r="P1194" s="3"/>
      <c r="Q1194" s="5" t="n">
        <v>46252.5888888889</v>
      </c>
      <c r="R1194" s="5" t="n">
        <v>46252.7180555556</v>
      </c>
      <c r="S1194" s="3" t="s">
        <v>1699</v>
      </c>
      <c r="T1194" s="7" t="n">
        <f aca="false">ROUND(MIN(IF(OR(O1194=TRUE(),O1194="TRUE",O1194="Yes"),59,100),(I1194*Rubric!$C$2+J1194*Rubric!$C$3+K1194*Rubric!$C$4+L1194*Rubric!$C$5+M1194*Rubric!$C$6+N1194*Rubric!$C$7)/5),1)</f>
        <v>83</v>
      </c>
      <c r="U1194" s="8" t="str">
        <f aca="false">LOOKUP(T1194,Bands!$A$2:$A$6,Bands!$B$2:$B$6)</f>
        <v>Solid Performance</v>
      </c>
      <c r="V1194" s="8" t="n">
        <f aca="false">IF(Q1194="","",ROUND((Q1194-B1194)*24,1))</f>
        <v>0</v>
      </c>
    </row>
    <row r="1195" customFormat="false" ht="15" hidden="false" customHeight="false" outlineLevel="0" collapsed="false">
      <c r="A1195" s="3" t="s">
        <v>2524</v>
      </c>
      <c r="B1195" s="5" t="n">
        <v>46252.3784722222</v>
      </c>
      <c r="C1195" s="3" t="s">
        <v>39</v>
      </c>
      <c r="D1195" s="3" t="s">
        <v>133</v>
      </c>
      <c r="E1195" s="3" t="s">
        <v>134</v>
      </c>
      <c r="F1195" s="3" t="s">
        <v>33</v>
      </c>
      <c r="G1195" s="3" t="s">
        <v>34</v>
      </c>
      <c r="H1195" s="3" t="s">
        <v>2525</v>
      </c>
      <c r="I1195" s="3" t="n">
        <v>5</v>
      </c>
      <c r="J1195" s="3" t="n">
        <v>3</v>
      </c>
      <c r="K1195" s="3" t="n">
        <v>5</v>
      </c>
      <c r="L1195" s="3" t="n">
        <v>4</v>
      </c>
      <c r="M1195" s="3" t="n">
        <v>4</v>
      </c>
      <c r="N1195" s="3" t="n">
        <v>4</v>
      </c>
      <c r="O1195" s="6" t="b">
        <f aca="false">FALSE()</f>
        <v>0</v>
      </c>
      <c r="P1195" s="3"/>
      <c r="Q1195" s="5" t="n">
        <v>46252.3791666667</v>
      </c>
      <c r="R1195" s="5" t="n">
        <v>46252.4145833333</v>
      </c>
      <c r="S1195" s="3" t="s">
        <v>1699</v>
      </c>
      <c r="T1195" s="7" t="n">
        <f aca="false">ROUND(MIN(IF(OR(O1195=TRUE(),O1195="TRUE",O1195="Yes"),59,100),(I1195*Rubric!$C$2+J1195*Rubric!$C$3+K1195*Rubric!$C$4+L1195*Rubric!$C$5+M1195*Rubric!$C$6+N1195*Rubric!$C$7)/5),1)</f>
        <v>82</v>
      </c>
      <c r="U1195" s="8" t="str">
        <f aca="false">LOOKUP(T1195,Bands!$A$2:$A$6,Bands!$B$2:$B$6)</f>
        <v>Solid Performance</v>
      </c>
      <c r="V1195" s="8" t="n">
        <f aca="false">IF(Q1195="","",ROUND((Q1195-B1195)*24,1))</f>
        <v>0</v>
      </c>
    </row>
    <row r="1196" customFormat="false" ht="15" hidden="false" customHeight="false" outlineLevel="0" collapsed="false">
      <c r="A1196" s="3" t="s">
        <v>2526</v>
      </c>
      <c r="B1196" s="5" t="n">
        <v>46252.575</v>
      </c>
      <c r="C1196" s="3" t="s">
        <v>68</v>
      </c>
      <c r="D1196" s="3" t="s">
        <v>293</v>
      </c>
      <c r="E1196" s="3" t="s">
        <v>294</v>
      </c>
      <c r="F1196" s="3" t="s">
        <v>65</v>
      </c>
      <c r="G1196" s="3" t="s">
        <v>42</v>
      </c>
      <c r="H1196" s="3" t="s">
        <v>2527</v>
      </c>
      <c r="I1196" s="3" t="n">
        <v>5</v>
      </c>
      <c r="J1196" s="3" t="n">
        <v>5</v>
      </c>
      <c r="K1196" s="3" t="n">
        <v>4</v>
      </c>
      <c r="L1196" s="3" t="n">
        <v>4</v>
      </c>
      <c r="M1196" s="3" t="n">
        <v>5</v>
      </c>
      <c r="N1196" s="3" t="n">
        <v>5</v>
      </c>
      <c r="O1196" s="6" t="b">
        <f aca="false">FALSE()</f>
        <v>0</v>
      </c>
      <c r="P1196" s="3"/>
      <c r="Q1196" s="5" t="n">
        <v>46252.5756944444</v>
      </c>
      <c r="R1196" s="5" t="n">
        <v>46252.6131944444</v>
      </c>
      <c r="S1196" s="3" t="s">
        <v>1699</v>
      </c>
      <c r="T1196" s="7" t="n">
        <f aca="false">ROUND(MIN(IF(OR(O1196=TRUE(),O1196="TRUE",O1196="Yes"),59,100),(I1196*Rubric!$C$2+J1196*Rubric!$C$3+K1196*Rubric!$C$4+L1196*Rubric!$C$5+M1196*Rubric!$C$6+N1196*Rubric!$C$7)/5),1)</f>
        <v>93</v>
      </c>
      <c r="U1196" s="8" t="str">
        <f aca="false">LOOKUP(T1196,Bands!$A$2:$A$6,Bands!$B$2:$B$6)</f>
        <v>Outstanding</v>
      </c>
      <c r="V1196" s="8" t="n">
        <f aca="false">IF(Q1196="","",ROUND((Q1196-B1196)*24,1))</f>
        <v>0</v>
      </c>
    </row>
    <row r="1197" customFormat="false" ht="15" hidden="false" customHeight="false" outlineLevel="0" collapsed="false">
      <c r="A1197" s="3" t="s">
        <v>2528</v>
      </c>
      <c r="B1197" s="5" t="n">
        <v>46252.6215277778</v>
      </c>
      <c r="C1197" s="3" t="s">
        <v>39</v>
      </c>
      <c r="D1197" s="3" t="s">
        <v>151</v>
      </c>
      <c r="E1197" s="3" t="s">
        <v>152</v>
      </c>
      <c r="F1197" s="3" t="s">
        <v>33</v>
      </c>
      <c r="G1197" s="3" t="s">
        <v>34</v>
      </c>
      <c r="H1197" s="3" t="s">
        <v>2529</v>
      </c>
      <c r="I1197" s="3" t="n">
        <v>4</v>
      </c>
      <c r="J1197" s="3" t="n">
        <v>3</v>
      </c>
      <c r="K1197" s="3" t="n">
        <v>3</v>
      </c>
      <c r="L1197" s="3" t="n">
        <v>4</v>
      </c>
      <c r="M1197" s="3" t="n">
        <v>4</v>
      </c>
      <c r="N1197" s="3" t="n">
        <v>5</v>
      </c>
      <c r="O1197" s="6" t="b">
        <f aca="false">FALSE()</f>
        <v>0</v>
      </c>
      <c r="P1197" s="3"/>
      <c r="Q1197" s="5" t="n">
        <v>46252.6222222222</v>
      </c>
      <c r="R1197" s="5" t="n">
        <v>46252.7284722222</v>
      </c>
      <c r="S1197" s="3" t="s">
        <v>1699</v>
      </c>
      <c r="T1197" s="7" t="n">
        <f aca="false">ROUND(MIN(IF(OR(O1197=TRUE(),O1197="TRUE",O1197="Yes"),59,100),(I1197*Rubric!$C$2+J1197*Rubric!$C$3+K1197*Rubric!$C$4+L1197*Rubric!$C$5+M1197*Rubric!$C$6+N1197*Rubric!$C$7)/5),1)</f>
        <v>74</v>
      </c>
      <c r="U1197" s="8" t="str">
        <f aca="false">LOOKUP(T1197,Bands!$A$2:$A$6,Bands!$B$2:$B$6)</f>
        <v>Meets Expectations</v>
      </c>
      <c r="V1197" s="8" t="n">
        <f aca="false">IF(Q1197="","",ROUND((Q1197-B1197)*24,1))</f>
        <v>0</v>
      </c>
    </row>
    <row r="1198" customFormat="false" ht="15" hidden="false" customHeight="false" outlineLevel="0" collapsed="false">
      <c r="A1198" s="3" t="s">
        <v>2530</v>
      </c>
      <c r="B1198" s="5" t="n">
        <v>46252.5625</v>
      </c>
      <c r="C1198" s="3" t="s">
        <v>30</v>
      </c>
      <c r="D1198" s="3" t="s">
        <v>155</v>
      </c>
      <c r="E1198" s="3" t="s">
        <v>156</v>
      </c>
      <c r="F1198" s="3" t="s">
        <v>65</v>
      </c>
      <c r="G1198" s="3" t="s">
        <v>42</v>
      </c>
      <c r="H1198" s="3" t="s">
        <v>2531</v>
      </c>
      <c r="I1198" s="3" t="n">
        <v>4</v>
      </c>
      <c r="J1198" s="3" t="n">
        <v>5</v>
      </c>
      <c r="K1198" s="3" t="n">
        <v>3</v>
      </c>
      <c r="L1198" s="3" t="n">
        <v>4</v>
      </c>
      <c r="M1198" s="3" t="n">
        <v>4</v>
      </c>
      <c r="N1198" s="3" t="n">
        <v>4</v>
      </c>
      <c r="O1198" s="6" t="b">
        <f aca="false">FALSE()</f>
        <v>0</v>
      </c>
      <c r="P1198" s="3"/>
      <c r="Q1198" s="5" t="n">
        <v>46252.5638888889</v>
      </c>
      <c r="R1198" s="5" t="n">
        <v>46252.6722222222</v>
      </c>
      <c r="S1198" s="3" t="s">
        <v>1699</v>
      </c>
      <c r="T1198" s="7" t="n">
        <f aca="false">ROUND(MIN(IF(OR(O1198=TRUE(),O1198="TRUE",O1198="Yes"),59,100),(I1198*Rubric!$C$2+J1198*Rubric!$C$3+K1198*Rubric!$C$4+L1198*Rubric!$C$5+M1198*Rubric!$C$6+N1198*Rubric!$C$7)/5),1)</f>
        <v>81</v>
      </c>
      <c r="U1198" s="8" t="str">
        <f aca="false">LOOKUP(T1198,Bands!$A$2:$A$6,Bands!$B$2:$B$6)</f>
        <v>Solid Performance</v>
      </c>
      <c r="V1198" s="8" t="n">
        <f aca="false">IF(Q1198="","",ROUND((Q1198-B1198)*24,1))</f>
        <v>0</v>
      </c>
    </row>
    <row r="1199" customFormat="false" ht="15" hidden="false" customHeight="false" outlineLevel="0" collapsed="false">
      <c r="A1199" s="3" t="s">
        <v>2532</v>
      </c>
      <c r="B1199" s="5" t="n">
        <v>46252.5666666667</v>
      </c>
      <c r="C1199" s="3" t="s">
        <v>30</v>
      </c>
      <c r="D1199" s="3" t="s">
        <v>167</v>
      </c>
      <c r="E1199" s="3" t="s">
        <v>168</v>
      </c>
      <c r="F1199" s="3" t="s">
        <v>33</v>
      </c>
      <c r="G1199" s="3" t="s">
        <v>54</v>
      </c>
      <c r="H1199" s="3" t="s">
        <v>2533</v>
      </c>
      <c r="I1199" s="3" t="n">
        <v>3</v>
      </c>
      <c r="J1199" s="3" t="n">
        <v>4</v>
      </c>
      <c r="K1199" s="3" t="n">
        <v>3</v>
      </c>
      <c r="L1199" s="3" t="n">
        <v>3</v>
      </c>
      <c r="M1199" s="3" t="n">
        <v>4</v>
      </c>
      <c r="N1199" s="3" t="n">
        <v>3</v>
      </c>
      <c r="O1199" s="6" t="b">
        <f aca="false">FALSE()</f>
        <v>0</v>
      </c>
      <c r="P1199" s="3"/>
      <c r="Q1199" s="5" t="n">
        <v>46252.56875</v>
      </c>
      <c r="R1199" s="5" t="n">
        <v>46252.8402777778</v>
      </c>
      <c r="S1199" s="3" t="s">
        <v>1699</v>
      </c>
      <c r="T1199" s="7" t="n">
        <f aca="false">ROUND(MIN(IF(OR(O1199=TRUE(),O1199="TRUE",O1199="Yes"),59,100),(I1199*Rubric!$C$2+J1199*Rubric!$C$3+K1199*Rubric!$C$4+L1199*Rubric!$C$5+M1199*Rubric!$C$6+N1199*Rubric!$C$7)/5),1)</f>
        <v>67</v>
      </c>
      <c r="U1199" s="8" t="str">
        <f aca="false">LOOKUP(T1199,Bands!$A$2:$A$6,Bands!$B$2:$B$6)</f>
        <v>Needs Improvement</v>
      </c>
      <c r="V1199" s="8" t="n">
        <f aca="false">IF(Q1199="","",ROUND((Q1199-B1199)*24,1))</f>
        <v>0</v>
      </c>
    </row>
    <row r="1200" customFormat="false" ht="15" hidden="false" customHeight="false" outlineLevel="0" collapsed="false">
      <c r="A1200" s="3" t="s">
        <v>2534</v>
      </c>
      <c r="B1200" s="5" t="n">
        <v>46252.5333333333</v>
      </c>
      <c r="C1200" s="3" t="s">
        <v>39</v>
      </c>
      <c r="D1200" s="3" t="s">
        <v>212</v>
      </c>
      <c r="E1200" s="3" t="s">
        <v>213</v>
      </c>
      <c r="F1200" s="3" t="s">
        <v>33</v>
      </c>
      <c r="G1200" s="3" t="s">
        <v>34</v>
      </c>
      <c r="H1200" s="3" t="s">
        <v>2535</v>
      </c>
      <c r="I1200" s="3" t="n">
        <v>3</v>
      </c>
      <c r="J1200" s="3" t="n">
        <v>3</v>
      </c>
      <c r="K1200" s="3" t="n">
        <v>4</v>
      </c>
      <c r="L1200" s="3" t="n">
        <v>4</v>
      </c>
      <c r="M1200" s="3" t="n">
        <v>4</v>
      </c>
      <c r="N1200" s="3" t="n">
        <v>2</v>
      </c>
      <c r="O1200" s="6" t="b">
        <f aca="false">FALSE()</f>
        <v>0</v>
      </c>
      <c r="P1200" s="3" t="s">
        <v>36</v>
      </c>
      <c r="Q1200" s="5" t="n">
        <v>46252.5354166667</v>
      </c>
      <c r="R1200" s="5" t="n">
        <v>46252.6520833333</v>
      </c>
      <c r="S1200" s="3" t="s">
        <v>1699</v>
      </c>
      <c r="T1200" s="7" t="n">
        <f aca="false">ROUND(MIN(IF(OR(O1200=TRUE(),O1200="TRUE",O1200="Yes"),59,100),(I1200*Rubric!$C$2+J1200*Rubric!$C$3+K1200*Rubric!$C$4+L1200*Rubric!$C$5+M1200*Rubric!$C$6+N1200*Rubric!$C$7)/5),1)</f>
        <v>66</v>
      </c>
      <c r="U1200" s="8" t="str">
        <f aca="false">LOOKUP(T1200,Bands!$A$2:$A$6,Bands!$B$2:$B$6)</f>
        <v>Needs Improvement</v>
      </c>
      <c r="V1200" s="8" t="n">
        <f aca="false">IF(Q1200="","",ROUND((Q1200-B1200)*24,1))</f>
        <v>0.1</v>
      </c>
    </row>
    <row r="1201" customFormat="false" ht="15" hidden="false" customHeight="false" outlineLevel="0" collapsed="false">
      <c r="A1201" s="3" t="s">
        <v>2536</v>
      </c>
      <c r="B1201" s="5" t="n">
        <v>46252.6534722222</v>
      </c>
      <c r="C1201" s="3" t="s">
        <v>39</v>
      </c>
      <c r="D1201" s="3" t="s">
        <v>259</v>
      </c>
      <c r="E1201" s="3" t="s">
        <v>260</v>
      </c>
      <c r="F1201" s="3" t="s">
        <v>33</v>
      </c>
      <c r="G1201" s="3" t="s">
        <v>34</v>
      </c>
      <c r="H1201" s="3" t="s">
        <v>2537</v>
      </c>
      <c r="I1201" s="3" t="n">
        <v>5</v>
      </c>
      <c r="J1201" s="3" t="n">
        <v>5</v>
      </c>
      <c r="K1201" s="3" t="n">
        <v>4</v>
      </c>
      <c r="L1201" s="3" t="n">
        <v>5</v>
      </c>
      <c r="M1201" s="3" t="n">
        <v>5</v>
      </c>
      <c r="N1201" s="3" t="n">
        <v>5</v>
      </c>
      <c r="O1201" s="6" t="b">
        <f aca="false">FALSE()</f>
        <v>0</v>
      </c>
      <c r="P1201" s="3"/>
      <c r="Q1201" s="5" t="n">
        <v>46252.6555555556</v>
      </c>
      <c r="R1201" s="5" t="n">
        <v>46252.7222222222</v>
      </c>
      <c r="S1201" s="3" t="s">
        <v>1699</v>
      </c>
      <c r="T1201" s="7" t="n">
        <f aca="false">ROUND(MIN(IF(OR(O1201=TRUE(),O1201="TRUE",O1201="Yes"),59,100),(I1201*Rubric!$C$2+J1201*Rubric!$C$3+K1201*Rubric!$C$4+L1201*Rubric!$C$5+M1201*Rubric!$C$6+N1201*Rubric!$C$7)/5),1)</f>
        <v>96</v>
      </c>
      <c r="U1201" s="8" t="str">
        <f aca="false">LOOKUP(T1201,Bands!$A$2:$A$6,Bands!$B$2:$B$6)</f>
        <v>Outstanding</v>
      </c>
      <c r="V1201" s="8" t="n">
        <f aca="false">IF(Q1201="","",ROUND((Q1201-B1201)*24,1))</f>
        <v>0.1</v>
      </c>
    </row>
    <row r="1202" customFormat="false" ht="15" hidden="false" customHeight="false" outlineLevel="0" collapsed="false">
      <c r="A1202" s="3" t="s">
        <v>2538</v>
      </c>
      <c r="B1202" s="5" t="n">
        <v>46253.6319444445</v>
      </c>
      <c r="C1202" s="3" t="s">
        <v>68</v>
      </c>
      <c r="D1202" s="3" t="s">
        <v>137</v>
      </c>
      <c r="E1202" s="3" t="s">
        <v>138</v>
      </c>
      <c r="F1202" s="3" t="s">
        <v>65</v>
      </c>
      <c r="G1202" s="3" t="s">
        <v>42</v>
      </c>
      <c r="H1202" s="3" t="s">
        <v>2539</v>
      </c>
      <c r="I1202" s="3" t="n">
        <v>3</v>
      </c>
      <c r="J1202" s="3" t="n">
        <v>5</v>
      </c>
      <c r="K1202" s="3" t="n">
        <v>5</v>
      </c>
      <c r="L1202" s="3" t="n">
        <v>4</v>
      </c>
      <c r="M1202" s="3" t="n">
        <v>4</v>
      </c>
      <c r="N1202" s="3" t="n">
        <v>5</v>
      </c>
      <c r="O1202" s="6" t="b">
        <f aca="false">FALSE()</f>
        <v>0</v>
      </c>
      <c r="P1202" s="3"/>
      <c r="Q1202" s="5" t="n">
        <v>46253.6326388889</v>
      </c>
      <c r="R1202" s="5" t="n">
        <v>46253.7125</v>
      </c>
      <c r="S1202" s="3" t="s">
        <v>1699</v>
      </c>
      <c r="T1202" s="7" t="n">
        <f aca="false">ROUND(MIN(IF(OR(O1202=TRUE(),O1202="TRUE",O1202="Yes"),59,100),(I1202*Rubric!$C$2+J1202*Rubric!$C$3+K1202*Rubric!$C$4+L1202*Rubric!$C$5+M1202*Rubric!$C$6+N1202*Rubric!$C$7)/5),1)</f>
        <v>89</v>
      </c>
      <c r="U1202" s="8" t="str">
        <f aca="false">LOOKUP(T1202,Bands!$A$2:$A$6,Bands!$B$2:$B$6)</f>
        <v>Solid Performance</v>
      </c>
      <c r="V1202" s="8" t="n">
        <f aca="false">IF(Q1202="","",ROUND((Q1202-B1202)*24,1))</f>
        <v>0</v>
      </c>
    </row>
    <row r="1203" customFormat="false" ht="15" hidden="false" customHeight="false" outlineLevel="0" collapsed="false">
      <c r="A1203" s="3" t="s">
        <v>2540</v>
      </c>
      <c r="B1203" s="5" t="n">
        <v>46253.5458333333</v>
      </c>
      <c r="C1203" s="3" t="s">
        <v>30</v>
      </c>
      <c r="D1203" s="3" t="s">
        <v>105</v>
      </c>
      <c r="E1203" s="3" t="s">
        <v>106</v>
      </c>
      <c r="F1203" s="3" t="s">
        <v>65</v>
      </c>
      <c r="G1203" s="3" t="s">
        <v>42</v>
      </c>
      <c r="H1203" s="3" t="s">
        <v>2541</v>
      </c>
      <c r="I1203" s="3" t="n">
        <v>4</v>
      </c>
      <c r="J1203" s="3" t="n">
        <v>3</v>
      </c>
      <c r="K1203" s="3" t="n">
        <v>4</v>
      </c>
      <c r="L1203" s="3" t="n">
        <v>3</v>
      </c>
      <c r="M1203" s="3" t="n">
        <v>3</v>
      </c>
      <c r="N1203" s="3" t="n">
        <v>5</v>
      </c>
      <c r="O1203" s="6" t="b">
        <f aca="false">FALSE()</f>
        <v>0</v>
      </c>
      <c r="P1203" s="3"/>
      <c r="Q1203" s="5" t="n">
        <v>46253.5465277778</v>
      </c>
      <c r="R1203" s="5" t="n">
        <v>46253.5923611111</v>
      </c>
      <c r="S1203" s="3" t="s">
        <v>1699</v>
      </c>
      <c r="T1203" s="7" t="n">
        <f aca="false">ROUND(MIN(IF(OR(O1203=TRUE(),O1203="TRUE",O1203="Yes"),59,100),(I1203*Rubric!$C$2+J1203*Rubric!$C$3+K1203*Rubric!$C$4+L1203*Rubric!$C$5+M1203*Rubric!$C$6+N1203*Rubric!$C$7)/5),1)</f>
        <v>73</v>
      </c>
      <c r="U1203" s="8" t="str">
        <f aca="false">LOOKUP(T1203,Bands!$A$2:$A$6,Bands!$B$2:$B$6)</f>
        <v>Meets Expectations</v>
      </c>
      <c r="V1203" s="8" t="n">
        <f aca="false">IF(Q1203="","",ROUND((Q1203-B1203)*24,1))</f>
        <v>0</v>
      </c>
    </row>
    <row r="1204" customFormat="false" ht="15" hidden="false" customHeight="false" outlineLevel="0" collapsed="false">
      <c r="A1204" s="3" t="s">
        <v>2542</v>
      </c>
      <c r="B1204" s="5" t="n">
        <v>46253.6409722222</v>
      </c>
      <c r="C1204" s="3" t="s">
        <v>30</v>
      </c>
      <c r="D1204" s="3" t="s">
        <v>167</v>
      </c>
      <c r="E1204" s="3" t="s">
        <v>168</v>
      </c>
      <c r="F1204" s="3" t="s">
        <v>33</v>
      </c>
      <c r="G1204" s="3" t="s">
        <v>42</v>
      </c>
      <c r="H1204" s="3" t="s">
        <v>2543</v>
      </c>
      <c r="I1204" s="3" t="n">
        <v>3</v>
      </c>
      <c r="J1204" s="3" t="n">
        <v>3</v>
      </c>
      <c r="K1204" s="3" t="n">
        <v>4</v>
      </c>
      <c r="L1204" s="3" t="n">
        <v>5</v>
      </c>
      <c r="M1204" s="3" t="n">
        <v>4</v>
      </c>
      <c r="N1204" s="3" t="n">
        <v>3</v>
      </c>
      <c r="O1204" s="6" t="b">
        <f aca="false">FALSE()</f>
        <v>0</v>
      </c>
      <c r="P1204" s="3"/>
      <c r="Q1204" s="5" t="n">
        <v>46253.6416666667</v>
      </c>
      <c r="R1204" s="5" t="n">
        <v>46253.7243055556</v>
      </c>
      <c r="S1204" s="3" t="s">
        <v>1699</v>
      </c>
      <c r="T1204" s="7" t="n">
        <f aca="false">ROUND(MIN(IF(OR(O1204=TRUE(),O1204="TRUE",O1204="Yes"),59,100),(I1204*Rubric!$C$2+J1204*Rubric!$C$3+K1204*Rubric!$C$4+L1204*Rubric!$C$5+M1204*Rubric!$C$6+N1204*Rubric!$C$7)/5),1)</f>
        <v>72</v>
      </c>
      <c r="U1204" s="8" t="str">
        <f aca="false">LOOKUP(T1204,Bands!$A$2:$A$6,Bands!$B$2:$B$6)</f>
        <v>Meets Expectations</v>
      </c>
      <c r="V1204" s="8" t="n">
        <f aca="false">IF(Q1204="","",ROUND((Q1204-B1204)*24,1))</f>
        <v>0</v>
      </c>
    </row>
    <row r="1205" customFormat="false" ht="15" hidden="false" customHeight="false" outlineLevel="0" collapsed="false">
      <c r="A1205" s="3" t="s">
        <v>2544</v>
      </c>
      <c r="B1205" s="5" t="n">
        <v>46253.4083333333</v>
      </c>
      <c r="C1205" s="3" t="s">
        <v>39</v>
      </c>
      <c r="D1205" s="3" t="s">
        <v>58</v>
      </c>
      <c r="E1205" s="3" t="s">
        <v>59</v>
      </c>
      <c r="F1205" s="3" t="s">
        <v>53</v>
      </c>
      <c r="G1205" s="3" t="s">
        <v>34</v>
      </c>
      <c r="H1205" s="3" t="s">
        <v>2545</v>
      </c>
      <c r="I1205" s="3" t="n">
        <v>3</v>
      </c>
      <c r="J1205" s="3" t="n">
        <v>4</v>
      </c>
      <c r="K1205" s="3" t="n">
        <v>2</v>
      </c>
      <c r="L1205" s="3" t="n">
        <v>4</v>
      </c>
      <c r="M1205" s="3" t="n">
        <v>2</v>
      </c>
      <c r="N1205" s="3" t="n">
        <v>2</v>
      </c>
      <c r="O1205" s="6" t="b">
        <f aca="false">FALSE()</f>
        <v>0</v>
      </c>
      <c r="P1205" s="3" t="s">
        <v>2546</v>
      </c>
      <c r="Q1205" s="5" t="n">
        <v>46253.4097222222</v>
      </c>
      <c r="R1205" s="5" t="n">
        <v>46253.5625</v>
      </c>
      <c r="S1205" s="3" t="s">
        <v>1699</v>
      </c>
      <c r="T1205" s="7" t="n">
        <f aca="false">ROUND(MIN(IF(OR(O1205=TRUE(),O1205="TRUE",O1205="Yes"),59,100),(I1205*Rubric!$C$2+J1205*Rubric!$C$3+K1205*Rubric!$C$4+L1205*Rubric!$C$5+M1205*Rubric!$C$6+N1205*Rubric!$C$7)/5),1)</f>
        <v>59</v>
      </c>
      <c r="U1205" s="8" t="str">
        <f aca="false">LOOKUP(T1205,Bands!$A$2:$A$6,Bands!$B$2:$B$6)</f>
        <v>Critical</v>
      </c>
      <c r="V1205" s="8" t="n">
        <f aca="false">IF(Q1205="","",ROUND((Q1205-B1205)*24,1))</f>
        <v>0</v>
      </c>
    </row>
    <row r="1206" customFormat="false" ht="15" hidden="false" customHeight="false" outlineLevel="0" collapsed="false">
      <c r="A1206" s="3" t="s">
        <v>2547</v>
      </c>
      <c r="B1206" s="5" t="n">
        <v>46253.5694444445</v>
      </c>
      <c r="C1206" s="3" t="s">
        <v>30</v>
      </c>
      <c r="D1206" s="3" t="s">
        <v>251</v>
      </c>
      <c r="E1206" s="3" t="s">
        <v>252</v>
      </c>
      <c r="F1206" s="3" t="s">
        <v>53</v>
      </c>
      <c r="G1206" s="3" t="s">
        <v>54</v>
      </c>
      <c r="H1206" s="3" t="s">
        <v>2548</v>
      </c>
      <c r="I1206" s="3" t="n">
        <v>4</v>
      </c>
      <c r="J1206" s="3" t="n">
        <v>4</v>
      </c>
      <c r="K1206" s="3" t="n">
        <v>4</v>
      </c>
      <c r="L1206" s="3" t="n">
        <v>5</v>
      </c>
      <c r="M1206" s="3" t="n">
        <v>3</v>
      </c>
      <c r="N1206" s="3" t="n">
        <v>4</v>
      </c>
      <c r="O1206" s="6" t="b">
        <f aca="false">FALSE()</f>
        <v>0</v>
      </c>
      <c r="P1206" s="3"/>
      <c r="Q1206" s="5" t="n">
        <v>46253.5715277778</v>
      </c>
      <c r="R1206" s="5" t="n">
        <v>46253.6493055556</v>
      </c>
      <c r="S1206" s="3" t="s">
        <v>1699</v>
      </c>
      <c r="T1206" s="7" t="n">
        <f aca="false">ROUND(MIN(IF(OR(O1206=TRUE(),O1206="TRUE",O1206="Yes"),59,100),(I1206*Rubric!$C$2+J1206*Rubric!$C$3+K1206*Rubric!$C$4+L1206*Rubric!$C$5+M1206*Rubric!$C$6+N1206*Rubric!$C$7)/5),1)</f>
        <v>81</v>
      </c>
      <c r="U1206" s="8" t="str">
        <f aca="false">LOOKUP(T1206,Bands!$A$2:$A$6,Bands!$B$2:$B$6)</f>
        <v>Solid Performance</v>
      </c>
      <c r="V1206" s="8" t="n">
        <f aca="false">IF(Q1206="","",ROUND((Q1206-B1206)*24,1))</f>
        <v>0</v>
      </c>
    </row>
    <row r="1207" customFormat="false" ht="15" hidden="false" customHeight="false" outlineLevel="0" collapsed="false">
      <c r="A1207" s="3" t="s">
        <v>2549</v>
      </c>
      <c r="B1207" s="5" t="n">
        <v>46253.5854166667</v>
      </c>
      <c r="C1207" s="3" t="s">
        <v>68</v>
      </c>
      <c r="D1207" s="3" t="s">
        <v>198</v>
      </c>
      <c r="E1207" s="3" t="s">
        <v>199</v>
      </c>
      <c r="F1207" s="3" t="s">
        <v>33</v>
      </c>
      <c r="G1207" s="3" t="s">
        <v>54</v>
      </c>
      <c r="H1207" s="3" t="s">
        <v>2550</v>
      </c>
      <c r="I1207" s="3" t="n">
        <v>5</v>
      </c>
      <c r="J1207" s="3" t="n">
        <v>4</v>
      </c>
      <c r="K1207" s="3" t="n">
        <v>3</v>
      </c>
      <c r="L1207" s="3" t="n">
        <v>4</v>
      </c>
      <c r="M1207" s="3" t="n">
        <v>3</v>
      </c>
      <c r="N1207" s="3" t="n">
        <v>4</v>
      </c>
      <c r="O1207" s="6" t="b">
        <f aca="false">FALSE()</f>
        <v>0</v>
      </c>
      <c r="P1207" s="3"/>
      <c r="Q1207" s="5" t="n">
        <v>46253.5875</v>
      </c>
      <c r="R1207" s="5" t="n">
        <v>46253.7465277778</v>
      </c>
      <c r="S1207" s="3" t="s">
        <v>1699</v>
      </c>
      <c r="T1207" s="7" t="n">
        <f aca="false">ROUND(MIN(IF(OR(O1207=TRUE(),O1207="TRUE",O1207="Yes"),59,100),(I1207*Rubric!$C$2+J1207*Rubric!$C$3+K1207*Rubric!$C$4+L1207*Rubric!$C$5+M1207*Rubric!$C$6+N1207*Rubric!$C$7)/5),1)</f>
        <v>77</v>
      </c>
      <c r="U1207" s="8" t="str">
        <f aca="false">LOOKUP(T1207,Bands!$A$2:$A$6,Bands!$B$2:$B$6)</f>
        <v>Meets Expectations</v>
      </c>
      <c r="V1207" s="8" t="n">
        <f aca="false">IF(Q1207="","",ROUND((Q1207-B1207)*24,1))</f>
        <v>0</v>
      </c>
    </row>
    <row r="1208" customFormat="false" ht="15" hidden="false" customHeight="false" outlineLevel="0" collapsed="false">
      <c r="A1208" s="3" t="s">
        <v>2551</v>
      </c>
      <c r="B1208" s="5" t="n">
        <v>46253.56875</v>
      </c>
      <c r="C1208" s="3" t="s">
        <v>68</v>
      </c>
      <c r="D1208" s="3" t="s">
        <v>125</v>
      </c>
      <c r="E1208" s="3" t="s">
        <v>126</v>
      </c>
      <c r="F1208" s="3" t="s">
        <v>53</v>
      </c>
      <c r="G1208" s="3" t="s">
        <v>54</v>
      </c>
      <c r="H1208" s="3" t="s">
        <v>2552</v>
      </c>
      <c r="I1208" s="3" t="n">
        <v>4</v>
      </c>
      <c r="J1208" s="3" t="n">
        <v>5</v>
      </c>
      <c r="K1208" s="3" t="n">
        <v>5</v>
      </c>
      <c r="L1208" s="3" t="n">
        <v>3</v>
      </c>
      <c r="M1208" s="3" t="n">
        <v>4</v>
      </c>
      <c r="N1208" s="3" t="n">
        <v>5</v>
      </c>
      <c r="O1208" s="6" t="b">
        <f aca="false">FALSE()</f>
        <v>0</v>
      </c>
      <c r="P1208" s="3"/>
      <c r="Q1208" s="5" t="n">
        <v>46253.5701388889</v>
      </c>
      <c r="R1208" s="5" t="n">
        <v>46253.65</v>
      </c>
      <c r="S1208" s="3" t="s">
        <v>1699</v>
      </c>
      <c r="T1208" s="7" t="n">
        <f aca="false">ROUND(MIN(IF(OR(O1208=TRUE(),O1208="TRUE",O1208="Yes"),59,100),(I1208*Rubric!$C$2+J1208*Rubric!$C$3+K1208*Rubric!$C$4+L1208*Rubric!$C$5+M1208*Rubric!$C$6+N1208*Rubric!$C$7)/5),1)</f>
        <v>89</v>
      </c>
      <c r="U1208" s="8" t="str">
        <f aca="false">LOOKUP(T1208,Bands!$A$2:$A$6,Bands!$B$2:$B$6)</f>
        <v>Solid Performance</v>
      </c>
      <c r="V1208" s="8" t="n">
        <f aca="false">IF(Q1208="","",ROUND((Q1208-B1208)*24,1))</f>
        <v>0</v>
      </c>
    </row>
    <row r="1209" customFormat="false" ht="15" hidden="false" customHeight="false" outlineLevel="0" collapsed="false">
      <c r="A1209" s="3" t="s">
        <v>2553</v>
      </c>
      <c r="B1209" s="5" t="n">
        <v>46253.4520833333</v>
      </c>
      <c r="C1209" s="3" t="s">
        <v>68</v>
      </c>
      <c r="D1209" s="3" t="s">
        <v>51</v>
      </c>
      <c r="E1209" s="3" t="s">
        <v>52</v>
      </c>
      <c r="F1209" s="3" t="s">
        <v>53</v>
      </c>
      <c r="G1209" s="3" t="s">
        <v>34</v>
      </c>
      <c r="H1209" s="3" t="s">
        <v>2554</v>
      </c>
      <c r="I1209" s="3" t="n">
        <v>5</v>
      </c>
      <c r="J1209" s="3" t="n">
        <v>4</v>
      </c>
      <c r="K1209" s="3" t="n">
        <v>4</v>
      </c>
      <c r="L1209" s="3" t="n">
        <v>4</v>
      </c>
      <c r="M1209" s="3" t="n">
        <v>4</v>
      </c>
      <c r="N1209" s="3" t="n">
        <v>4</v>
      </c>
      <c r="O1209" s="6" t="b">
        <f aca="false">FALSE()</f>
        <v>0</v>
      </c>
      <c r="P1209" s="3"/>
      <c r="Q1209" s="5" t="n">
        <v>46253.4527777778</v>
      </c>
      <c r="R1209" s="5" t="n">
        <v>46253.7201388889</v>
      </c>
      <c r="S1209" s="3" t="s">
        <v>1699</v>
      </c>
      <c r="T1209" s="7" t="n">
        <f aca="false">ROUND(MIN(IF(OR(O1209=TRUE(),O1209="TRUE",O1209="Yes"),59,100),(I1209*Rubric!$C$2+J1209*Rubric!$C$3+K1209*Rubric!$C$4+L1209*Rubric!$C$5+M1209*Rubric!$C$6+N1209*Rubric!$C$7)/5),1)</f>
        <v>83</v>
      </c>
      <c r="U1209" s="8" t="str">
        <f aca="false">LOOKUP(T1209,Bands!$A$2:$A$6,Bands!$B$2:$B$6)</f>
        <v>Solid Performance</v>
      </c>
      <c r="V1209" s="8" t="n">
        <f aca="false">IF(Q1209="","",ROUND((Q1209-B1209)*24,1))</f>
        <v>0</v>
      </c>
    </row>
    <row r="1210" customFormat="false" ht="15" hidden="false" customHeight="false" outlineLevel="0" collapsed="false">
      <c r="A1210" s="3" t="s">
        <v>2555</v>
      </c>
      <c r="B1210" s="5" t="n">
        <v>46253.5465277778</v>
      </c>
      <c r="C1210" s="3" t="s">
        <v>30</v>
      </c>
      <c r="D1210" s="3" t="s">
        <v>46</v>
      </c>
      <c r="E1210" s="3" t="s">
        <v>47</v>
      </c>
      <c r="F1210" s="3" t="s">
        <v>33</v>
      </c>
      <c r="G1210" s="3" t="s">
        <v>42</v>
      </c>
      <c r="H1210" s="3" t="s">
        <v>2556</v>
      </c>
      <c r="I1210" s="3" t="n">
        <v>5</v>
      </c>
      <c r="J1210" s="3" t="n">
        <v>5</v>
      </c>
      <c r="K1210" s="3" t="n">
        <v>5</v>
      </c>
      <c r="L1210" s="3" t="n">
        <v>3</v>
      </c>
      <c r="M1210" s="3" t="n">
        <v>4</v>
      </c>
      <c r="N1210" s="3" t="n">
        <v>4</v>
      </c>
      <c r="O1210" s="6" t="b">
        <f aca="false">FALSE()</f>
        <v>0</v>
      </c>
      <c r="P1210" s="3"/>
      <c r="Q1210" s="5" t="n">
        <v>46253.5479166667</v>
      </c>
      <c r="R1210" s="5" t="n">
        <v>46254.1763888889</v>
      </c>
      <c r="S1210" s="3" t="s">
        <v>1699</v>
      </c>
      <c r="T1210" s="7" t="n">
        <f aca="false">ROUND(MIN(IF(OR(O1210=TRUE(),O1210="TRUE",O1210="Yes"),59,100),(I1210*Rubric!$C$2+J1210*Rubric!$C$3+K1210*Rubric!$C$4+L1210*Rubric!$C$5+M1210*Rubric!$C$6+N1210*Rubric!$C$7)/5),1)</f>
        <v>89</v>
      </c>
      <c r="U1210" s="8" t="str">
        <f aca="false">LOOKUP(T1210,Bands!$A$2:$A$6,Bands!$B$2:$B$6)</f>
        <v>Solid Performance</v>
      </c>
      <c r="V1210" s="8" t="n">
        <f aca="false">IF(Q1210="","",ROUND((Q1210-B1210)*24,1))</f>
        <v>0</v>
      </c>
    </row>
    <row r="1211" customFormat="false" ht="15" hidden="false" customHeight="false" outlineLevel="0" collapsed="false">
      <c r="A1211" s="3" t="s">
        <v>2557</v>
      </c>
      <c r="B1211" s="5" t="n">
        <v>46253.4173611111</v>
      </c>
      <c r="C1211" s="3" t="s">
        <v>68</v>
      </c>
      <c r="D1211" s="3" t="s">
        <v>85</v>
      </c>
      <c r="E1211" s="3" t="s">
        <v>86</v>
      </c>
      <c r="F1211" s="3" t="s">
        <v>33</v>
      </c>
      <c r="G1211" s="3" t="s">
        <v>54</v>
      </c>
      <c r="H1211" s="3" t="s">
        <v>2558</v>
      </c>
      <c r="I1211" s="3" t="n">
        <v>5</v>
      </c>
      <c r="J1211" s="3" t="n">
        <v>4</v>
      </c>
      <c r="K1211" s="3" t="n">
        <v>5</v>
      </c>
      <c r="L1211" s="3" t="n">
        <v>4</v>
      </c>
      <c r="M1211" s="3" t="n">
        <v>4</v>
      </c>
      <c r="N1211" s="3" t="n">
        <v>3</v>
      </c>
      <c r="O1211" s="6" t="b">
        <f aca="false">FALSE()</f>
        <v>0</v>
      </c>
      <c r="P1211" s="3"/>
      <c r="Q1211" s="5" t="n">
        <v>46253.4180555556</v>
      </c>
      <c r="R1211" s="5" t="n">
        <v>46253.4854166667</v>
      </c>
      <c r="S1211" s="3" t="s">
        <v>1699</v>
      </c>
      <c r="T1211" s="7" t="n">
        <f aca="false">ROUND(MIN(IF(OR(O1211=TRUE(),O1211="TRUE",O1211="Yes"),59,100),(I1211*Rubric!$C$2+J1211*Rubric!$C$3+K1211*Rubric!$C$4+L1211*Rubric!$C$5+M1211*Rubric!$C$6+N1211*Rubric!$C$7)/5),1)</f>
        <v>84</v>
      </c>
      <c r="U1211" s="8" t="str">
        <f aca="false">LOOKUP(T1211,Bands!$A$2:$A$6,Bands!$B$2:$B$6)</f>
        <v>Solid Performance</v>
      </c>
      <c r="V1211" s="8" t="n">
        <f aca="false">IF(Q1211="","",ROUND((Q1211-B1211)*24,1))</f>
        <v>0</v>
      </c>
    </row>
    <row r="1212" customFormat="false" ht="15" hidden="false" customHeight="false" outlineLevel="0" collapsed="false">
      <c r="A1212" s="3" t="s">
        <v>2559</v>
      </c>
      <c r="B1212" s="5" t="n">
        <v>46253.3840277778</v>
      </c>
      <c r="C1212" s="3" t="s">
        <v>39</v>
      </c>
      <c r="D1212" s="3" t="s">
        <v>63</v>
      </c>
      <c r="E1212" s="3" t="s">
        <v>64</v>
      </c>
      <c r="F1212" s="3" t="s">
        <v>65</v>
      </c>
      <c r="G1212" s="3" t="s">
        <v>54</v>
      </c>
      <c r="H1212" s="3" t="s">
        <v>2560</v>
      </c>
      <c r="I1212" s="3" t="n">
        <v>4</v>
      </c>
      <c r="J1212" s="3" t="n">
        <v>4</v>
      </c>
      <c r="K1212" s="3" t="n">
        <v>3</v>
      </c>
      <c r="L1212" s="3" t="n">
        <v>3</v>
      </c>
      <c r="M1212" s="3" t="n">
        <v>4</v>
      </c>
      <c r="N1212" s="3" t="n">
        <v>3</v>
      </c>
      <c r="O1212" s="6" t="b">
        <f aca="false">FALSE()</f>
        <v>0</v>
      </c>
      <c r="P1212" s="3"/>
      <c r="Q1212" s="5" t="n">
        <v>46253.3861111111</v>
      </c>
      <c r="R1212" s="5" t="n">
        <v>46253.6451388889</v>
      </c>
      <c r="S1212" s="3" t="s">
        <v>1699</v>
      </c>
      <c r="T1212" s="7" t="n">
        <f aca="false">ROUND(MIN(IF(OR(O1212=TRUE(),O1212="TRUE",O1212="Yes"),59,100),(I1212*Rubric!$C$2+J1212*Rubric!$C$3+K1212*Rubric!$C$4+L1212*Rubric!$C$5+M1212*Rubric!$C$6+N1212*Rubric!$C$7)/5),1)</f>
        <v>70</v>
      </c>
      <c r="U1212" s="8" t="str">
        <f aca="false">LOOKUP(T1212,Bands!$A$2:$A$6,Bands!$B$2:$B$6)</f>
        <v>Meets Expectations</v>
      </c>
      <c r="V1212" s="8" t="n">
        <f aca="false">IF(Q1212="","",ROUND((Q1212-B1212)*24,1))</f>
        <v>0</v>
      </c>
    </row>
    <row r="1213" customFormat="false" ht="15" hidden="false" customHeight="false" outlineLevel="0" collapsed="false">
      <c r="A1213" s="3" t="s">
        <v>2561</v>
      </c>
      <c r="B1213" s="5" t="n">
        <v>46253.5784722222</v>
      </c>
      <c r="C1213" s="3" t="s">
        <v>68</v>
      </c>
      <c r="D1213" s="3" t="s">
        <v>111</v>
      </c>
      <c r="E1213" s="3" t="s">
        <v>112</v>
      </c>
      <c r="F1213" s="3" t="s">
        <v>33</v>
      </c>
      <c r="G1213" s="3" t="s">
        <v>42</v>
      </c>
      <c r="H1213" s="3" t="s">
        <v>2562</v>
      </c>
      <c r="I1213" s="3" t="n">
        <v>3</v>
      </c>
      <c r="J1213" s="3" t="n">
        <v>4</v>
      </c>
      <c r="K1213" s="3" t="n">
        <v>5</v>
      </c>
      <c r="L1213" s="3" t="n">
        <v>5</v>
      </c>
      <c r="M1213" s="3" t="n">
        <v>4</v>
      </c>
      <c r="N1213" s="3" t="n">
        <v>4</v>
      </c>
      <c r="O1213" s="6" t="b">
        <f aca="false">FALSE()</f>
        <v>0</v>
      </c>
      <c r="P1213" s="3"/>
      <c r="Q1213" s="5" t="n">
        <v>46253.5791666667</v>
      </c>
      <c r="R1213" s="5" t="n">
        <v>46254.03125</v>
      </c>
      <c r="S1213" s="3" t="s">
        <v>1699</v>
      </c>
      <c r="T1213" s="7" t="n">
        <f aca="false">ROUND(MIN(IF(OR(O1213=TRUE(),O1213="TRUE",O1213="Yes"),59,100),(I1213*Rubric!$C$2+J1213*Rubric!$C$3+K1213*Rubric!$C$4+L1213*Rubric!$C$5+M1213*Rubric!$C$6+N1213*Rubric!$C$7)/5),1)</f>
        <v>84</v>
      </c>
      <c r="U1213" s="8" t="str">
        <f aca="false">LOOKUP(T1213,Bands!$A$2:$A$6,Bands!$B$2:$B$6)</f>
        <v>Solid Performance</v>
      </c>
      <c r="V1213" s="8" t="n">
        <f aca="false">IF(Q1213="","",ROUND((Q1213-B1213)*24,1))</f>
        <v>0</v>
      </c>
    </row>
    <row r="1214" customFormat="false" ht="15" hidden="false" customHeight="false" outlineLevel="0" collapsed="false">
      <c r="A1214" s="3" t="s">
        <v>2563</v>
      </c>
      <c r="B1214" s="5" t="n">
        <v>46254.5395833333</v>
      </c>
      <c r="C1214" s="3" t="s">
        <v>39</v>
      </c>
      <c r="D1214" s="3" t="s">
        <v>155</v>
      </c>
      <c r="E1214" s="3" t="s">
        <v>156</v>
      </c>
      <c r="F1214" s="3" t="s">
        <v>65</v>
      </c>
      <c r="G1214" s="3" t="s">
        <v>34</v>
      </c>
      <c r="H1214" s="3" t="s">
        <v>2564</v>
      </c>
      <c r="I1214" s="3" t="n">
        <v>4</v>
      </c>
      <c r="J1214" s="3" t="n">
        <v>5</v>
      </c>
      <c r="K1214" s="3" t="n">
        <v>4</v>
      </c>
      <c r="L1214" s="3" t="n">
        <v>4</v>
      </c>
      <c r="M1214" s="3" t="n">
        <v>4</v>
      </c>
      <c r="N1214" s="3" t="n">
        <v>4</v>
      </c>
      <c r="O1214" s="6" t="b">
        <f aca="false">FALSE()</f>
        <v>0</v>
      </c>
      <c r="P1214" s="3"/>
      <c r="Q1214" s="5" t="n">
        <v>46254.5416666667</v>
      </c>
      <c r="R1214" s="5" t="n">
        <v>46254.6965277778</v>
      </c>
      <c r="S1214" s="3" t="s">
        <v>1699</v>
      </c>
      <c r="T1214" s="7" t="n">
        <f aca="false">ROUND(MIN(IF(OR(O1214=TRUE(),O1214="TRUE",O1214="Yes"),59,100),(I1214*Rubric!$C$2+J1214*Rubric!$C$3+K1214*Rubric!$C$4+L1214*Rubric!$C$5+M1214*Rubric!$C$6+N1214*Rubric!$C$7)/5),1)</f>
        <v>85</v>
      </c>
      <c r="U1214" s="8" t="str">
        <f aca="false">LOOKUP(T1214,Bands!$A$2:$A$6,Bands!$B$2:$B$6)</f>
        <v>Solid Performance</v>
      </c>
      <c r="V1214" s="8" t="n">
        <f aca="false">IF(Q1214="","",ROUND((Q1214-B1214)*24,1))</f>
        <v>0.1</v>
      </c>
    </row>
    <row r="1215" customFormat="false" ht="15" hidden="false" customHeight="false" outlineLevel="0" collapsed="false">
      <c r="A1215" s="3" t="s">
        <v>2565</v>
      </c>
      <c r="B1215" s="5" t="n">
        <v>46254.4729166667</v>
      </c>
      <c r="C1215" s="3" t="s">
        <v>68</v>
      </c>
      <c r="D1215" s="3" t="s">
        <v>105</v>
      </c>
      <c r="E1215" s="3" t="s">
        <v>106</v>
      </c>
      <c r="F1215" s="3" t="s">
        <v>65</v>
      </c>
      <c r="G1215" s="3" t="s">
        <v>42</v>
      </c>
      <c r="H1215" s="3" t="s">
        <v>2566</v>
      </c>
      <c r="I1215" s="3" t="n">
        <v>4</v>
      </c>
      <c r="J1215" s="3" t="n">
        <v>4</v>
      </c>
      <c r="K1215" s="3" t="n">
        <v>4</v>
      </c>
      <c r="L1215" s="3" t="n">
        <v>3</v>
      </c>
      <c r="M1215" s="3" t="n">
        <v>5</v>
      </c>
      <c r="N1215" s="3" t="n">
        <v>3</v>
      </c>
      <c r="O1215" s="6" t="b">
        <f aca="false">FALSE()</f>
        <v>0</v>
      </c>
      <c r="P1215" s="3"/>
      <c r="Q1215" s="5" t="n">
        <v>46254.475</v>
      </c>
      <c r="R1215" s="5" t="n">
        <v>46254.7798611111</v>
      </c>
      <c r="S1215" s="3" t="s">
        <v>1699</v>
      </c>
      <c r="T1215" s="7" t="n">
        <f aca="false">ROUND(MIN(IF(OR(O1215=TRUE(),O1215="TRUE",O1215="Yes"),59,100),(I1215*Rubric!$C$2+J1215*Rubric!$C$3+K1215*Rubric!$C$4+L1215*Rubric!$C$5+M1215*Rubric!$C$6+N1215*Rubric!$C$7)/5),1)</f>
        <v>76</v>
      </c>
      <c r="U1215" s="8" t="str">
        <f aca="false">LOOKUP(T1215,Bands!$A$2:$A$6,Bands!$B$2:$B$6)</f>
        <v>Meets Expectations</v>
      </c>
      <c r="V1215" s="8" t="n">
        <f aca="false">IF(Q1215="","",ROUND((Q1215-B1215)*24,1))</f>
        <v>0</v>
      </c>
    </row>
    <row r="1216" customFormat="false" ht="15" hidden="false" customHeight="false" outlineLevel="0" collapsed="false">
      <c r="A1216" s="3" t="s">
        <v>2567</v>
      </c>
      <c r="B1216" s="5" t="n">
        <v>46254.48125</v>
      </c>
      <c r="C1216" s="3" t="s">
        <v>68</v>
      </c>
      <c r="D1216" s="3" t="s">
        <v>51</v>
      </c>
      <c r="E1216" s="3" t="s">
        <v>52</v>
      </c>
      <c r="F1216" s="3" t="s">
        <v>53</v>
      </c>
      <c r="G1216" s="3" t="s">
        <v>54</v>
      </c>
      <c r="H1216" s="3" t="s">
        <v>2568</v>
      </c>
      <c r="I1216" s="3" t="n">
        <v>4</v>
      </c>
      <c r="J1216" s="3" t="n">
        <v>5</v>
      </c>
      <c r="K1216" s="3" t="n">
        <v>4</v>
      </c>
      <c r="L1216" s="3" t="n">
        <v>3</v>
      </c>
      <c r="M1216" s="3" t="n">
        <v>4</v>
      </c>
      <c r="N1216" s="3" t="n">
        <v>5</v>
      </c>
      <c r="O1216" s="6" t="b">
        <f aca="false">FALSE()</f>
        <v>0</v>
      </c>
      <c r="P1216" s="3"/>
      <c r="Q1216" s="5" t="n">
        <v>46254.4826388889</v>
      </c>
      <c r="R1216" s="5" t="n">
        <v>46254.4979166667</v>
      </c>
      <c r="S1216" s="3" t="s">
        <v>1699</v>
      </c>
      <c r="T1216" s="7" t="n">
        <f aca="false">ROUND(MIN(IF(OR(O1216=TRUE(),O1216="TRUE",O1216="Yes"),59,100),(I1216*Rubric!$C$2+J1216*Rubric!$C$3+K1216*Rubric!$C$4+L1216*Rubric!$C$5+M1216*Rubric!$C$6+N1216*Rubric!$C$7)/5),1)</f>
        <v>85</v>
      </c>
      <c r="U1216" s="8" t="str">
        <f aca="false">LOOKUP(T1216,Bands!$A$2:$A$6,Bands!$B$2:$B$6)</f>
        <v>Solid Performance</v>
      </c>
      <c r="V1216" s="8" t="n">
        <f aca="false">IF(Q1216="","",ROUND((Q1216-B1216)*24,1))</f>
        <v>0</v>
      </c>
    </row>
    <row r="1217" customFormat="false" ht="15" hidden="false" customHeight="false" outlineLevel="0" collapsed="false">
      <c r="A1217" s="3" t="s">
        <v>2569</v>
      </c>
      <c r="B1217" s="5" t="n">
        <v>46254.7006944444</v>
      </c>
      <c r="C1217" s="3" t="s">
        <v>30</v>
      </c>
      <c r="D1217" s="3" t="s">
        <v>137</v>
      </c>
      <c r="E1217" s="3" t="s">
        <v>138</v>
      </c>
      <c r="F1217" s="3" t="s">
        <v>65</v>
      </c>
      <c r="G1217" s="3" t="s">
        <v>42</v>
      </c>
      <c r="H1217" s="3" t="s">
        <v>2570</v>
      </c>
      <c r="I1217" s="3" t="n">
        <v>4</v>
      </c>
      <c r="J1217" s="3" t="n">
        <v>5</v>
      </c>
      <c r="K1217" s="3" t="n">
        <v>5</v>
      </c>
      <c r="L1217" s="3" t="n">
        <v>5</v>
      </c>
      <c r="M1217" s="3" t="n">
        <v>4</v>
      </c>
      <c r="N1217" s="3" t="n">
        <v>5</v>
      </c>
      <c r="O1217" s="6" t="b">
        <f aca="false">FALSE()</f>
        <v>0</v>
      </c>
      <c r="P1217" s="3"/>
      <c r="Q1217" s="5" t="n">
        <v>46254.7020833333</v>
      </c>
      <c r="R1217" s="5" t="n">
        <v>46255.5958333333</v>
      </c>
      <c r="S1217" s="3" t="s">
        <v>1699</v>
      </c>
      <c r="T1217" s="7" t="n">
        <f aca="false">ROUND(MIN(IF(OR(O1217=TRUE(),O1217="TRUE",O1217="Yes"),59,100),(I1217*Rubric!$C$2+J1217*Rubric!$C$3+K1217*Rubric!$C$4+L1217*Rubric!$C$5+M1217*Rubric!$C$6+N1217*Rubric!$C$7)/5),1)</f>
        <v>95</v>
      </c>
      <c r="U1217" s="8" t="str">
        <f aca="false">LOOKUP(T1217,Bands!$A$2:$A$6,Bands!$B$2:$B$6)</f>
        <v>Outstanding</v>
      </c>
      <c r="V1217" s="8" t="n">
        <f aca="false">IF(Q1217="","",ROUND((Q1217-B1217)*24,1))</f>
        <v>0</v>
      </c>
    </row>
    <row r="1218" customFormat="false" ht="15" hidden="false" customHeight="false" outlineLevel="0" collapsed="false">
      <c r="A1218" s="3" t="s">
        <v>2571</v>
      </c>
      <c r="B1218" s="5" t="n">
        <v>46254.5701388889</v>
      </c>
      <c r="C1218" s="3" t="s">
        <v>68</v>
      </c>
      <c r="D1218" s="3" t="s">
        <v>63</v>
      </c>
      <c r="E1218" s="3" t="s">
        <v>64</v>
      </c>
      <c r="F1218" s="3" t="s">
        <v>65</v>
      </c>
      <c r="G1218" s="3" t="s">
        <v>42</v>
      </c>
      <c r="H1218" s="3" t="s">
        <v>2572</v>
      </c>
      <c r="I1218" s="3" t="n">
        <v>4</v>
      </c>
      <c r="J1218" s="3" t="n">
        <v>4</v>
      </c>
      <c r="K1218" s="3" t="n">
        <v>3</v>
      </c>
      <c r="L1218" s="3" t="n">
        <v>3</v>
      </c>
      <c r="M1218" s="3" t="n">
        <v>3</v>
      </c>
      <c r="N1218" s="3" t="n">
        <v>4</v>
      </c>
      <c r="O1218" s="6" t="b">
        <f aca="false">FALSE()</f>
        <v>0</v>
      </c>
      <c r="P1218" s="3"/>
      <c r="Q1218" s="5" t="n">
        <v>46254.5708333333</v>
      </c>
      <c r="R1218" s="5" t="n">
        <v>46254.7131944444</v>
      </c>
      <c r="S1218" s="3" t="s">
        <v>1699</v>
      </c>
      <c r="T1218" s="7" t="n">
        <f aca="false">ROUND(MIN(IF(OR(O1218=TRUE(),O1218="TRUE",O1218="Yes"),59,100),(I1218*Rubric!$C$2+J1218*Rubric!$C$3+K1218*Rubric!$C$4+L1218*Rubric!$C$5+M1218*Rubric!$C$6+N1218*Rubric!$C$7)/5),1)</f>
        <v>71</v>
      </c>
      <c r="U1218" s="8" t="str">
        <f aca="false">LOOKUP(T1218,Bands!$A$2:$A$6,Bands!$B$2:$B$6)</f>
        <v>Meets Expectations</v>
      </c>
      <c r="V1218" s="8" t="n">
        <f aca="false">IF(Q1218="","",ROUND((Q1218-B1218)*24,1))</f>
        <v>0</v>
      </c>
    </row>
    <row r="1219" customFormat="false" ht="15" hidden="false" customHeight="false" outlineLevel="0" collapsed="false">
      <c r="A1219" s="3" t="s">
        <v>2573</v>
      </c>
      <c r="B1219" s="5" t="n">
        <v>46254.4347222222</v>
      </c>
      <c r="C1219" s="3" t="s">
        <v>39</v>
      </c>
      <c r="D1219" s="3" t="s">
        <v>145</v>
      </c>
      <c r="E1219" s="3" t="s">
        <v>146</v>
      </c>
      <c r="F1219" s="3" t="s">
        <v>33</v>
      </c>
      <c r="G1219" s="3" t="s">
        <v>54</v>
      </c>
      <c r="H1219" s="3" t="s">
        <v>2574</v>
      </c>
      <c r="I1219" s="3" t="n">
        <v>4</v>
      </c>
      <c r="J1219" s="3" t="n">
        <v>2</v>
      </c>
      <c r="K1219" s="3" t="n">
        <v>5</v>
      </c>
      <c r="L1219" s="3" t="n">
        <v>5</v>
      </c>
      <c r="M1219" s="3" t="n">
        <v>4</v>
      </c>
      <c r="N1219" s="3" t="n">
        <v>3</v>
      </c>
      <c r="O1219" s="6" t="b">
        <f aca="false">FALSE()</f>
        <v>0</v>
      </c>
      <c r="P1219" s="3" t="s">
        <v>56</v>
      </c>
      <c r="Q1219" s="5" t="n">
        <v>46254.4368055556</v>
      </c>
      <c r="R1219" s="5" t="n">
        <v>46254.5784722222</v>
      </c>
      <c r="S1219" s="3" t="s">
        <v>1699</v>
      </c>
      <c r="T1219" s="7" t="n">
        <f aca="false">ROUND(MIN(IF(OR(O1219=TRUE(),O1219="TRUE",O1219="Yes"),59,100),(I1219*Rubric!$C$2+J1219*Rubric!$C$3+K1219*Rubric!$C$4+L1219*Rubric!$C$5+M1219*Rubric!$C$6+N1219*Rubric!$C$7)/5),1)</f>
        <v>74</v>
      </c>
      <c r="U1219" s="8" t="str">
        <f aca="false">LOOKUP(T1219,Bands!$A$2:$A$6,Bands!$B$2:$B$6)</f>
        <v>Meets Expectations</v>
      </c>
      <c r="V1219" s="8" t="n">
        <f aca="false">IF(Q1219="","",ROUND((Q1219-B1219)*24,1))</f>
        <v>0.1</v>
      </c>
    </row>
    <row r="1220" customFormat="false" ht="15" hidden="false" customHeight="false" outlineLevel="0" collapsed="false">
      <c r="A1220" s="3" t="s">
        <v>2575</v>
      </c>
      <c r="B1220" s="5" t="n">
        <v>46254.5430555556</v>
      </c>
      <c r="C1220" s="3" t="s">
        <v>39</v>
      </c>
      <c r="D1220" s="3" t="s">
        <v>111</v>
      </c>
      <c r="E1220" s="3" t="s">
        <v>112</v>
      </c>
      <c r="F1220" s="3" t="s">
        <v>33</v>
      </c>
      <c r="G1220" s="3" t="s">
        <v>42</v>
      </c>
      <c r="H1220" s="3" t="s">
        <v>2576</v>
      </c>
      <c r="I1220" s="3" t="n">
        <v>4</v>
      </c>
      <c r="J1220" s="3" t="n">
        <v>4</v>
      </c>
      <c r="K1220" s="3" t="n">
        <v>4</v>
      </c>
      <c r="L1220" s="3" t="n">
        <v>4</v>
      </c>
      <c r="M1220" s="3" t="n">
        <v>3</v>
      </c>
      <c r="N1220" s="3" t="n">
        <v>5</v>
      </c>
      <c r="O1220" s="6" t="b">
        <f aca="false">FALSE()</f>
        <v>0</v>
      </c>
      <c r="P1220" s="3"/>
      <c r="Q1220" s="5" t="n">
        <v>46254.54375</v>
      </c>
      <c r="R1220" s="5" t="n">
        <v>46254.7944444444</v>
      </c>
      <c r="S1220" s="3" t="s">
        <v>1699</v>
      </c>
      <c r="T1220" s="7" t="n">
        <f aca="false">ROUND(MIN(IF(OR(O1220=TRUE(),O1220="TRUE",O1220="Yes"),59,100),(I1220*Rubric!$C$2+J1220*Rubric!$C$3+K1220*Rubric!$C$4+L1220*Rubric!$C$5+M1220*Rubric!$C$6+N1220*Rubric!$C$7)/5),1)</f>
        <v>81</v>
      </c>
      <c r="U1220" s="8" t="str">
        <f aca="false">LOOKUP(T1220,Bands!$A$2:$A$6,Bands!$B$2:$B$6)</f>
        <v>Solid Performance</v>
      </c>
      <c r="V1220" s="8" t="n">
        <f aca="false">IF(Q1220="","",ROUND((Q1220-B1220)*24,1))</f>
        <v>0</v>
      </c>
    </row>
    <row r="1221" customFormat="false" ht="15" hidden="false" customHeight="false" outlineLevel="0" collapsed="false">
      <c r="A1221" s="3" t="s">
        <v>2577</v>
      </c>
      <c r="B1221" s="5" t="n">
        <v>46254.6118055556</v>
      </c>
      <c r="C1221" s="3" t="s">
        <v>39</v>
      </c>
      <c r="D1221" s="3" t="s">
        <v>212</v>
      </c>
      <c r="E1221" s="3" t="s">
        <v>213</v>
      </c>
      <c r="F1221" s="3" t="s">
        <v>33</v>
      </c>
      <c r="G1221" s="3" t="s">
        <v>54</v>
      </c>
      <c r="H1221" s="3" t="s">
        <v>2578</v>
      </c>
      <c r="I1221" s="3" t="n">
        <v>4</v>
      </c>
      <c r="J1221" s="3" t="n">
        <v>3</v>
      </c>
      <c r="K1221" s="3" t="n">
        <v>4</v>
      </c>
      <c r="L1221" s="3" t="n">
        <v>3</v>
      </c>
      <c r="M1221" s="3" t="n">
        <v>4</v>
      </c>
      <c r="N1221" s="3" t="n">
        <v>3</v>
      </c>
      <c r="O1221" s="6" t="b">
        <f aca="false">FALSE()</f>
        <v>0</v>
      </c>
      <c r="P1221" s="3"/>
      <c r="Q1221" s="5" t="n">
        <v>46254.6131944444</v>
      </c>
      <c r="R1221" s="5" t="n">
        <v>46255.1652777778</v>
      </c>
      <c r="S1221" s="3" t="s">
        <v>1699</v>
      </c>
      <c r="T1221" s="7" t="n">
        <f aca="false">ROUND(MIN(IF(OR(O1221=TRUE(),O1221="TRUE",O1221="Yes"),59,100),(I1221*Rubric!$C$2+J1221*Rubric!$C$3+K1221*Rubric!$C$4+L1221*Rubric!$C$5+M1221*Rubric!$C$6+N1221*Rubric!$C$7)/5),1)</f>
        <v>69</v>
      </c>
      <c r="U1221" s="8" t="str">
        <f aca="false">LOOKUP(T1221,Bands!$A$2:$A$6,Bands!$B$2:$B$6)</f>
        <v>Needs Improvement</v>
      </c>
      <c r="V1221" s="8" t="n">
        <f aca="false">IF(Q1221="","",ROUND((Q1221-B1221)*24,1))</f>
        <v>0</v>
      </c>
    </row>
    <row r="1222" customFormat="false" ht="15" hidden="false" customHeight="false" outlineLevel="0" collapsed="false">
      <c r="A1222" s="3" t="s">
        <v>2579</v>
      </c>
      <c r="B1222" s="5" t="n">
        <v>46254.5729166667</v>
      </c>
      <c r="C1222" s="3" t="s">
        <v>30</v>
      </c>
      <c r="D1222" s="3" t="s">
        <v>90</v>
      </c>
      <c r="E1222" s="3" t="s">
        <v>91</v>
      </c>
      <c r="F1222" s="3" t="s">
        <v>65</v>
      </c>
      <c r="G1222" s="3" t="s">
        <v>42</v>
      </c>
      <c r="H1222" s="3" t="s">
        <v>2580</v>
      </c>
      <c r="I1222" s="3" t="n">
        <v>4</v>
      </c>
      <c r="J1222" s="3" t="n">
        <v>4</v>
      </c>
      <c r="K1222" s="3" t="n">
        <v>4</v>
      </c>
      <c r="L1222" s="3" t="n">
        <v>4</v>
      </c>
      <c r="M1222" s="3" t="n">
        <v>5</v>
      </c>
      <c r="N1222" s="3" t="n">
        <v>3</v>
      </c>
      <c r="O1222" s="6" t="b">
        <f aca="false">FALSE()</f>
        <v>0</v>
      </c>
      <c r="P1222" s="3"/>
      <c r="Q1222" s="5" t="n">
        <v>46254.575</v>
      </c>
      <c r="R1222" s="5" t="n">
        <v>46254.5902777778</v>
      </c>
      <c r="S1222" s="3" t="s">
        <v>1699</v>
      </c>
      <c r="T1222" s="7" t="n">
        <f aca="false">ROUND(MIN(IF(OR(O1222=TRUE(),O1222="TRUE",O1222="Yes"),59,100),(I1222*Rubric!$C$2+J1222*Rubric!$C$3+K1222*Rubric!$C$4+L1222*Rubric!$C$5+M1222*Rubric!$C$6+N1222*Rubric!$C$7)/5),1)</f>
        <v>79</v>
      </c>
      <c r="U1222" s="8" t="str">
        <f aca="false">LOOKUP(T1222,Bands!$A$2:$A$6,Bands!$B$2:$B$6)</f>
        <v>Meets Expectations</v>
      </c>
      <c r="V1222" s="8" t="n">
        <f aca="false">IF(Q1222="","",ROUND((Q1222-B1222)*24,1))</f>
        <v>0</v>
      </c>
    </row>
    <row r="1223" customFormat="false" ht="15" hidden="false" customHeight="false" outlineLevel="0" collapsed="false">
      <c r="A1223" s="3" t="s">
        <v>2581</v>
      </c>
      <c r="B1223" s="5" t="n">
        <v>46254.4069444445</v>
      </c>
      <c r="C1223" s="3" t="s">
        <v>68</v>
      </c>
      <c r="D1223" s="3" t="s">
        <v>259</v>
      </c>
      <c r="E1223" s="3" t="s">
        <v>260</v>
      </c>
      <c r="F1223" s="3" t="s">
        <v>33</v>
      </c>
      <c r="G1223" s="3" t="s">
        <v>42</v>
      </c>
      <c r="H1223" s="3" t="s">
        <v>2582</v>
      </c>
      <c r="I1223" s="3" t="n">
        <v>5</v>
      </c>
      <c r="J1223" s="3" t="n">
        <v>4</v>
      </c>
      <c r="K1223" s="3" t="n">
        <v>4</v>
      </c>
      <c r="L1223" s="3" t="n">
        <v>5</v>
      </c>
      <c r="M1223" s="3" t="n">
        <v>4</v>
      </c>
      <c r="N1223" s="3" t="n">
        <v>5</v>
      </c>
      <c r="O1223" s="6" t="b">
        <f aca="false">FALSE()</f>
        <v>0</v>
      </c>
      <c r="P1223" s="3"/>
      <c r="Q1223" s="5" t="n">
        <v>46254.4076388889</v>
      </c>
      <c r="R1223" s="5" t="n">
        <v>46254.4652777778</v>
      </c>
      <c r="S1223" s="3" t="s">
        <v>1699</v>
      </c>
      <c r="T1223" s="7" t="n">
        <f aca="false">ROUND(MIN(IF(OR(O1223=TRUE(),O1223="TRUE",O1223="Yes"),59,100),(I1223*Rubric!$C$2+J1223*Rubric!$C$3+K1223*Rubric!$C$4+L1223*Rubric!$C$5+M1223*Rubric!$C$6+N1223*Rubric!$C$7)/5),1)</f>
        <v>89</v>
      </c>
      <c r="U1223" s="8" t="str">
        <f aca="false">LOOKUP(T1223,Bands!$A$2:$A$6,Bands!$B$2:$B$6)</f>
        <v>Solid Performance</v>
      </c>
      <c r="V1223" s="8" t="n">
        <f aca="false">IF(Q1223="","",ROUND((Q1223-B1223)*24,1))</f>
        <v>0</v>
      </c>
    </row>
    <row r="1224" customFormat="false" ht="15" hidden="false" customHeight="false" outlineLevel="0" collapsed="false">
      <c r="A1224" s="3" t="s">
        <v>2583</v>
      </c>
      <c r="B1224" s="5" t="n">
        <v>46254.6756944444</v>
      </c>
      <c r="C1224" s="3" t="s">
        <v>30</v>
      </c>
      <c r="D1224" s="3" t="s">
        <v>77</v>
      </c>
      <c r="E1224" s="3" t="s">
        <v>78</v>
      </c>
      <c r="F1224" s="3" t="s">
        <v>33</v>
      </c>
      <c r="G1224" s="3" t="s">
        <v>54</v>
      </c>
      <c r="H1224" s="3" t="s">
        <v>2584</v>
      </c>
      <c r="I1224" s="3" t="n">
        <v>5</v>
      </c>
      <c r="J1224" s="3" t="n">
        <v>5</v>
      </c>
      <c r="K1224" s="3" t="n">
        <v>4</v>
      </c>
      <c r="L1224" s="3" t="n">
        <v>5</v>
      </c>
      <c r="M1224" s="3" t="n">
        <v>5</v>
      </c>
      <c r="N1224" s="3" t="n">
        <v>5</v>
      </c>
      <c r="O1224" s="6" t="b">
        <f aca="false">FALSE()</f>
        <v>0</v>
      </c>
      <c r="P1224" s="3"/>
      <c r="Q1224" s="5" t="n">
        <v>46254.6777777778</v>
      </c>
      <c r="R1224" s="5" t="n">
        <v>46254.8833333333</v>
      </c>
      <c r="S1224" s="3" t="s">
        <v>1699</v>
      </c>
      <c r="T1224" s="7" t="n">
        <f aca="false">ROUND(MIN(IF(OR(O1224=TRUE(),O1224="TRUE",O1224="Yes"),59,100),(I1224*Rubric!$C$2+J1224*Rubric!$C$3+K1224*Rubric!$C$4+L1224*Rubric!$C$5+M1224*Rubric!$C$6+N1224*Rubric!$C$7)/5),1)</f>
        <v>96</v>
      </c>
      <c r="U1224" s="8" t="str">
        <f aca="false">LOOKUP(T1224,Bands!$A$2:$A$6,Bands!$B$2:$B$6)</f>
        <v>Outstanding</v>
      </c>
      <c r="V1224" s="8" t="n">
        <f aca="false">IF(Q1224="","",ROUND((Q1224-B1224)*24,1))</f>
        <v>0.1</v>
      </c>
    </row>
    <row r="1225" customFormat="false" ht="15" hidden="false" customHeight="false" outlineLevel="0" collapsed="false">
      <c r="A1225" s="3" t="s">
        <v>2585</v>
      </c>
      <c r="B1225" s="5" t="n">
        <v>46254.6020833333</v>
      </c>
      <c r="C1225" s="3" t="s">
        <v>68</v>
      </c>
      <c r="D1225" s="3" t="s">
        <v>40</v>
      </c>
      <c r="E1225" s="3" t="s">
        <v>41</v>
      </c>
      <c r="F1225" s="3" t="s">
        <v>33</v>
      </c>
      <c r="G1225" s="3" t="s">
        <v>42</v>
      </c>
      <c r="H1225" s="3" t="s">
        <v>2586</v>
      </c>
      <c r="I1225" s="3" t="n">
        <v>4</v>
      </c>
      <c r="J1225" s="3" t="n">
        <v>4</v>
      </c>
      <c r="K1225" s="3" t="n">
        <v>5</v>
      </c>
      <c r="L1225" s="3" t="n">
        <v>4</v>
      </c>
      <c r="M1225" s="3" t="n">
        <v>4</v>
      </c>
      <c r="N1225" s="3" t="n">
        <v>4</v>
      </c>
      <c r="O1225" s="6" t="b">
        <f aca="false">FALSE()</f>
        <v>0</v>
      </c>
      <c r="P1225" s="3"/>
      <c r="Q1225" s="5" t="n">
        <v>46254.6041666667</v>
      </c>
      <c r="R1225" s="5" t="n">
        <v>46254.7604166667</v>
      </c>
      <c r="S1225" s="3" t="s">
        <v>1699</v>
      </c>
      <c r="T1225" s="7" t="n">
        <f aca="false">ROUND(MIN(IF(OR(O1225=TRUE(),O1225="TRUE",O1225="Yes"),59,100),(I1225*Rubric!$C$2+J1225*Rubric!$C$3+K1225*Rubric!$C$4+L1225*Rubric!$C$5+M1225*Rubric!$C$6+N1225*Rubric!$C$7)/5),1)</f>
        <v>84</v>
      </c>
      <c r="U1225" s="8" t="str">
        <f aca="false">LOOKUP(T1225,Bands!$A$2:$A$6,Bands!$B$2:$B$6)</f>
        <v>Solid Performance</v>
      </c>
      <c r="V1225" s="8" t="n">
        <f aca="false">IF(Q1225="","",ROUND((Q1225-B1225)*24,1))</f>
        <v>0.1</v>
      </c>
    </row>
    <row r="1226" customFormat="false" ht="15" hidden="false" customHeight="false" outlineLevel="0" collapsed="false">
      <c r="A1226" s="3" t="s">
        <v>2587</v>
      </c>
      <c r="B1226" s="5" t="n">
        <v>46255.4861111111</v>
      </c>
      <c r="C1226" s="3" t="s">
        <v>39</v>
      </c>
      <c r="D1226" s="3" t="s">
        <v>73</v>
      </c>
      <c r="E1226" s="3" t="s">
        <v>74</v>
      </c>
      <c r="F1226" s="3" t="s">
        <v>33</v>
      </c>
      <c r="G1226" s="3" t="s">
        <v>42</v>
      </c>
      <c r="H1226" s="3" t="s">
        <v>2588</v>
      </c>
      <c r="I1226" s="3" t="n">
        <v>4</v>
      </c>
      <c r="J1226" s="3" t="n">
        <v>4</v>
      </c>
      <c r="K1226" s="3" t="n">
        <v>3</v>
      </c>
      <c r="L1226" s="3" t="n">
        <v>5</v>
      </c>
      <c r="M1226" s="3" t="n">
        <v>5</v>
      </c>
      <c r="N1226" s="3" t="n">
        <v>4</v>
      </c>
      <c r="O1226" s="6" t="b">
        <f aca="false">FALSE()</f>
        <v>0</v>
      </c>
      <c r="P1226" s="3"/>
      <c r="Q1226" s="5" t="n">
        <v>46255.4881944444</v>
      </c>
      <c r="R1226" s="5" t="n">
        <v>46255.6944444445</v>
      </c>
      <c r="S1226" s="3" t="s">
        <v>1699</v>
      </c>
      <c r="T1226" s="7" t="n">
        <f aca="false">ROUND(MIN(IF(OR(O1226=TRUE(),O1226="TRUE",O1226="Yes"),59,100),(I1226*Rubric!$C$2+J1226*Rubric!$C$3+K1226*Rubric!$C$4+L1226*Rubric!$C$5+M1226*Rubric!$C$6+N1226*Rubric!$C$7)/5),1)</f>
        <v>81</v>
      </c>
      <c r="U1226" s="8" t="str">
        <f aca="false">LOOKUP(T1226,Bands!$A$2:$A$6,Bands!$B$2:$B$6)</f>
        <v>Solid Performance</v>
      </c>
      <c r="V1226" s="8" t="n">
        <f aca="false">IF(Q1226="","",ROUND((Q1226-B1226)*24,1))</f>
        <v>0</v>
      </c>
    </row>
    <row r="1227" customFormat="false" ht="15" hidden="false" customHeight="false" outlineLevel="0" collapsed="false">
      <c r="A1227" s="3" t="s">
        <v>2589</v>
      </c>
      <c r="B1227" s="5" t="n">
        <v>46255.6722222222</v>
      </c>
      <c r="C1227" s="3" t="s">
        <v>39</v>
      </c>
      <c r="D1227" s="3" t="s">
        <v>40</v>
      </c>
      <c r="E1227" s="3" t="s">
        <v>41</v>
      </c>
      <c r="F1227" s="3" t="s">
        <v>33</v>
      </c>
      <c r="G1227" s="3" t="s">
        <v>42</v>
      </c>
      <c r="H1227" s="3" t="s">
        <v>2590</v>
      </c>
      <c r="I1227" s="3" t="n">
        <v>4</v>
      </c>
      <c r="J1227" s="3" t="n">
        <v>4</v>
      </c>
      <c r="K1227" s="3" t="n">
        <v>4</v>
      </c>
      <c r="L1227" s="3" t="n">
        <v>3</v>
      </c>
      <c r="M1227" s="3" t="n">
        <v>4</v>
      </c>
      <c r="N1227" s="3" t="n">
        <v>4</v>
      </c>
      <c r="O1227" s="6" t="b">
        <f aca="false">FALSE()</f>
        <v>0</v>
      </c>
      <c r="P1227" s="3"/>
      <c r="Q1227" s="5" t="n">
        <v>46255.6729166667</v>
      </c>
      <c r="R1227" s="5" t="n">
        <v>46256.1597222222</v>
      </c>
      <c r="S1227" s="3" t="s">
        <v>1699</v>
      </c>
      <c r="T1227" s="7" t="n">
        <f aca="false">ROUND(MIN(IF(OR(O1227=TRUE(),O1227="TRUE",O1227="Yes"),59,100),(I1227*Rubric!$C$2+J1227*Rubric!$C$3+K1227*Rubric!$C$4+L1227*Rubric!$C$5+M1227*Rubric!$C$6+N1227*Rubric!$C$7)/5),1)</f>
        <v>77</v>
      </c>
      <c r="U1227" s="8" t="str">
        <f aca="false">LOOKUP(T1227,Bands!$A$2:$A$6,Bands!$B$2:$B$6)</f>
        <v>Meets Expectations</v>
      </c>
      <c r="V1227" s="8" t="n">
        <f aca="false">IF(Q1227="","",ROUND((Q1227-B1227)*24,1))</f>
        <v>0</v>
      </c>
    </row>
    <row r="1228" customFormat="false" ht="15" hidden="false" customHeight="false" outlineLevel="0" collapsed="false">
      <c r="A1228" s="3" t="s">
        <v>2591</v>
      </c>
      <c r="B1228" s="5" t="n">
        <v>46255.5013888889</v>
      </c>
      <c r="C1228" s="3" t="s">
        <v>30</v>
      </c>
      <c r="D1228" s="3" t="s">
        <v>105</v>
      </c>
      <c r="E1228" s="3" t="s">
        <v>106</v>
      </c>
      <c r="F1228" s="3" t="s">
        <v>65</v>
      </c>
      <c r="G1228" s="3" t="s">
        <v>34</v>
      </c>
      <c r="H1228" s="3" t="s">
        <v>2592</v>
      </c>
      <c r="I1228" s="3" t="n">
        <v>4</v>
      </c>
      <c r="J1228" s="3" t="n">
        <v>5</v>
      </c>
      <c r="K1228" s="3" t="n">
        <v>4</v>
      </c>
      <c r="L1228" s="3" t="n">
        <v>4</v>
      </c>
      <c r="M1228" s="3" t="n">
        <v>5</v>
      </c>
      <c r="N1228" s="3" t="n">
        <v>4</v>
      </c>
      <c r="O1228" s="6" t="b">
        <f aca="false">FALSE()</f>
        <v>0</v>
      </c>
      <c r="P1228" s="3"/>
      <c r="Q1228" s="5" t="n">
        <v>46255.5020833333</v>
      </c>
      <c r="R1228" s="5" t="n">
        <v>46255.8326388889</v>
      </c>
      <c r="S1228" s="3" t="s">
        <v>1699</v>
      </c>
      <c r="T1228" s="7" t="n">
        <f aca="false">ROUND(MIN(IF(OR(O1228=TRUE(),O1228="TRUE",O1228="Yes"),59,100),(I1228*Rubric!$C$2+J1228*Rubric!$C$3+K1228*Rubric!$C$4+L1228*Rubric!$C$5+M1228*Rubric!$C$6+N1228*Rubric!$C$7)/5),1)</f>
        <v>87</v>
      </c>
      <c r="U1228" s="8" t="str">
        <f aca="false">LOOKUP(T1228,Bands!$A$2:$A$6,Bands!$B$2:$B$6)</f>
        <v>Solid Performance</v>
      </c>
      <c r="V1228" s="8" t="n">
        <f aca="false">IF(Q1228="","",ROUND((Q1228-B1228)*24,1))</f>
        <v>0</v>
      </c>
    </row>
    <row r="1229" customFormat="false" ht="15" hidden="false" customHeight="false" outlineLevel="0" collapsed="false">
      <c r="A1229" s="3" t="s">
        <v>2593</v>
      </c>
      <c r="B1229" s="5" t="n">
        <v>46255.4444444445</v>
      </c>
      <c r="C1229" s="3" t="s">
        <v>30</v>
      </c>
      <c r="D1229" s="3" t="s">
        <v>58</v>
      </c>
      <c r="E1229" s="3" t="s">
        <v>59</v>
      </c>
      <c r="F1229" s="3" t="s">
        <v>53</v>
      </c>
      <c r="G1229" s="3" t="s">
        <v>54</v>
      </c>
      <c r="H1229" s="3" t="s">
        <v>2594</v>
      </c>
      <c r="I1229" s="3" t="n">
        <v>4</v>
      </c>
      <c r="J1229" s="3" t="n">
        <v>4</v>
      </c>
      <c r="K1229" s="3" t="n">
        <v>3</v>
      </c>
      <c r="L1229" s="3" t="n">
        <v>3</v>
      </c>
      <c r="M1229" s="3" t="n">
        <v>4</v>
      </c>
      <c r="N1229" s="3" t="n">
        <v>2</v>
      </c>
      <c r="O1229" s="6" t="b">
        <f aca="false">FALSE()</f>
        <v>0</v>
      </c>
      <c r="P1229" s="3" t="s">
        <v>36</v>
      </c>
      <c r="Q1229" s="5" t="n">
        <v>46255.4465277778</v>
      </c>
      <c r="R1229" s="5" t="n">
        <v>46255.45625</v>
      </c>
      <c r="S1229" s="3" t="s">
        <v>1699</v>
      </c>
      <c r="T1229" s="7" t="n">
        <f aca="false">ROUND(MIN(IF(OR(O1229=TRUE(),O1229="TRUE",O1229="Yes"),59,100),(I1229*Rubric!$C$2+J1229*Rubric!$C$3+K1229*Rubric!$C$4+L1229*Rubric!$C$5+M1229*Rubric!$C$6+N1229*Rubric!$C$7)/5),1)</f>
        <v>67</v>
      </c>
      <c r="U1229" s="8" t="str">
        <f aca="false">LOOKUP(T1229,Bands!$A$2:$A$6,Bands!$B$2:$B$6)</f>
        <v>Needs Improvement</v>
      </c>
      <c r="V1229" s="8" t="n">
        <f aca="false">IF(Q1229="","",ROUND((Q1229-B1229)*24,1))</f>
        <v>0</v>
      </c>
    </row>
    <row r="1230" customFormat="false" ht="15" hidden="false" customHeight="false" outlineLevel="0" collapsed="false">
      <c r="A1230" s="3" t="s">
        <v>2595</v>
      </c>
      <c r="B1230" s="5" t="n">
        <v>46255.5041666667</v>
      </c>
      <c r="C1230" s="3" t="s">
        <v>30</v>
      </c>
      <c r="D1230" s="3" t="s">
        <v>77</v>
      </c>
      <c r="E1230" s="3" t="s">
        <v>78</v>
      </c>
      <c r="F1230" s="3" t="s">
        <v>33</v>
      </c>
      <c r="G1230" s="3" t="s">
        <v>34</v>
      </c>
      <c r="H1230" s="3" t="s">
        <v>2596</v>
      </c>
      <c r="I1230" s="3" t="n">
        <v>5</v>
      </c>
      <c r="J1230" s="3" t="n">
        <v>5</v>
      </c>
      <c r="K1230" s="3" t="n">
        <v>5</v>
      </c>
      <c r="L1230" s="3" t="n">
        <v>5</v>
      </c>
      <c r="M1230" s="3" t="n">
        <v>5</v>
      </c>
      <c r="N1230" s="3" t="n">
        <v>4</v>
      </c>
      <c r="O1230" s="6" t="b">
        <f aca="false">FALSE()</f>
        <v>0</v>
      </c>
      <c r="P1230" s="3"/>
      <c r="Q1230" s="5" t="n">
        <v>46255.5048611111</v>
      </c>
      <c r="R1230" s="5" t="n">
        <v>46255.5590277778</v>
      </c>
      <c r="S1230" s="3" t="s">
        <v>1699</v>
      </c>
      <c r="T1230" s="7" t="n">
        <f aca="false">ROUND(MIN(IF(OR(O1230=TRUE(),O1230="TRUE",O1230="Yes"),59,100),(I1230*Rubric!$C$2+J1230*Rubric!$C$3+K1230*Rubric!$C$4+L1230*Rubric!$C$5+M1230*Rubric!$C$6+N1230*Rubric!$C$7)/5),1)</f>
        <v>97</v>
      </c>
      <c r="U1230" s="8" t="str">
        <f aca="false">LOOKUP(T1230,Bands!$A$2:$A$6,Bands!$B$2:$B$6)</f>
        <v>Outstanding</v>
      </c>
      <c r="V1230" s="8" t="n">
        <f aca="false">IF(Q1230="","",ROUND((Q1230-B1230)*24,1))</f>
        <v>0</v>
      </c>
    </row>
    <row r="1231" customFormat="false" ht="15" hidden="false" customHeight="false" outlineLevel="0" collapsed="false">
      <c r="A1231" s="3" t="s">
        <v>2597</v>
      </c>
      <c r="B1231" s="5" t="n">
        <v>46255.675</v>
      </c>
      <c r="C1231" s="3" t="s">
        <v>39</v>
      </c>
      <c r="D1231" s="3" t="s">
        <v>151</v>
      </c>
      <c r="E1231" s="3" t="s">
        <v>152</v>
      </c>
      <c r="F1231" s="3" t="s">
        <v>33</v>
      </c>
      <c r="G1231" s="3" t="s">
        <v>54</v>
      </c>
      <c r="H1231" s="3" t="s">
        <v>2598</v>
      </c>
      <c r="I1231" s="3" t="n">
        <v>4</v>
      </c>
      <c r="J1231" s="3" t="n">
        <v>3</v>
      </c>
      <c r="K1231" s="3" t="n">
        <v>5</v>
      </c>
      <c r="L1231" s="3" t="n">
        <v>5</v>
      </c>
      <c r="M1231" s="3" t="n">
        <v>4</v>
      </c>
      <c r="N1231" s="3" t="n">
        <v>4</v>
      </c>
      <c r="O1231" s="6" t="b">
        <f aca="false">FALSE()</f>
        <v>0</v>
      </c>
      <c r="P1231" s="3"/>
      <c r="Q1231" s="5" t="n">
        <v>46255.6770833333</v>
      </c>
      <c r="R1231" s="5" t="n">
        <v>46255.7256944445</v>
      </c>
      <c r="S1231" s="3" t="s">
        <v>1699</v>
      </c>
      <c r="T1231" s="7" t="n">
        <f aca="false">ROUND(MIN(IF(OR(O1231=TRUE(),O1231="TRUE",O1231="Yes"),59,100),(I1231*Rubric!$C$2+J1231*Rubric!$C$3+K1231*Rubric!$C$4+L1231*Rubric!$C$5+M1231*Rubric!$C$6+N1231*Rubric!$C$7)/5),1)</f>
        <v>82</v>
      </c>
      <c r="U1231" s="8" t="str">
        <f aca="false">LOOKUP(T1231,Bands!$A$2:$A$6,Bands!$B$2:$B$6)</f>
        <v>Solid Performance</v>
      </c>
      <c r="V1231" s="8" t="n">
        <f aca="false">IF(Q1231="","",ROUND((Q1231-B1231)*24,1))</f>
        <v>0</v>
      </c>
    </row>
    <row r="1232" customFormat="false" ht="15" hidden="false" customHeight="false" outlineLevel="0" collapsed="false">
      <c r="A1232" s="3" t="s">
        <v>2599</v>
      </c>
      <c r="B1232" s="5" t="n">
        <v>46255.4118055556</v>
      </c>
      <c r="C1232" s="3" t="s">
        <v>30</v>
      </c>
      <c r="D1232" s="3" t="s">
        <v>251</v>
      </c>
      <c r="E1232" s="3" t="s">
        <v>252</v>
      </c>
      <c r="F1232" s="3" t="s">
        <v>53</v>
      </c>
      <c r="G1232" s="3" t="s">
        <v>54</v>
      </c>
      <c r="H1232" s="3" t="s">
        <v>2600</v>
      </c>
      <c r="I1232" s="3" t="n">
        <v>4</v>
      </c>
      <c r="J1232" s="3" t="n">
        <v>4</v>
      </c>
      <c r="K1232" s="3" t="n">
        <v>4</v>
      </c>
      <c r="L1232" s="3" t="n">
        <v>4</v>
      </c>
      <c r="M1232" s="3" t="n">
        <v>3</v>
      </c>
      <c r="N1232" s="3" t="n">
        <v>4</v>
      </c>
      <c r="O1232" s="6" t="b">
        <f aca="false">FALSE()</f>
        <v>0</v>
      </c>
      <c r="P1232" s="3"/>
      <c r="Q1232" s="5" t="n">
        <v>46255.4125</v>
      </c>
      <c r="R1232" s="5" t="n">
        <v>46255.7729166667</v>
      </c>
      <c r="S1232" s="3" t="s">
        <v>1699</v>
      </c>
      <c r="T1232" s="7" t="n">
        <f aca="false">ROUND(MIN(IF(OR(O1232=TRUE(),O1232="TRUE",O1232="Yes"),59,100),(I1232*Rubric!$C$2+J1232*Rubric!$C$3+K1232*Rubric!$C$4+L1232*Rubric!$C$5+M1232*Rubric!$C$6+N1232*Rubric!$C$7)/5),1)</f>
        <v>78</v>
      </c>
      <c r="U1232" s="8" t="str">
        <f aca="false">LOOKUP(T1232,Bands!$A$2:$A$6,Bands!$B$2:$B$6)</f>
        <v>Meets Expectations</v>
      </c>
      <c r="V1232" s="8" t="n">
        <f aca="false">IF(Q1232="","",ROUND((Q1232-B1232)*24,1))</f>
        <v>0</v>
      </c>
    </row>
    <row r="1233" customFormat="false" ht="15" hidden="false" customHeight="false" outlineLevel="0" collapsed="false">
      <c r="A1233" s="3" t="s">
        <v>2601</v>
      </c>
      <c r="B1233" s="5" t="n">
        <v>46255.3826388889</v>
      </c>
      <c r="C1233" s="3" t="s">
        <v>39</v>
      </c>
      <c r="D1233" s="3" t="s">
        <v>63</v>
      </c>
      <c r="E1233" s="3" t="s">
        <v>64</v>
      </c>
      <c r="F1233" s="3" t="s">
        <v>65</v>
      </c>
      <c r="G1233" s="3" t="s">
        <v>42</v>
      </c>
      <c r="H1233" s="3" t="s">
        <v>2602</v>
      </c>
      <c r="I1233" s="3" t="n">
        <v>5</v>
      </c>
      <c r="J1233" s="3" t="n">
        <v>5</v>
      </c>
      <c r="K1233" s="3" t="n">
        <v>3</v>
      </c>
      <c r="L1233" s="3" t="n">
        <v>4</v>
      </c>
      <c r="M1233" s="3" t="n">
        <v>4</v>
      </c>
      <c r="N1233" s="3" t="n">
        <v>4</v>
      </c>
      <c r="O1233" s="6" t="b">
        <f aca="false">FALSE()</f>
        <v>0</v>
      </c>
      <c r="P1233" s="3"/>
      <c r="Q1233" s="5" t="n">
        <v>46255.3833333333</v>
      </c>
      <c r="R1233" s="5" t="n">
        <v>46255.6416666667</v>
      </c>
      <c r="S1233" s="3" t="s">
        <v>1699</v>
      </c>
      <c r="T1233" s="7" t="n">
        <f aca="false">ROUND(MIN(IF(OR(O1233=TRUE(),O1233="TRUE",O1233="Yes"),59,100),(I1233*Rubric!$C$2+J1233*Rubric!$C$3+K1233*Rubric!$C$4+L1233*Rubric!$C$5+M1233*Rubric!$C$6+N1233*Rubric!$C$7)/5),1)</f>
        <v>84</v>
      </c>
      <c r="U1233" s="8" t="str">
        <f aca="false">LOOKUP(T1233,Bands!$A$2:$A$6,Bands!$B$2:$B$6)</f>
        <v>Solid Performance</v>
      </c>
      <c r="V1233" s="8" t="n">
        <f aca="false">IF(Q1233="","",ROUND((Q1233-B1233)*24,1))</f>
        <v>0</v>
      </c>
    </row>
    <row r="1234" customFormat="false" ht="15" hidden="false" customHeight="false" outlineLevel="0" collapsed="false">
      <c r="A1234" s="3" t="s">
        <v>2603</v>
      </c>
      <c r="B1234" s="5" t="n">
        <v>46255.6875</v>
      </c>
      <c r="C1234" s="3" t="s">
        <v>68</v>
      </c>
      <c r="D1234" s="3" t="s">
        <v>212</v>
      </c>
      <c r="E1234" s="3" t="s">
        <v>213</v>
      </c>
      <c r="F1234" s="3" t="s">
        <v>33</v>
      </c>
      <c r="G1234" s="3" t="s">
        <v>54</v>
      </c>
      <c r="H1234" s="3" t="s">
        <v>2604</v>
      </c>
      <c r="I1234" s="3" t="n">
        <v>3</v>
      </c>
      <c r="J1234" s="3" t="n">
        <v>4</v>
      </c>
      <c r="K1234" s="3" t="n">
        <v>3</v>
      </c>
      <c r="L1234" s="3" t="n">
        <v>4</v>
      </c>
      <c r="M1234" s="3" t="n">
        <v>4</v>
      </c>
      <c r="N1234" s="3" t="n">
        <v>4</v>
      </c>
      <c r="O1234" s="6" t="b">
        <f aca="false">FALSE()</f>
        <v>0</v>
      </c>
      <c r="P1234" s="3"/>
      <c r="Q1234" s="5" t="n">
        <v>46255.6895833333</v>
      </c>
      <c r="R1234" s="5" t="n">
        <v>46255.7090277778</v>
      </c>
      <c r="S1234" s="3" t="s">
        <v>1699</v>
      </c>
      <c r="T1234" s="7" t="n">
        <f aca="false">ROUND(MIN(IF(OR(O1234=TRUE(),O1234="TRUE",O1234="Yes"),59,100),(I1234*Rubric!$C$2+J1234*Rubric!$C$3+K1234*Rubric!$C$4+L1234*Rubric!$C$5+M1234*Rubric!$C$6+N1234*Rubric!$C$7)/5),1)</f>
        <v>73</v>
      </c>
      <c r="U1234" s="8" t="str">
        <f aca="false">LOOKUP(T1234,Bands!$A$2:$A$6,Bands!$B$2:$B$6)</f>
        <v>Meets Expectations</v>
      </c>
      <c r="V1234" s="8" t="n">
        <f aca="false">IF(Q1234="","",ROUND((Q1234-B1234)*24,1))</f>
        <v>0</v>
      </c>
    </row>
    <row r="1235" customFormat="false" ht="15" hidden="false" customHeight="false" outlineLevel="0" collapsed="false">
      <c r="A1235" s="3" t="s">
        <v>2605</v>
      </c>
      <c r="B1235" s="5" t="n">
        <v>46255.51875</v>
      </c>
      <c r="C1235" s="3" t="s">
        <v>39</v>
      </c>
      <c r="D1235" s="3" t="s">
        <v>145</v>
      </c>
      <c r="E1235" s="3" t="s">
        <v>146</v>
      </c>
      <c r="F1235" s="3" t="s">
        <v>33</v>
      </c>
      <c r="G1235" s="3" t="s">
        <v>42</v>
      </c>
      <c r="H1235" s="3" t="s">
        <v>2606</v>
      </c>
      <c r="I1235" s="3" t="n">
        <v>4</v>
      </c>
      <c r="J1235" s="3" t="n">
        <v>4</v>
      </c>
      <c r="K1235" s="3" t="n">
        <v>5</v>
      </c>
      <c r="L1235" s="3" t="n">
        <v>4</v>
      </c>
      <c r="M1235" s="3" t="n">
        <v>3</v>
      </c>
      <c r="N1235" s="3" t="n">
        <v>0</v>
      </c>
      <c r="O1235" s="6" t="b">
        <f aca="false">TRUE()</f>
        <v>1</v>
      </c>
      <c r="P1235" s="3" t="s">
        <v>36</v>
      </c>
      <c r="Q1235" s="5" t="n">
        <v>46255.5201388889</v>
      </c>
      <c r="R1235" s="5" t="n">
        <v>46255.5916666667</v>
      </c>
      <c r="S1235" s="3" t="s">
        <v>1699</v>
      </c>
      <c r="T1235" s="7" t="n">
        <f aca="false">ROUND(MIN(IF(OR(O1235=TRUE(),O1235="TRUE",O1235="Yes"),59,100),(I1235*Rubric!$C$2+J1235*Rubric!$C$3+K1235*Rubric!$C$4+L1235*Rubric!$C$5+M1235*Rubric!$C$6+N1235*Rubric!$C$7)/5),1)</f>
        <v>59</v>
      </c>
      <c r="U1235" s="8" t="str">
        <f aca="false">LOOKUP(T1235,Bands!$A$2:$A$6,Bands!$B$2:$B$6)</f>
        <v>Critical</v>
      </c>
      <c r="V1235" s="8" t="n">
        <f aca="false">IF(Q1235="","",ROUND((Q1235-B1235)*24,1))</f>
        <v>0</v>
      </c>
    </row>
    <row r="1236" customFormat="false" ht="15" hidden="false" customHeight="false" outlineLevel="0" collapsed="false">
      <c r="A1236" s="3" t="s">
        <v>2607</v>
      </c>
      <c r="B1236" s="5" t="n">
        <v>46255.4333333333</v>
      </c>
      <c r="C1236" s="3" t="s">
        <v>68</v>
      </c>
      <c r="D1236" s="3" t="s">
        <v>119</v>
      </c>
      <c r="E1236" s="3" t="s">
        <v>120</v>
      </c>
      <c r="F1236" s="3" t="s">
        <v>33</v>
      </c>
      <c r="G1236" s="3" t="s">
        <v>42</v>
      </c>
      <c r="H1236" s="3" t="s">
        <v>2608</v>
      </c>
      <c r="I1236" s="3" t="n">
        <v>4</v>
      </c>
      <c r="J1236" s="3" t="n">
        <v>4</v>
      </c>
      <c r="K1236" s="3" t="n">
        <v>4</v>
      </c>
      <c r="L1236" s="3" t="n">
        <v>4</v>
      </c>
      <c r="M1236" s="3" t="n">
        <v>3</v>
      </c>
      <c r="N1236" s="3" t="n">
        <v>3</v>
      </c>
      <c r="O1236" s="6" t="b">
        <f aca="false">FALSE()</f>
        <v>0</v>
      </c>
      <c r="P1236" s="3"/>
      <c r="Q1236" s="5" t="n">
        <v>46255.4340277778</v>
      </c>
      <c r="R1236" s="5" t="n">
        <v>46255.8840277778</v>
      </c>
      <c r="S1236" s="3" t="s">
        <v>1699</v>
      </c>
      <c r="T1236" s="7" t="n">
        <f aca="false">ROUND(MIN(IF(OR(O1236=TRUE(),O1236="TRUE",O1236="Yes"),59,100),(I1236*Rubric!$C$2+J1236*Rubric!$C$3+K1236*Rubric!$C$4+L1236*Rubric!$C$5+M1236*Rubric!$C$6+N1236*Rubric!$C$7)/5),1)</f>
        <v>75</v>
      </c>
      <c r="U1236" s="8" t="str">
        <f aca="false">LOOKUP(T1236,Bands!$A$2:$A$6,Bands!$B$2:$B$6)</f>
        <v>Meets Expectations</v>
      </c>
      <c r="V1236" s="8" t="n">
        <f aca="false">IF(Q1236="","",ROUND((Q1236-B1236)*24,1))</f>
        <v>0</v>
      </c>
    </row>
    <row r="1237" customFormat="false" ht="15" hidden="false" customHeight="false" outlineLevel="0" collapsed="false">
      <c r="A1237" s="3" t="s">
        <v>2609</v>
      </c>
      <c r="B1237" s="5" t="n">
        <v>46255.5847222222</v>
      </c>
      <c r="C1237" s="3" t="s">
        <v>30</v>
      </c>
      <c r="D1237" s="3" t="s">
        <v>486</v>
      </c>
      <c r="E1237" s="3" t="s">
        <v>487</v>
      </c>
      <c r="F1237" s="3" t="s">
        <v>65</v>
      </c>
      <c r="G1237" s="3" t="s">
        <v>42</v>
      </c>
      <c r="H1237" s="3" t="s">
        <v>2610</v>
      </c>
      <c r="I1237" s="3" t="n">
        <v>4</v>
      </c>
      <c r="J1237" s="3" t="n">
        <v>3</v>
      </c>
      <c r="K1237" s="3" t="n">
        <v>4</v>
      </c>
      <c r="L1237" s="3" t="n">
        <v>4</v>
      </c>
      <c r="M1237" s="3" t="n">
        <v>4</v>
      </c>
      <c r="N1237" s="3" t="n">
        <v>5</v>
      </c>
      <c r="O1237" s="6" t="b">
        <f aca="false">FALSE()</f>
        <v>0</v>
      </c>
      <c r="P1237" s="3"/>
      <c r="Q1237" s="5" t="n">
        <v>46255.5854166667</v>
      </c>
      <c r="R1237" s="5" t="n">
        <v>46255.5888888889</v>
      </c>
      <c r="S1237" s="3" t="s">
        <v>1699</v>
      </c>
      <c r="T1237" s="7" t="n">
        <f aca="false">ROUND(MIN(IF(OR(O1237=TRUE(),O1237="TRUE",O1237="Yes"),59,100),(I1237*Rubric!$C$2+J1237*Rubric!$C$3+K1237*Rubric!$C$4+L1237*Rubric!$C$5+M1237*Rubric!$C$6+N1237*Rubric!$C$7)/5),1)</f>
        <v>78</v>
      </c>
      <c r="U1237" s="8" t="str">
        <f aca="false">LOOKUP(T1237,Bands!$A$2:$A$6,Bands!$B$2:$B$6)</f>
        <v>Meets Expectations</v>
      </c>
      <c r="V1237" s="8" t="n">
        <f aca="false">IF(Q1237="","",ROUND((Q1237-B1237)*24,1))</f>
        <v>0</v>
      </c>
    </row>
    <row r="1238" customFormat="false" ht="15" hidden="false" customHeight="false" outlineLevel="0" collapsed="false">
      <c r="A1238" s="3" t="s">
        <v>2611</v>
      </c>
      <c r="B1238" s="5" t="n">
        <v>46258.425</v>
      </c>
      <c r="C1238" s="3" t="s">
        <v>39</v>
      </c>
      <c r="D1238" s="3" t="s">
        <v>194</v>
      </c>
      <c r="E1238" s="3" t="s">
        <v>195</v>
      </c>
      <c r="F1238" s="3" t="s">
        <v>53</v>
      </c>
      <c r="G1238" s="3" t="s">
        <v>42</v>
      </c>
      <c r="H1238" s="3" t="s">
        <v>2612</v>
      </c>
      <c r="I1238" s="3" t="n">
        <v>3</v>
      </c>
      <c r="J1238" s="3" t="n">
        <v>5</v>
      </c>
      <c r="K1238" s="3" t="n">
        <v>5</v>
      </c>
      <c r="L1238" s="3" t="n">
        <v>4</v>
      </c>
      <c r="M1238" s="3" t="n">
        <v>4</v>
      </c>
      <c r="N1238" s="3" t="n">
        <v>5</v>
      </c>
      <c r="O1238" s="6" t="b">
        <f aca="false">FALSE()</f>
        <v>0</v>
      </c>
      <c r="P1238" s="3"/>
      <c r="Q1238" s="5" t="n">
        <v>46258.4270833333</v>
      </c>
      <c r="R1238" s="5" t="n">
        <v>46258.7104166667</v>
      </c>
      <c r="S1238" s="3" t="s">
        <v>1699</v>
      </c>
      <c r="T1238" s="7" t="n">
        <f aca="false">ROUND(MIN(IF(OR(O1238=TRUE(),O1238="TRUE",O1238="Yes"),59,100),(I1238*Rubric!$C$2+J1238*Rubric!$C$3+K1238*Rubric!$C$4+L1238*Rubric!$C$5+M1238*Rubric!$C$6+N1238*Rubric!$C$7)/5),1)</f>
        <v>89</v>
      </c>
      <c r="U1238" s="8" t="str">
        <f aca="false">LOOKUP(T1238,Bands!$A$2:$A$6,Bands!$B$2:$B$6)</f>
        <v>Solid Performance</v>
      </c>
      <c r="V1238" s="8" t="n">
        <f aca="false">IF(Q1238="","",ROUND((Q1238-B1238)*24,1))</f>
        <v>0</v>
      </c>
    </row>
    <row r="1239" customFormat="false" ht="15" hidden="false" customHeight="false" outlineLevel="0" collapsed="false">
      <c r="A1239" s="3" t="s">
        <v>2613</v>
      </c>
      <c r="B1239" s="5" t="n">
        <v>46258.43125</v>
      </c>
      <c r="C1239" s="3" t="s">
        <v>39</v>
      </c>
      <c r="D1239" s="3" t="s">
        <v>111</v>
      </c>
      <c r="E1239" s="3" t="s">
        <v>112</v>
      </c>
      <c r="F1239" s="3" t="s">
        <v>33</v>
      </c>
      <c r="G1239" s="3" t="s">
        <v>54</v>
      </c>
      <c r="H1239" s="3" t="s">
        <v>2614</v>
      </c>
      <c r="I1239" s="3" t="n">
        <v>2</v>
      </c>
      <c r="J1239" s="3" t="n">
        <v>4</v>
      </c>
      <c r="K1239" s="3" t="n">
        <v>3</v>
      </c>
      <c r="L1239" s="3" t="n">
        <v>4</v>
      </c>
      <c r="M1239" s="3" t="n">
        <v>4</v>
      </c>
      <c r="N1239" s="3" t="n">
        <v>4</v>
      </c>
      <c r="O1239" s="6" t="b">
        <f aca="false">FALSE()</f>
        <v>0</v>
      </c>
      <c r="P1239" s="3" t="s">
        <v>88</v>
      </c>
      <c r="Q1239" s="5" t="n">
        <v>46258.4319444444</v>
      </c>
      <c r="R1239" s="5" t="n">
        <v>46258.7097222222</v>
      </c>
      <c r="S1239" s="3" t="s">
        <v>1699</v>
      </c>
      <c r="T1239" s="7" t="n">
        <f aca="false">ROUND(MIN(IF(OR(O1239=TRUE(),O1239="TRUE",O1239="Yes"),59,100),(I1239*Rubric!$C$2+J1239*Rubric!$C$3+K1239*Rubric!$C$4+L1239*Rubric!$C$5+M1239*Rubric!$C$6+N1239*Rubric!$C$7)/5),1)</f>
        <v>70</v>
      </c>
      <c r="U1239" s="8" t="str">
        <f aca="false">LOOKUP(T1239,Bands!$A$2:$A$6,Bands!$B$2:$B$6)</f>
        <v>Meets Expectations</v>
      </c>
      <c r="V1239" s="8" t="n">
        <f aca="false">IF(Q1239="","",ROUND((Q1239-B1239)*24,1))</f>
        <v>0</v>
      </c>
    </row>
    <row r="1240" customFormat="false" ht="15" hidden="false" customHeight="false" outlineLevel="0" collapsed="false">
      <c r="A1240" s="3" t="s">
        <v>2615</v>
      </c>
      <c r="B1240" s="5" t="n">
        <v>46258.6888888889</v>
      </c>
      <c r="C1240" s="3" t="s">
        <v>68</v>
      </c>
      <c r="D1240" s="3" t="s">
        <v>77</v>
      </c>
      <c r="E1240" s="3" t="s">
        <v>78</v>
      </c>
      <c r="F1240" s="3" t="s">
        <v>33</v>
      </c>
      <c r="G1240" s="3" t="s">
        <v>42</v>
      </c>
      <c r="H1240" s="3" t="s">
        <v>2616</v>
      </c>
      <c r="I1240" s="3" t="n">
        <v>5</v>
      </c>
      <c r="J1240" s="3" t="n">
        <v>5</v>
      </c>
      <c r="K1240" s="3" t="n">
        <v>4</v>
      </c>
      <c r="L1240" s="3" t="n">
        <v>4</v>
      </c>
      <c r="M1240" s="3" t="n">
        <v>5</v>
      </c>
      <c r="N1240" s="3" t="n">
        <v>5</v>
      </c>
      <c r="O1240" s="6" t="b">
        <f aca="false">FALSE()</f>
        <v>0</v>
      </c>
      <c r="P1240" s="3"/>
      <c r="Q1240" s="5" t="n">
        <v>46258.6909722222</v>
      </c>
      <c r="R1240" s="5" t="n">
        <v>46259.2034722222</v>
      </c>
      <c r="S1240" s="3" t="s">
        <v>1699</v>
      </c>
      <c r="T1240" s="7" t="n">
        <f aca="false">ROUND(MIN(IF(OR(O1240=TRUE(),O1240="TRUE",O1240="Yes"),59,100),(I1240*Rubric!$C$2+J1240*Rubric!$C$3+K1240*Rubric!$C$4+L1240*Rubric!$C$5+M1240*Rubric!$C$6+N1240*Rubric!$C$7)/5),1)</f>
        <v>93</v>
      </c>
      <c r="U1240" s="8" t="str">
        <f aca="false">LOOKUP(T1240,Bands!$A$2:$A$6,Bands!$B$2:$B$6)</f>
        <v>Outstanding</v>
      </c>
      <c r="V1240" s="8" t="n">
        <f aca="false">IF(Q1240="","",ROUND((Q1240-B1240)*24,1))</f>
        <v>0</v>
      </c>
    </row>
    <row r="1241" customFormat="false" ht="15" hidden="false" customHeight="false" outlineLevel="0" collapsed="false">
      <c r="A1241" s="3" t="s">
        <v>2617</v>
      </c>
      <c r="B1241" s="5" t="n">
        <v>46258.5284722222</v>
      </c>
      <c r="C1241" s="3" t="s">
        <v>39</v>
      </c>
      <c r="D1241" s="3" t="s">
        <v>222</v>
      </c>
      <c r="E1241" s="3" t="s">
        <v>223</v>
      </c>
      <c r="F1241" s="3" t="s">
        <v>53</v>
      </c>
      <c r="G1241" s="3" t="s">
        <v>42</v>
      </c>
      <c r="H1241" s="3" t="s">
        <v>2618</v>
      </c>
      <c r="I1241" s="3" t="n">
        <v>4</v>
      </c>
      <c r="J1241" s="3" t="n">
        <v>4</v>
      </c>
      <c r="K1241" s="3" t="n">
        <v>4</v>
      </c>
      <c r="L1241" s="3" t="n">
        <v>4</v>
      </c>
      <c r="M1241" s="3" t="n">
        <v>4</v>
      </c>
      <c r="N1241" s="3" t="n">
        <v>4</v>
      </c>
      <c r="O1241" s="6" t="b">
        <f aca="false">FALSE()</f>
        <v>0</v>
      </c>
      <c r="P1241" s="3"/>
      <c r="Q1241" s="5" t="n">
        <v>46258.5305555556</v>
      </c>
      <c r="R1241" s="5" t="n">
        <v>46258.8076388889</v>
      </c>
      <c r="S1241" s="3" t="s">
        <v>1699</v>
      </c>
      <c r="T1241" s="7" t="n">
        <f aca="false">ROUND(MIN(IF(OR(O1241=TRUE(),O1241="TRUE",O1241="Yes"),59,100),(I1241*Rubric!$C$2+J1241*Rubric!$C$3+K1241*Rubric!$C$4+L1241*Rubric!$C$5+M1241*Rubric!$C$6+N1241*Rubric!$C$7)/5),1)</f>
        <v>80</v>
      </c>
      <c r="U1241" s="8" t="str">
        <f aca="false">LOOKUP(T1241,Bands!$A$2:$A$6,Bands!$B$2:$B$6)</f>
        <v>Solid Performance</v>
      </c>
      <c r="V1241" s="8" t="n">
        <f aca="false">IF(Q1241="","",ROUND((Q1241-B1241)*24,1))</f>
        <v>0.1</v>
      </c>
    </row>
    <row r="1242" customFormat="false" ht="15" hidden="false" customHeight="false" outlineLevel="0" collapsed="false">
      <c r="A1242" s="3" t="s">
        <v>2619</v>
      </c>
      <c r="B1242" s="5" t="n">
        <v>46258.4527777778</v>
      </c>
      <c r="C1242" s="3" t="s">
        <v>68</v>
      </c>
      <c r="D1242" s="3" t="s">
        <v>161</v>
      </c>
      <c r="E1242" s="3" t="s">
        <v>162</v>
      </c>
      <c r="F1242" s="3" t="s">
        <v>33</v>
      </c>
      <c r="G1242" s="3" t="s">
        <v>54</v>
      </c>
      <c r="H1242" s="3" t="s">
        <v>2620</v>
      </c>
      <c r="I1242" s="3" t="n">
        <v>5</v>
      </c>
      <c r="J1242" s="3" t="n">
        <v>4</v>
      </c>
      <c r="K1242" s="3" t="n">
        <v>4</v>
      </c>
      <c r="L1242" s="3" t="n">
        <v>4</v>
      </c>
      <c r="M1242" s="3" t="n">
        <v>3</v>
      </c>
      <c r="N1242" s="3" t="n">
        <v>4</v>
      </c>
      <c r="O1242" s="6" t="b">
        <f aca="false">FALSE()</f>
        <v>0</v>
      </c>
      <c r="P1242" s="3"/>
      <c r="Q1242" s="5" t="n">
        <v>46258.4548611111</v>
      </c>
      <c r="R1242" s="5" t="n">
        <v>46258.5013888889</v>
      </c>
      <c r="S1242" s="3" t="s">
        <v>1699</v>
      </c>
      <c r="T1242" s="7" t="n">
        <f aca="false">ROUND(MIN(IF(OR(O1242=TRUE(),O1242="TRUE",O1242="Yes"),59,100),(I1242*Rubric!$C$2+J1242*Rubric!$C$3+K1242*Rubric!$C$4+L1242*Rubric!$C$5+M1242*Rubric!$C$6+N1242*Rubric!$C$7)/5),1)</f>
        <v>81</v>
      </c>
      <c r="U1242" s="8" t="str">
        <f aca="false">LOOKUP(T1242,Bands!$A$2:$A$6,Bands!$B$2:$B$6)</f>
        <v>Solid Performance</v>
      </c>
      <c r="V1242" s="8" t="n">
        <f aca="false">IF(Q1242="","",ROUND((Q1242-B1242)*24,1))</f>
        <v>0</v>
      </c>
    </row>
    <row r="1243" customFormat="false" ht="15" hidden="false" customHeight="false" outlineLevel="0" collapsed="false">
      <c r="A1243" s="3" t="s">
        <v>2621</v>
      </c>
      <c r="B1243" s="5" t="n">
        <v>46258.3972222222</v>
      </c>
      <c r="C1243" s="3" t="s">
        <v>39</v>
      </c>
      <c r="D1243" s="3" t="s">
        <v>81</v>
      </c>
      <c r="E1243" s="3" t="s">
        <v>82</v>
      </c>
      <c r="F1243" s="3" t="s">
        <v>65</v>
      </c>
      <c r="G1243" s="3" t="s">
        <v>42</v>
      </c>
      <c r="H1243" s="3" t="s">
        <v>2622</v>
      </c>
      <c r="I1243" s="3" t="n">
        <v>4</v>
      </c>
      <c r="J1243" s="3" t="n">
        <v>5</v>
      </c>
      <c r="K1243" s="3" t="n">
        <v>4</v>
      </c>
      <c r="L1243" s="3" t="n">
        <v>4</v>
      </c>
      <c r="M1243" s="3" t="n">
        <v>4</v>
      </c>
      <c r="N1243" s="3" t="n">
        <v>5</v>
      </c>
      <c r="O1243" s="6" t="b">
        <f aca="false">FALSE()</f>
        <v>0</v>
      </c>
      <c r="P1243" s="3"/>
      <c r="Q1243" s="5" t="n">
        <v>46258.3993055556</v>
      </c>
      <c r="R1243" s="5" t="n">
        <v>46258.7152777778</v>
      </c>
      <c r="S1243" s="3" t="s">
        <v>1699</v>
      </c>
      <c r="T1243" s="7" t="n">
        <f aca="false">ROUND(MIN(IF(OR(O1243=TRUE(),O1243="TRUE",O1243="Yes"),59,100),(I1243*Rubric!$C$2+J1243*Rubric!$C$3+K1243*Rubric!$C$4+L1243*Rubric!$C$5+M1243*Rubric!$C$6+N1243*Rubric!$C$7)/5),1)</f>
        <v>88</v>
      </c>
      <c r="U1243" s="8" t="str">
        <f aca="false">LOOKUP(T1243,Bands!$A$2:$A$6,Bands!$B$2:$B$6)</f>
        <v>Solid Performance</v>
      </c>
      <c r="V1243" s="8" t="n">
        <f aca="false">IF(Q1243="","",ROUND((Q1243-B1243)*24,1))</f>
        <v>0.1</v>
      </c>
    </row>
    <row r="1244" customFormat="false" ht="15" hidden="false" customHeight="false" outlineLevel="0" collapsed="false">
      <c r="A1244" s="3" t="s">
        <v>2623</v>
      </c>
      <c r="B1244" s="5" t="n">
        <v>46258.4409722222</v>
      </c>
      <c r="C1244" s="3" t="s">
        <v>68</v>
      </c>
      <c r="D1244" s="3" t="s">
        <v>151</v>
      </c>
      <c r="E1244" s="3" t="s">
        <v>152</v>
      </c>
      <c r="F1244" s="3" t="s">
        <v>33</v>
      </c>
      <c r="G1244" s="3" t="s">
        <v>42</v>
      </c>
      <c r="H1244" s="3" t="s">
        <v>2624</v>
      </c>
      <c r="I1244" s="3" t="n">
        <v>4</v>
      </c>
      <c r="J1244" s="3" t="n">
        <v>2</v>
      </c>
      <c r="K1244" s="3" t="n">
        <v>5</v>
      </c>
      <c r="L1244" s="3" t="n">
        <v>4</v>
      </c>
      <c r="M1244" s="3" t="n">
        <v>5</v>
      </c>
      <c r="N1244" s="3" t="n">
        <v>5</v>
      </c>
      <c r="O1244" s="6" t="b">
        <f aca="false">FALSE()</f>
        <v>0</v>
      </c>
      <c r="P1244" s="3" t="s">
        <v>56</v>
      </c>
      <c r="Q1244" s="5" t="n">
        <v>46258.4430555556</v>
      </c>
      <c r="R1244" s="5" t="n">
        <v>46258.5854166667</v>
      </c>
      <c r="S1244" s="3" t="s">
        <v>1699</v>
      </c>
      <c r="T1244" s="7" t="n">
        <f aca="false">ROUND(MIN(IF(OR(O1244=TRUE(),O1244="TRUE",O1244="Yes"),59,100),(I1244*Rubric!$C$2+J1244*Rubric!$C$3+K1244*Rubric!$C$4+L1244*Rubric!$C$5+M1244*Rubric!$C$6+N1244*Rubric!$C$7)/5),1)</f>
        <v>79</v>
      </c>
      <c r="U1244" s="8" t="str">
        <f aca="false">LOOKUP(T1244,Bands!$A$2:$A$6,Bands!$B$2:$B$6)</f>
        <v>Meets Expectations</v>
      </c>
      <c r="V1244" s="8" t="n">
        <f aca="false">IF(Q1244="","",ROUND((Q1244-B1244)*24,1))</f>
        <v>0.1</v>
      </c>
    </row>
    <row r="1245" customFormat="false" ht="15" hidden="false" customHeight="false" outlineLevel="0" collapsed="false">
      <c r="A1245" s="3" t="s">
        <v>2625</v>
      </c>
      <c r="B1245" s="5" t="n">
        <v>46258.3791666667</v>
      </c>
      <c r="C1245" s="3" t="s">
        <v>39</v>
      </c>
      <c r="D1245" s="3" t="s">
        <v>96</v>
      </c>
      <c r="E1245" s="3" t="s">
        <v>97</v>
      </c>
      <c r="F1245" s="3" t="s">
        <v>33</v>
      </c>
      <c r="G1245" s="3" t="s">
        <v>54</v>
      </c>
      <c r="H1245" s="3" t="s">
        <v>2626</v>
      </c>
      <c r="I1245" s="3" t="n">
        <v>5</v>
      </c>
      <c r="J1245" s="3" t="n">
        <v>3</v>
      </c>
      <c r="K1245" s="3" t="n">
        <v>5</v>
      </c>
      <c r="L1245" s="3" t="n">
        <v>5</v>
      </c>
      <c r="M1245" s="3" t="n">
        <v>4</v>
      </c>
      <c r="N1245" s="3" t="n">
        <v>5</v>
      </c>
      <c r="O1245" s="6" t="b">
        <f aca="false">FALSE()</f>
        <v>0</v>
      </c>
      <c r="P1245" s="3"/>
      <c r="Q1245" s="5" t="n">
        <v>46258.3798611111</v>
      </c>
      <c r="R1245" s="5" t="n">
        <v>46258.4819444444</v>
      </c>
      <c r="S1245" s="3" t="s">
        <v>1699</v>
      </c>
      <c r="T1245" s="7" t="n">
        <f aca="false">ROUND(MIN(IF(OR(O1245=TRUE(),O1245="TRUE",O1245="Yes"),59,100),(I1245*Rubric!$C$2+J1245*Rubric!$C$3+K1245*Rubric!$C$4+L1245*Rubric!$C$5+M1245*Rubric!$C$6+N1245*Rubric!$C$7)/5),1)</f>
        <v>88</v>
      </c>
      <c r="U1245" s="8" t="str">
        <f aca="false">LOOKUP(T1245,Bands!$A$2:$A$6,Bands!$B$2:$B$6)</f>
        <v>Solid Performance</v>
      </c>
      <c r="V1245" s="8" t="n">
        <f aca="false">IF(Q1245="","",ROUND((Q1245-B1245)*24,1))</f>
        <v>0</v>
      </c>
    </row>
    <row r="1246" customFormat="false" ht="15" hidden="false" customHeight="false" outlineLevel="0" collapsed="false">
      <c r="A1246" s="3" t="s">
        <v>2627</v>
      </c>
      <c r="B1246" s="5" t="n">
        <v>46258.5798611111</v>
      </c>
      <c r="C1246" s="3" t="s">
        <v>68</v>
      </c>
      <c r="D1246" s="3" t="s">
        <v>31</v>
      </c>
      <c r="E1246" s="3" t="s">
        <v>32</v>
      </c>
      <c r="F1246" s="3" t="s">
        <v>33</v>
      </c>
      <c r="G1246" s="3" t="s">
        <v>42</v>
      </c>
      <c r="H1246" s="3" t="s">
        <v>2628</v>
      </c>
      <c r="I1246" s="3" t="n">
        <v>4</v>
      </c>
      <c r="J1246" s="3" t="n">
        <v>5</v>
      </c>
      <c r="K1246" s="3" t="n">
        <v>4</v>
      </c>
      <c r="L1246" s="3" t="n">
        <v>4</v>
      </c>
      <c r="M1246" s="3" t="n">
        <v>4</v>
      </c>
      <c r="N1246" s="3" t="n">
        <v>4</v>
      </c>
      <c r="O1246" s="6" t="b">
        <f aca="false">FALSE()</f>
        <v>0</v>
      </c>
      <c r="P1246" s="3"/>
      <c r="Q1246" s="5" t="n">
        <v>46258.5819444444</v>
      </c>
      <c r="R1246" s="5" t="n">
        <v>46258.6847222222</v>
      </c>
      <c r="S1246" s="3" t="s">
        <v>1699</v>
      </c>
      <c r="T1246" s="7" t="n">
        <f aca="false">ROUND(MIN(IF(OR(O1246=TRUE(),O1246="TRUE",O1246="Yes"),59,100),(I1246*Rubric!$C$2+J1246*Rubric!$C$3+K1246*Rubric!$C$4+L1246*Rubric!$C$5+M1246*Rubric!$C$6+N1246*Rubric!$C$7)/5),1)</f>
        <v>85</v>
      </c>
      <c r="U1246" s="8" t="str">
        <f aca="false">LOOKUP(T1246,Bands!$A$2:$A$6,Bands!$B$2:$B$6)</f>
        <v>Solid Performance</v>
      </c>
      <c r="V1246" s="8" t="n">
        <f aca="false">IF(Q1246="","",ROUND((Q1246-B1246)*24,1))</f>
        <v>0</v>
      </c>
    </row>
    <row r="1247" customFormat="false" ht="15" hidden="false" customHeight="false" outlineLevel="0" collapsed="false">
      <c r="A1247" s="3" t="s">
        <v>2629</v>
      </c>
      <c r="B1247" s="5" t="n">
        <v>46258.3951388889</v>
      </c>
      <c r="C1247" s="3" t="s">
        <v>39</v>
      </c>
      <c r="D1247" s="3" t="s">
        <v>100</v>
      </c>
      <c r="E1247" s="3" t="s">
        <v>101</v>
      </c>
      <c r="F1247" s="3" t="s">
        <v>33</v>
      </c>
      <c r="G1247" s="3" t="s">
        <v>54</v>
      </c>
      <c r="H1247" s="3" t="s">
        <v>2630</v>
      </c>
      <c r="I1247" s="3" t="n">
        <v>4</v>
      </c>
      <c r="J1247" s="3" t="n">
        <v>5</v>
      </c>
      <c r="K1247" s="3" t="n">
        <v>4</v>
      </c>
      <c r="L1247" s="3" t="n">
        <v>5</v>
      </c>
      <c r="M1247" s="3" t="n">
        <v>3</v>
      </c>
      <c r="N1247" s="3" t="n">
        <v>4</v>
      </c>
      <c r="O1247" s="6" t="b">
        <f aca="false">FALSE()</f>
        <v>0</v>
      </c>
      <c r="P1247" s="3"/>
      <c r="Q1247" s="5" t="n">
        <v>46258.3972222222</v>
      </c>
      <c r="R1247" s="5" t="n">
        <v>46259.0722222222</v>
      </c>
      <c r="S1247" s="3" t="s">
        <v>1699</v>
      </c>
      <c r="T1247" s="7" t="n">
        <f aca="false">ROUND(MIN(IF(OR(O1247=TRUE(),O1247="TRUE",O1247="Yes"),59,100),(I1247*Rubric!$C$2+J1247*Rubric!$C$3+K1247*Rubric!$C$4+L1247*Rubric!$C$5+M1247*Rubric!$C$6+N1247*Rubric!$C$7)/5),1)</f>
        <v>86</v>
      </c>
      <c r="U1247" s="8" t="str">
        <f aca="false">LOOKUP(T1247,Bands!$A$2:$A$6,Bands!$B$2:$B$6)</f>
        <v>Solid Performance</v>
      </c>
      <c r="V1247" s="8" t="n">
        <f aca="false">IF(Q1247="","",ROUND((Q1247-B1247)*24,1))</f>
        <v>0</v>
      </c>
    </row>
    <row r="1248" customFormat="false" ht="15" hidden="false" customHeight="false" outlineLevel="0" collapsed="false">
      <c r="A1248" s="3" t="s">
        <v>2631</v>
      </c>
      <c r="B1248" s="5" t="n">
        <v>46258.4041666667</v>
      </c>
      <c r="C1248" s="3" t="s">
        <v>68</v>
      </c>
      <c r="D1248" s="3" t="s">
        <v>202</v>
      </c>
      <c r="E1248" s="3" t="s">
        <v>203</v>
      </c>
      <c r="F1248" s="3" t="s">
        <v>53</v>
      </c>
      <c r="G1248" s="3" t="s">
        <v>54</v>
      </c>
      <c r="H1248" s="3" t="s">
        <v>2632</v>
      </c>
      <c r="I1248" s="3" t="n">
        <v>4</v>
      </c>
      <c r="J1248" s="3" t="n">
        <v>4</v>
      </c>
      <c r="K1248" s="3" t="n">
        <v>4</v>
      </c>
      <c r="L1248" s="3" t="n">
        <v>3</v>
      </c>
      <c r="M1248" s="3" t="n">
        <v>4</v>
      </c>
      <c r="N1248" s="3" t="n">
        <v>3</v>
      </c>
      <c r="O1248" s="6" t="b">
        <f aca="false">FALSE()</f>
        <v>0</v>
      </c>
      <c r="P1248" s="3"/>
      <c r="Q1248" s="5" t="n">
        <v>46258.40625</v>
      </c>
      <c r="R1248" s="5" t="n">
        <v>46258.4236111111</v>
      </c>
      <c r="S1248" s="3" t="s">
        <v>1699</v>
      </c>
      <c r="T1248" s="7" t="n">
        <f aca="false">ROUND(MIN(IF(OR(O1248=TRUE(),O1248="TRUE",O1248="Yes"),59,100),(I1248*Rubric!$C$2+J1248*Rubric!$C$3+K1248*Rubric!$C$4+L1248*Rubric!$C$5+M1248*Rubric!$C$6+N1248*Rubric!$C$7)/5),1)</f>
        <v>74</v>
      </c>
      <c r="U1248" s="8" t="str">
        <f aca="false">LOOKUP(T1248,Bands!$A$2:$A$6,Bands!$B$2:$B$6)</f>
        <v>Meets Expectations</v>
      </c>
      <c r="V1248" s="8" t="n">
        <f aca="false">IF(Q1248="","",ROUND((Q1248-B1248)*24,1))</f>
        <v>0</v>
      </c>
    </row>
    <row r="1249" customFormat="false" ht="15" hidden="false" customHeight="false" outlineLevel="0" collapsed="false">
      <c r="A1249" s="3" t="s">
        <v>2633</v>
      </c>
      <c r="B1249" s="5" t="n">
        <v>46258.6423611111</v>
      </c>
      <c r="C1249" s="3" t="s">
        <v>30</v>
      </c>
      <c r="D1249" s="3" t="s">
        <v>40</v>
      </c>
      <c r="E1249" s="3" t="s">
        <v>41</v>
      </c>
      <c r="F1249" s="3" t="s">
        <v>33</v>
      </c>
      <c r="G1249" s="3" t="s">
        <v>42</v>
      </c>
      <c r="H1249" s="3" t="s">
        <v>2634</v>
      </c>
      <c r="I1249" s="3" t="n">
        <v>3</v>
      </c>
      <c r="J1249" s="3" t="n">
        <v>3</v>
      </c>
      <c r="K1249" s="3" t="n">
        <v>3</v>
      </c>
      <c r="L1249" s="3" t="n">
        <v>4</v>
      </c>
      <c r="M1249" s="3" t="n">
        <v>4</v>
      </c>
      <c r="N1249" s="3" t="n">
        <v>4</v>
      </c>
      <c r="O1249" s="6" t="b">
        <f aca="false">FALSE()</f>
        <v>0</v>
      </c>
      <c r="P1249" s="3"/>
      <c r="Q1249" s="5" t="n">
        <v>46258.6430555556</v>
      </c>
      <c r="R1249" s="5" t="n">
        <v>46259.2527777778</v>
      </c>
      <c r="S1249" s="3" t="s">
        <v>1699</v>
      </c>
      <c r="T1249" s="7" t="n">
        <f aca="false">ROUND(MIN(IF(OR(O1249=TRUE(),O1249="TRUE",O1249="Yes"),59,100),(I1249*Rubric!$C$2+J1249*Rubric!$C$3+K1249*Rubric!$C$4+L1249*Rubric!$C$5+M1249*Rubric!$C$6+N1249*Rubric!$C$7)/5),1)</f>
        <v>68</v>
      </c>
      <c r="U1249" s="8" t="str">
        <f aca="false">LOOKUP(T1249,Bands!$A$2:$A$6,Bands!$B$2:$B$6)</f>
        <v>Needs Improvement</v>
      </c>
      <c r="V1249" s="8" t="n">
        <f aca="false">IF(Q1249="","",ROUND((Q1249-B1249)*24,1))</f>
        <v>0</v>
      </c>
    </row>
    <row r="1250" customFormat="false" ht="15" hidden="false" customHeight="false" outlineLevel="0" collapsed="false">
      <c r="A1250" s="3" t="s">
        <v>2635</v>
      </c>
      <c r="B1250" s="5" t="n">
        <v>46259.5423611111</v>
      </c>
      <c r="C1250" s="3" t="s">
        <v>68</v>
      </c>
      <c r="D1250" s="3" t="s">
        <v>238</v>
      </c>
      <c r="E1250" s="3" t="s">
        <v>239</v>
      </c>
      <c r="F1250" s="3" t="s">
        <v>33</v>
      </c>
      <c r="G1250" s="3" t="s">
        <v>54</v>
      </c>
      <c r="H1250" s="3" t="s">
        <v>2636</v>
      </c>
      <c r="I1250" s="3" t="n">
        <v>5</v>
      </c>
      <c r="J1250" s="3" t="n">
        <v>4</v>
      </c>
      <c r="K1250" s="3" t="n">
        <v>5</v>
      </c>
      <c r="L1250" s="3" t="n">
        <v>3</v>
      </c>
      <c r="M1250" s="3" t="n">
        <v>3</v>
      </c>
      <c r="N1250" s="3" t="n">
        <v>4</v>
      </c>
      <c r="O1250" s="6" t="b">
        <f aca="false">FALSE()</f>
        <v>0</v>
      </c>
      <c r="P1250" s="3"/>
      <c r="Q1250" s="5" t="n">
        <v>46259.5444444444</v>
      </c>
      <c r="R1250" s="5" t="n">
        <v>46259.6111111111</v>
      </c>
      <c r="S1250" s="3" t="s">
        <v>1699</v>
      </c>
      <c r="T1250" s="7" t="n">
        <f aca="false">ROUND(MIN(IF(OR(O1250=TRUE(),O1250="TRUE",O1250="Yes"),59,100),(I1250*Rubric!$C$2+J1250*Rubric!$C$3+K1250*Rubric!$C$4+L1250*Rubric!$C$5+M1250*Rubric!$C$6+N1250*Rubric!$C$7)/5),1)</f>
        <v>82</v>
      </c>
      <c r="U1250" s="8" t="str">
        <f aca="false">LOOKUP(T1250,Bands!$A$2:$A$6,Bands!$B$2:$B$6)</f>
        <v>Solid Performance</v>
      </c>
      <c r="V1250" s="8" t="n">
        <f aca="false">IF(Q1250="","",ROUND((Q1250-B1250)*24,1))</f>
        <v>0</v>
      </c>
    </row>
    <row r="1251" customFormat="false" ht="15" hidden="false" customHeight="false" outlineLevel="0" collapsed="false">
      <c r="A1251" s="3" t="s">
        <v>2637</v>
      </c>
      <c r="B1251" s="5" t="n">
        <v>46259.5048611111</v>
      </c>
      <c r="C1251" s="3" t="s">
        <v>68</v>
      </c>
      <c r="D1251" s="3" t="s">
        <v>194</v>
      </c>
      <c r="E1251" s="3" t="s">
        <v>195</v>
      </c>
      <c r="F1251" s="3" t="s">
        <v>53</v>
      </c>
      <c r="G1251" s="3" t="s">
        <v>54</v>
      </c>
      <c r="H1251" s="3" t="s">
        <v>2638</v>
      </c>
      <c r="I1251" s="3" t="n">
        <v>4</v>
      </c>
      <c r="J1251" s="3" t="n">
        <v>5</v>
      </c>
      <c r="K1251" s="3" t="n">
        <v>5</v>
      </c>
      <c r="L1251" s="3" t="n">
        <v>4</v>
      </c>
      <c r="M1251" s="3" t="n">
        <v>4</v>
      </c>
      <c r="N1251" s="3" t="n">
        <v>4</v>
      </c>
      <c r="O1251" s="6" t="b">
        <f aca="false">FALSE()</f>
        <v>0</v>
      </c>
      <c r="P1251" s="3"/>
      <c r="Q1251" s="5" t="n">
        <v>46259.5069444445</v>
      </c>
      <c r="R1251" s="5" t="n">
        <v>46260.1159722222</v>
      </c>
      <c r="S1251" s="3" t="s">
        <v>1699</v>
      </c>
      <c r="T1251" s="7" t="n">
        <f aca="false">ROUND(MIN(IF(OR(O1251=TRUE(),O1251="TRUE",O1251="Yes"),59,100),(I1251*Rubric!$C$2+J1251*Rubric!$C$3+K1251*Rubric!$C$4+L1251*Rubric!$C$5+M1251*Rubric!$C$6+N1251*Rubric!$C$7)/5),1)</f>
        <v>89</v>
      </c>
      <c r="U1251" s="8" t="str">
        <f aca="false">LOOKUP(T1251,Bands!$A$2:$A$6,Bands!$B$2:$B$6)</f>
        <v>Solid Performance</v>
      </c>
      <c r="V1251" s="8" t="n">
        <f aca="false">IF(Q1251="","",ROUND((Q1251-B1251)*24,1))</f>
        <v>0.1</v>
      </c>
    </row>
    <row r="1252" customFormat="false" ht="15" hidden="false" customHeight="false" outlineLevel="0" collapsed="false">
      <c r="A1252" s="3" t="s">
        <v>2639</v>
      </c>
      <c r="B1252" s="5" t="n">
        <v>46259.6944444445</v>
      </c>
      <c r="C1252" s="3" t="s">
        <v>68</v>
      </c>
      <c r="D1252" s="3" t="s">
        <v>51</v>
      </c>
      <c r="E1252" s="3" t="s">
        <v>52</v>
      </c>
      <c r="F1252" s="3" t="s">
        <v>53</v>
      </c>
      <c r="G1252" s="3" t="s">
        <v>54</v>
      </c>
      <c r="H1252" s="3" t="s">
        <v>2640</v>
      </c>
      <c r="I1252" s="3" t="n">
        <v>4</v>
      </c>
      <c r="J1252" s="3" t="n">
        <v>3</v>
      </c>
      <c r="K1252" s="3" t="n">
        <v>3</v>
      </c>
      <c r="L1252" s="3" t="n">
        <v>4</v>
      </c>
      <c r="M1252" s="3" t="n">
        <v>4</v>
      </c>
      <c r="N1252" s="3" t="n">
        <v>4</v>
      </c>
      <c r="O1252" s="6" t="b">
        <f aca="false">FALSE()</f>
        <v>0</v>
      </c>
      <c r="P1252" s="3"/>
      <c r="Q1252" s="5" t="n">
        <v>46259.6958333333</v>
      </c>
      <c r="R1252" s="5" t="n">
        <v>46259.7291666667</v>
      </c>
      <c r="S1252" s="3" t="s">
        <v>1699</v>
      </c>
      <c r="T1252" s="7" t="n">
        <f aca="false">ROUND(MIN(IF(OR(O1252=TRUE(),O1252="TRUE",O1252="Yes"),59,100),(I1252*Rubric!$C$2+J1252*Rubric!$C$3+K1252*Rubric!$C$4+L1252*Rubric!$C$5+M1252*Rubric!$C$6+N1252*Rubric!$C$7)/5),1)</f>
        <v>71</v>
      </c>
      <c r="U1252" s="8" t="str">
        <f aca="false">LOOKUP(T1252,Bands!$A$2:$A$6,Bands!$B$2:$B$6)</f>
        <v>Meets Expectations</v>
      </c>
      <c r="V1252" s="8" t="n">
        <f aca="false">IF(Q1252="","",ROUND((Q1252-B1252)*24,1))</f>
        <v>0</v>
      </c>
    </row>
    <row r="1253" customFormat="false" ht="15" hidden="false" customHeight="false" outlineLevel="0" collapsed="false">
      <c r="A1253" s="3" t="s">
        <v>2641</v>
      </c>
      <c r="B1253" s="5" t="n">
        <v>46259.6548611111</v>
      </c>
      <c r="C1253" s="3" t="s">
        <v>39</v>
      </c>
      <c r="D1253" s="3" t="s">
        <v>63</v>
      </c>
      <c r="E1253" s="3" t="s">
        <v>64</v>
      </c>
      <c r="F1253" s="3" t="s">
        <v>65</v>
      </c>
      <c r="G1253" s="3" t="s">
        <v>34</v>
      </c>
      <c r="H1253" s="3" t="s">
        <v>2642</v>
      </c>
      <c r="I1253" s="3" t="n">
        <v>4</v>
      </c>
      <c r="J1253" s="3" t="n">
        <v>4</v>
      </c>
      <c r="K1253" s="3" t="n">
        <v>3</v>
      </c>
      <c r="L1253" s="3" t="n">
        <v>4</v>
      </c>
      <c r="M1253" s="3" t="n">
        <v>4</v>
      </c>
      <c r="N1253" s="3" t="n">
        <v>4</v>
      </c>
      <c r="O1253" s="6" t="b">
        <f aca="false">FALSE()</f>
        <v>0</v>
      </c>
      <c r="P1253" s="3"/>
      <c r="Q1253" s="5" t="n">
        <v>46259.65625</v>
      </c>
      <c r="R1253" s="5" t="n">
        <v>46259.6583333333</v>
      </c>
      <c r="S1253" s="3" t="s">
        <v>1699</v>
      </c>
      <c r="T1253" s="7" t="n">
        <f aca="false">ROUND(MIN(IF(OR(O1253=TRUE(),O1253="TRUE",O1253="Yes"),59,100),(I1253*Rubric!$C$2+J1253*Rubric!$C$3+K1253*Rubric!$C$4+L1253*Rubric!$C$5+M1253*Rubric!$C$6+N1253*Rubric!$C$7)/5),1)</f>
        <v>76</v>
      </c>
      <c r="U1253" s="8" t="str">
        <f aca="false">LOOKUP(T1253,Bands!$A$2:$A$6,Bands!$B$2:$B$6)</f>
        <v>Meets Expectations</v>
      </c>
      <c r="V1253" s="8" t="n">
        <f aca="false">IF(Q1253="","",ROUND((Q1253-B1253)*24,1))</f>
        <v>0</v>
      </c>
    </row>
    <row r="1254" customFormat="false" ht="15" hidden="false" customHeight="false" outlineLevel="0" collapsed="false">
      <c r="A1254" s="3" t="s">
        <v>2643</v>
      </c>
      <c r="B1254" s="5" t="n">
        <v>46259.4173611111</v>
      </c>
      <c r="C1254" s="3" t="s">
        <v>30</v>
      </c>
      <c r="D1254" s="3" t="s">
        <v>167</v>
      </c>
      <c r="E1254" s="3" t="s">
        <v>168</v>
      </c>
      <c r="F1254" s="3" t="s">
        <v>33</v>
      </c>
      <c r="G1254" s="3" t="s">
        <v>54</v>
      </c>
      <c r="H1254" s="3" t="s">
        <v>2644</v>
      </c>
      <c r="I1254" s="3" t="n">
        <v>4</v>
      </c>
      <c r="J1254" s="3" t="n">
        <v>4</v>
      </c>
      <c r="K1254" s="3" t="n">
        <v>3</v>
      </c>
      <c r="L1254" s="3" t="n">
        <v>4</v>
      </c>
      <c r="M1254" s="3" t="n">
        <v>4</v>
      </c>
      <c r="N1254" s="3" t="n">
        <v>3</v>
      </c>
      <c r="O1254" s="6" t="b">
        <f aca="false">FALSE()</f>
        <v>0</v>
      </c>
      <c r="P1254" s="3"/>
      <c r="Q1254" s="5" t="n">
        <v>46259.41875</v>
      </c>
      <c r="R1254" s="5" t="n">
        <v>46259.6298611111</v>
      </c>
      <c r="S1254" s="3" t="s">
        <v>1699</v>
      </c>
      <c r="T1254" s="7" t="n">
        <f aca="false">ROUND(MIN(IF(OR(O1254=TRUE(),O1254="TRUE",O1254="Yes"),59,100),(I1254*Rubric!$C$2+J1254*Rubric!$C$3+K1254*Rubric!$C$4+L1254*Rubric!$C$5+M1254*Rubric!$C$6+N1254*Rubric!$C$7)/5),1)</f>
        <v>73</v>
      </c>
      <c r="U1254" s="8" t="str">
        <f aca="false">LOOKUP(T1254,Bands!$A$2:$A$6,Bands!$B$2:$B$6)</f>
        <v>Meets Expectations</v>
      </c>
      <c r="V1254" s="8" t="n">
        <f aca="false">IF(Q1254="","",ROUND((Q1254-B1254)*24,1))</f>
        <v>0</v>
      </c>
    </row>
    <row r="1255" customFormat="false" ht="15" hidden="false" customHeight="false" outlineLevel="0" collapsed="false">
      <c r="A1255" s="3" t="s">
        <v>2645</v>
      </c>
      <c r="B1255" s="5" t="n">
        <v>46259.6291666667</v>
      </c>
      <c r="C1255" s="3" t="s">
        <v>30</v>
      </c>
      <c r="D1255" s="3" t="s">
        <v>251</v>
      </c>
      <c r="E1255" s="3" t="s">
        <v>252</v>
      </c>
      <c r="F1255" s="3" t="s">
        <v>53</v>
      </c>
      <c r="G1255" s="3" t="s">
        <v>54</v>
      </c>
      <c r="H1255" s="3" t="s">
        <v>2646</v>
      </c>
      <c r="I1255" s="3" t="n">
        <v>4</v>
      </c>
      <c r="J1255" s="3" t="n">
        <v>4</v>
      </c>
      <c r="K1255" s="3" t="n">
        <v>3</v>
      </c>
      <c r="L1255" s="3" t="n">
        <v>4</v>
      </c>
      <c r="M1255" s="3" t="n">
        <v>3</v>
      </c>
      <c r="N1255" s="3" t="n">
        <v>4</v>
      </c>
      <c r="O1255" s="6" t="b">
        <f aca="false">FALSE()</f>
        <v>0</v>
      </c>
      <c r="P1255" s="3"/>
      <c r="Q1255" s="5" t="n">
        <v>46259.63125</v>
      </c>
      <c r="R1255" s="5" t="n">
        <v>46260.1152777778</v>
      </c>
      <c r="S1255" s="3" t="s">
        <v>1699</v>
      </c>
      <c r="T1255" s="7" t="n">
        <f aca="false">ROUND(MIN(IF(OR(O1255=TRUE(),O1255="TRUE",O1255="Yes"),59,100),(I1255*Rubric!$C$2+J1255*Rubric!$C$3+K1255*Rubric!$C$4+L1255*Rubric!$C$5+M1255*Rubric!$C$6+N1255*Rubric!$C$7)/5),1)</f>
        <v>74</v>
      </c>
      <c r="U1255" s="8" t="str">
        <f aca="false">LOOKUP(T1255,Bands!$A$2:$A$6,Bands!$B$2:$B$6)</f>
        <v>Meets Expectations</v>
      </c>
      <c r="V1255" s="8" t="n">
        <f aca="false">IF(Q1255="","",ROUND((Q1255-B1255)*24,1))</f>
        <v>0</v>
      </c>
    </row>
    <row r="1256" customFormat="false" ht="15" hidden="false" customHeight="false" outlineLevel="0" collapsed="false">
      <c r="A1256" s="3" t="s">
        <v>2647</v>
      </c>
      <c r="B1256" s="5" t="n">
        <v>46259.4798611111</v>
      </c>
      <c r="C1256" s="3" t="s">
        <v>30</v>
      </c>
      <c r="D1256" s="3" t="s">
        <v>198</v>
      </c>
      <c r="E1256" s="3" t="s">
        <v>199</v>
      </c>
      <c r="F1256" s="3" t="s">
        <v>33</v>
      </c>
      <c r="G1256" s="3" t="s">
        <v>34</v>
      </c>
      <c r="H1256" s="3" t="s">
        <v>2648</v>
      </c>
      <c r="I1256" s="3" t="n">
        <v>4</v>
      </c>
      <c r="J1256" s="3" t="n">
        <v>3</v>
      </c>
      <c r="K1256" s="3" t="n">
        <v>4</v>
      </c>
      <c r="L1256" s="3" t="n">
        <v>4</v>
      </c>
      <c r="M1256" s="3" t="n">
        <v>4</v>
      </c>
      <c r="N1256" s="3" t="n">
        <v>4</v>
      </c>
      <c r="O1256" s="6" t="b">
        <f aca="false">FALSE()</f>
        <v>0</v>
      </c>
      <c r="P1256" s="3"/>
      <c r="Q1256" s="5" t="n">
        <v>46259.4805555556</v>
      </c>
      <c r="R1256" s="5" t="n">
        <v>46259.6694444444</v>
      </c>
      <c r="S1256" s="3" t="s">
        <v>1699</v>
      </c>
      <c r="T1256" s="7" t="n">
        <f aca="false">ROUND(MIN(IF(OR(O1256=TRUE(),O1256="TRUE",O1256="Yes"),59,100),(I1256*Rubric!$C$2+J1256*Rubric!$C$3+K1256*Rubric!$C$4+L1256*Rubric!$C$5+M1256*Rubric!$C$6+N1256*Rubric!$C$7)/5),1)</f>
        <v>75</v>
      </c>
      <c r="U1256" s="8" t="str">
        <f aca="false">LOOKUP(T1256,Bands!$A$2:$A$6,Bands!$B$2:$B$6)</f>
        <v>Meets Expectations</v>
      </c>
      <c r="V1256" s="8" t="n">
        <f aca="false">IF(Q1256="","",ROUND((Q1256-B1256)*24,1))</f>
        <v>0</v>
      </c>
    </row>
    <row r="1257" customFormat="false" ht="15" hidden="false" customHeight="false" outlineLevel="0" collapsed="false">
      <c r="A1257" s="3" t="s">
        <v>2649</v>
      </c>
      <c r="B1257" s="5" t="n">
        <v>46259.425</v>
      </c>
      <c r="C1257" s="3" t="s">
        <v>68</v>
      </c>
      <c r="D1257" s="3" t="s">
        <v>96</v>
      </c>
      <c r="E1257" s="3" t="s">
        <v>97</v>
      </c>
      <c r="F1257" s="3" t="s">
        <v>33</v>
      </c>
      <c r="G1257" s="3" t="s">
        <v>42</v>
      </c>
      <c r="H1257" s="3" t="s">
        <v>2650</v>
      </c>
      <c r="I1257" s="3" t="n">
        <v>5</v>
      </c>
      <c r="J1257" s="3" t="n">
        <v>3</v>
      </c>
      <c r="K1257" s="3" t="n">
        <v>4</v>
      </c>
      <c r="L1257" s="3" t="n">
        <v>4</v>
      </c>
      <c r="M1257" s="3" t="n">
        <v>4</v>
      </c>
      <c r="N1257" s="3" t="n">
        <v>0</v>
      </c>
      <c r="O1257" s="6" t="b">
        <f aca="false">TRUE()</f>
        <v>1</v>
      </c>
      <c r="P1257" s="3" t="s">
        <v>36</v>
      </c>
      <c r="Q1257" s="5" t="n">
        <v>46259.4256944444</v>
      </c>
      <c r="R1257" s="5" t="n">
        <v>46259.4534722222</v>
      </c>
      <c r="S1257" s="3" t="s">
        <v>1699</v>
      </c>
      <c r="T1257" s="7" t="n">
        <f aca="false">ROUND(MIN(IF(OR(O1257=TRUE(),O1257="TRUE",O1257="Yes"),59,100),(I1257*Rubric!$C$2+J1257*Rubric!$C$3+K1257*Rubric!$C$4+L1257*Rubric!$C$5+M1257*Rubric!$C$6+N1257*Rubric!$C$7)/5),1)</f>
        <v>59</v>
      </c>
      <c r="U1257" s="8" t="str">
        <f aca="false">LOOKUP(T1257,Bands!$A$2:$A$6,Bands!$B$2:$B$6)</f>
        <v>Critical</v>
      </c>
      <c r="V1257" s="8" t="n">
        <f aca="false">IF(Q1257="","",ROUND((Q1257-B1257)*24,1))</f>
        <v>0</v>
      </c>
    </row>
    <row r="1258" customFormat="false" ht="15" hidden="false" customHeight="false" outlineLevel="0" collapsed="false">
      <c r="A1258" s="3" t="s">
        <v>2651</v>
      </c>
      <c r="B1258" s="5" t="n">
        <v>46259.6076388889</v>
      </c>
      <c r="C1258" s="3" t="s">
        <v>30</v>
      </c>
      <c r="D1258" s="3" t="s">
        <v>125</v>
      </c>
      <c r="E1258" s="3" t="s">
        <v>126</v>
      </c>
      <c r="F1258" s="3" t="s">
        <v>53</v>
      </c>
      <c r="G1258" s="3" t="s">
        <v>54</v>
      </c>
      <c r="H1258" s="3" t="s">
        <v>2652</v>
      </c>
      <c r="I1258" s="3" t="n">
        <v>4</v>
      </c>
      <c r="J1258" s="3" t="n">
        <v>4</v>
      </c>
      <c r="K1258" s="3" t="n">
        <v>4</v>
      </c>
      <c r="L1258" s="3" t="n">
        <v>4</v>
      </c>
      <c r="M1258" s="3" t="n">
        <v>4</v>
      </c>
      <c r="N1258" s="3" t="n">
        <v>4</v>
      </c>
      <c r="O1258" s="6" t="b">
        <f aca="false">FALSE()</f>
        <v>0</v>
      </c>
      <c r="P1258" s="3"/>
      <c r="Q1258" s="5" t="n">
        <v>46259.6097222222</v>
      </c>
      <c r="R1258" s="5" t="n">
        <v>46259.6222222222</v>
      </c>
      <c r="S1258" s="3" t="s">
        <v>1699</v>
      </c>
      <c r="T1258" s="7" t="n">
        <f aca="false">ROUND(MIN(IF(OR(O1258=TRUE(),O1258="TRUE",O1258="Yes"),59,100),(I1258*Rubric!$C$2+J1258*Rubric!$C$3+K1258*Rubric!$C$4+L1258*Rubric!$C$5+M1258*Rubric!$C$6+N1258*Rubric!$C$7)/5),1)</f>
        <v>80</v>
      </c>
      <c r="U1258" s="8" t="str">
        <f aca="false">LOOKUP(T1258,Bands!$A$2:$A$6,Bands!$B$2:$B$6)</f>
        <v>Solid Performance</v>
      </c>
      <c r="V1258" s="8" t="n">
        <f aca="false">IF(Q1258="","",ROUND((Q1258-B1258)*24,1))</f>
        <v>0</v>
      </c>
    </row>
    <row r="1259" customFormat="false" ht="15" hidden="false" customHeight="false" outlineLevel="0" collapsed="false">
      <c r="A1259" s="3" t="s">
        <v>2653</v>
      </c>
      <c r="B1259" s="5" t="n">
        <v>46259.6895833333</v>
      </c>
      <c r="C1259" s="3" t="s">
        <v>30</v>
      </c>
      <c r="D1259" s="3" t="s">
        <v>486</v>
      </c>
      <c r="E1259" s="3" t="s">
        <v>487</v>
      </c>
      <c r="F1259" s="3" t="s">
        <v>65</v>
      </c>
      <c r="G1259" s="3" t="s">
        <v>54</v>
      </c>
      <c r="H1259" s="3" t="s">
        <v>2654</v>
      </c>
      <c r="I1259" s="3" t="n">
        <v>4</v>
      </c>
      <c r="J1259" s="3" t="n">
        <v>4</v>
      </c>
      <c r="K1259" s="3" t="n">
        <v>5</v>
      </c>
      <c r="L1259" s="3" t="n">
        <v>5</v>
      </c>
      <c r="M1259" s="3" t="n">
        <v>4</v>
      </c>
      <c r="N1259" s="3" t="n">
        <v>5</v>
      </c>
      <c r="O1259" s="6" t="b">
        <f aca="false">FALSE()</f>
        <v>0</v>
      </c>
      <c r="P1259" s="3"/>
      <c r="Q1259" s="5" t="n">
        <v>46259.6909722222</v>
      </c>
      <c r="R1259" s="5" t="n">
        <v>46259.8236111111</v>
      </c>
      <c r="S1259" s="3" t="s">
        <v>1699</v>
      </c>
      <c r="T1259" s="7" t="n">
        <f aca="false">ROUND(MIN(IF(OR(O1259=TRUE(),O1259="TRUE",O1259="Yes"),59,100),(I1259*Rubric!$C$2+J1259*Rubric!$C$3+K1259*Rubric!$C$4+L1259*Rubric!$C$5+M1259*Rubric!$C$6+N1259*Rubric!$C$7)/5),1)</f>
        <v>90</v>
      </c>
      <c r="U1259" s="8" t="str">
        <f aca="false">LOOKUP(T1259,Bands!$A$2:$A$6,Bands!$B$2:$B$6)</f>
        <v>Outstanding</v>
      </c>
      <c r="V1259" s="8" t="n">
        <f aca="false">IF(Q1259="","",ROUND((Q1259-B1259)*24,1))</f>
        <v>0</v>
      </c>
    </row>
    <row r="1260" customFormat="false" ht="15" hidden="false" customHeight="false" outlineLevel="0" collapsed="false">
      <c r="A1260" s="3" t="s">
        <v>2655</v>
      </c>
      <c r="B1260" s="5" t="n">
        <v>46259.4048611111</v>
      </c>
      <c r="C1260" s="3" t="s">
        <v>39</v>
      </c>
      <c r="D1260" s="3" t="s">
        <v>100</v>
      </c>
      <c r="E1260" s="3" t="s">
        <v>101</v>
      </c>
      <c r="F1260" s="3" t="s">
        <v>33</v>
      </c>
      <c r="G1260" s="3" t="s">
        <v>42</v>
      </c>
      <c r="H1260" s="3" t="s">
        <v>2656</v>
      </c>
      <c r="I1260" s="3" t="n">
        <v>4</v>
      </c>
      <c r="J1260" s="3" t="n">
        <v>4</v>
      </c>
      <c r="K1260" s="3" t="n">
        <v>5</v>
      </c>
      <c r="L1260" s="3" t="n">
        <v>4</v>
      </c>
      <c r="M1260" s="3" t="n">
        <v>3</v>
      </c>
      <c r="N1260" s="3" t="n">
        <v>1</v>
      </c>
      <c r="O1260" s="6" t="b">
        <f aca="false">TRUE()</f>
        <v>1</v>
      </c>
      <c r="P1260" s="3" t="s">
        <v>36</v>
      </c>
      <c r="Q1260" s="5" t="n">
        <v>46259.40625</v>
      </c>
      <c r="R1260" s="5" t="n">
        <v>46259.8520833333</v>
      </c>
      <c r="S1260" s="3" t="s">
        <v>1699</v>
      </c>
      <c r="T1260" s="7" t="n">
        <f aca="false">ROUND(MIN(IF(OR(O1260=TRUE(),O1260="TRUE",O1260="Yes"),59,100),(I1260*Rubric!$C$2+J1260*Rubric!$C$3+K1260*Rubric!$C$4+L1260*Rubric!$C$5+M1260*Rubric!$C$6+N1260*Rubric!$C$7)/5),1)</f>
        <v>59</v>
      </c>
      <c r="U1260" s="8" t="str">
        <f aca="false">LOOKUP(T1260,Bands!$A$2:$A$6,Bands!$B$2:$B$6)</f>
        <v>Critical</v>
      </c>
      <c r="V1260" s="8" t="n">
        <f aca="false">IF(Q1260="","",ROUND((Q1260-B1260)*24,1))</f>
        <v>0</v>
      </c>
    </row>
    <row r="1261" customFormat="false" ht="15" hidden="false" customHeight="false" outlineLevel="0" collapsed="false">
      <c r="A1261" s="3" t="s">
        <v>2657</v>
      </c>
      <c r="B1261" s="5" t="n">
        <v>46259.5368055556</v>
      </c>
      <c r="C1261" s="3" t="s">
        <v>68</v>
      </c>
      <c r="D1261" s="3" t="s">
        <v>31</v>
      </c>
      <c r="E1261" s="3" t="s">
        <v>32</v>
      </c>
      <c r="F1261" s="3" t="s">
        <v>33</v>
      </c>
      <c r="G1261" s="3" t="s">
        <v>42</v>
      </c>
      <c r="H1261" s="3" t="s">
        <v>2658</v>
      </c>
      <c r="I1261" s="3" t="n">
        <v>5</v>
      </c>
      <c r="J1261" s="3" t="n">
        <v>4</v>
      </c>
      <c r="K1261" s="3" t="n">
        <v>4</v>
      </c>
      <c r="L1261" s="3" t="n">
        <v>4</v>
      </c>
      <c r="M1261" s="3" t="n">
        <v>5</v>
      </c>
      <c r="N1261" s="3" t="n">
        <v>3</v>
      </c>
      <c r="O1261" s="6" t="b">
        <f aca="false">FALSE()</f>
        <v>0</v>
      </c>
      <c r="P1261" s="3"/>
      <c r="Q1261" s="5" t="n">
        <v>46259.5375</v>
      </c>
      <c r="R1261" s="5" t="n">
        <v>46259.7305555556</v>
      </c>
      <c r="S1261" s="3" t="s">
        <v>1699</v>
      </c>
      <c r="T1261" s="7" t="n">
        <f aca="false">ROUND(MIN(IF(OR(O1261=TRUE(),O1261="TRUE",O1261="Yes"),59,100),(I1261*Rubric!$C$2+J1261*Rubric!$C$3+K1261*Rubric!$C$4+L1261*Rubric!$C$5+M1261*Rubric!$C$6+N1261*Rubric!$C$7)/5),1)</f>
        <v>82</v>
      </c>
      <c r="U1261" s="8" t="str">
        <f aca="false">LOOKUP(T1261,Bands!$A$2:$A$6,Bands!$B$2:$B$6)</f>
        <v>Solid Performance</v>
      </c>
      <c r="V1261" s="8" t="n">
        <f aca="false">IF(Q1261="","",ROUND((Q1261-B1261)*24,1))</f>
        <v>0</v>
      </c>
    </row>
    <row r="1262" customFormat="false" ht="15" hidden="false" customHeight="false" outlineLevel="0" collapsed="false">
      <c r="A1262" s="3" t="s">
        <v>2659</v>
      </c>
      <c r="B1262" s="5" t="n">
        <v>46260.6</v>
      </c>
      <c r="C1262" s="3" t="s">
        <v>39</v>
      </c>
      <c r="D1262" s="3" t="s">
        <v>31</v>
      </c>
      <c r="E1262" s="3" t="s">
        <v>32</v>
      </c>
      <c r="F1262" s="3" t="s">
        <v>33</v>
      </c>
      <c r="G1262" s="3" t="s">
        <v>54</v>
      </c>
      <c r="H1262" s="3" t="s">
        <v>2660</v>
      </c>
      <c r="I1262" s="3" t="n">
        <v>5</v>
      </c>
      <c r="J1262" s="3" t="n">
        <v>5</v>
      </c>
      <c r="K1262" s="3" t="n">
        <v>5</v>
      </c>
      <c r="L1262" s="3" t="n">
        <v>4</v>
      </c>
      <c r="M1262" s="3" t="n">
        <v>4</v>
      </c>
      <c r="N1262" s="3" t="n">
        <v>3</v>
      </c>
      <c r="O1262" s="6" t="b">
        <f aca="false">FALSE()</f>
        <v>0</v>
      </c>
      <c r="P1262" s="3"/>
      <c r="Q1262" s="5" t="n">
        <v>46260.6013888889</v>
      </c>
      <c r="R1262" s="5" t="n">
        <v>46260.7125</v>
      </c>
      <c r="S1262" s="3" t="s">
        <v>1699</v>
      </c>
      <c r="T1262" s="7" t="n">
        <f aca="false">ROUND(MIN(IF(OR(O1262=TRUE(),O1262="TRUE",O1262="Yes"),59,100),(I1262*Rubric!$C$2+J1262*Rubric!$C$3+K1262*Rubric!$C$4+L1262*Rubric!$C$5+M1262*Rubric!$C$6+N1262*Rubric!$C$7)/5),1)</f>
        <v>89</v>
      </c>
      <c r="U1262" s="8" t="str">
        <f aca="false">LOOKUP(T1262,Bands!$A$2:$A$6,Bands!$B$2:$B$6)</f>
        <v>Solid Performance</v>
      </c>
      <c r="V1262" s="8" t="n">
        <f aca="false">IF(Q1262="","",ROUND((Q1262-B1262)*24,1))</f>
        <v>0</v>
      </c>
    </row>
    <row r="1263" customFormat="false" ht="15" hidden="false" customHeight="false" outlineLevel="0" collapsed="false">
      <c r="A1263" s="3" t="s">
        <v>2661</v>
      </c>
      <c r="B1263" s="5" t="n">
        <v>46260.4798611111</v>
      </c>
      <c r="C1263" s="3" t="s">
        <v>39</v>
      </c>
      <c r="D1263" s="3" t="s">
        <v>133</v>
      </c>
      <c r="E1263" s="3" t="s">
        <v>134</v>
      </c>
      <c r="F1263" s="3" t="s">
        <v>33</v>
      </c>
      <c r="G1263" s="3" t="s">
        <v>42</v>
      </c>
      <c r="H1263" s="3" t="s">
        <v>2662</v>
      </c>
      <c r="I1263" s="3" t="n">
        <v>4</v>
      </c>
      <c r="J1263" s="3" t="n">
        <v>3</v>
      </c>
      <c r="K1263" s="3" t="n">
        <v>5</v>
      </c>
      <c r="L1263" s="3" t="n">
        <v>4</v>
      </c>
      <c r="M1263" s="3" t="n">
        <v>5</v>
      </c>
      <c r="N1263" s="3" t="n">
        <v>5</v>
      </c>
      <c r="O1263" s="6" t="b">
        <f aca="false">FALSE()</f>
        <v>0</v>
      </c>
      <c r="P1263" s="3"/>
      <c r="Q1263" s="5" t="n">
        <v>46260.4805555556</v>
      </c>
      <c r="R1263" s="5" t="n">
        <v>46260.7506944445</v>
      </c>
      <c r="S1263" s="3" t="s">
        <v>1699</v>
      </c>
      <c r="T1263" s="7" t="n">
        <f aca="false">ROUND(MIN(IF(OR(O1263=TRUE(),O1263="TRUE",O1263="Yes"),59,100),(I1263*Rubric!$C$2+J1263*Rubric!$C$3+K1263*Rubric!$C$4+L1263*Rubric!$C$5+M1263*Rubric!$C$6+N1263*Rubric!$C$7)/5),1)</f>
        <v>84</v>
      </c>
      <c r="U1263" s="8" t="str">
        <f aca="false">LOOKUP(T1263,Bands!$A$2:$A$6,Bands!$B$2:$B$6)</f>
        <v>Solid Performance</v>
      </c>
      <c r="V1263" s="8" t="n">
        <f aca="false">IF(Q1263="","",ROUND((Q1263-B1263)*24,1))</f>
        <v>0</v>
      </c>
    </row>
    <row r="1264" customFormat="false" ht="15" hidden="false" customHeight="false" outlineLevel="0" collapsed="false">
      <c r="A1264" s="3" t="s">
        <v>2663</v>
      </c>
      <c r="B1264" s="5" t="n">
        <v>46260.6597222222</v>
      </c>
      <c r="C1264" s="3" t="s">
        <v>30</v>
      </c>
      <c r="D1264" s="3" t="s">
        <v>366</v>
      </c>
      <c r="E1264" s="3" t="s">
        <v>367</v>
      </c>
      <c r="F1264" s="3" t="s">
        <v>53</v>
      </c>
      <c r="G1264" s="3" t="s">
        <v>42</v>
      </c>
      <c r="H1264" s="3" t="s">
        <v>2664</v>
      </c>
      <c r="I1264" s="3" t="n">
        <v>4</v>
      </c>
      <c r="J1264" s="3" t="n">
        <v>4</v>
      </c>
      <c r="K1264" s="3" t="n">
        <v>4</v>
      </c>
      <c r="L1264" s="3" t="n">
        <v>4</v>
      </c>
      <c r="M1264" s="3" t="n">
        <v>5</v>
      </c>
      <c r="N1264" s="3" t="n">
        <v>5</v>
      </c>
      <c r="O1264" s="6" t="b">
        <f aca="false">FALSE()</f>
        <v>0</v>
      </c>
      <c r="P1264" s="3"/>
      <c r="Q1264" s="5" t="n">
        <v>46260.6618055556</v>
      </c>
      <c r="R1264" s="5" t="n">
        <v>46260.8333333333</v>
      </c>
      <c r="S1264" s="3" t="s">
        <v>1699</v>
      </c>
      <c r="T1264" s="7" t="n">
        <f aca="false">ROUND(MIN(IF(OR(O1264=TRUE(),O1264="TRUE",O1264="Yes"),59,100),(I1264*Rubric!$C$2+J1264*Rubric!$C$3+K1264*Rubric!$C$4+L1264*Rubric!$C$5+M1264*Rubric!$C$6+N1264*Rubric!$C$7)/5),1)</f>
        <v>85</v>
      </c>
      <c r="U1264" s="8" t="str">
        <f aca="false">LOOKUP(T1264,Bands!$A$2:$A$6,Bands!$B$2:$B$6)</f>
        <v>Solid Performance</v>
      </c>
      <c r="V1264" s="8" t="n">
        <f aca="false">IF(Q1264="","",ROUND((Q1264-B1264)*24,1))</f>
        <v>0.1</v>
      </c>
    </row>
    <row r="1265" customFormat="false" ht="15" hidden="false" customHeight="false" outlineLevel="0" collapsed="false">
      <c r="A1265" s="3" t="s">
        <v>2665</v>
      </c>
      <c r="B1265" s="5" t="n">
        <v>46260.65625</v>
      </c>
      <c r="C1265" s="3" t="s">
        <v>30</v>
      </c>
      <c r="D1265" s="3" t="s">
        <v>307</v>
      </c>
      <c r="E1265" s="3" t="s">
        <v>308</v>
      </c>
      <c r="F1265" s="3" t="s">
        <v>33</v>
      </c>
      <c r="G1265" s="3" t="s">
        <v>54</v>
      </c>
      <c r="H1265" s="3" t="s">
        <v>2666</v>
      </c>
      <c r="I1265" s="3" t="n">
        <v>5</v>
      </c>
      <c r="J1265" s="3" t="n">
        <v>4</v>
      </c>
      <c r="K1265" s="3" t="n">
        <v>5</v>
      </c>
      <c r="L1265" s="3" t="n">
        <v>5</v>
      </c>
      <c r="M1265" s="3" t="n">
        <v>5</v>
      </c>
      <c r="N1265" s="3" t="n">
        <v>5</v>
      </c>
      <c r="O1265" s="6" t="b">
        <f aca="false">FALSE()</f>
        <v>0</v>
      </c>
      <c r="P1265" s="3"/>
      <c r="Q1265" s="5" t="n">
        <v>46260.6569444445</v>
      </c>
      <c r="R1265" s="5" t="n">
        <v>46260.6576388889</v>
      </c>
      <c r="S1265" s="3" t="s">
        <v>1699</v>
      </c>
      <c r="T1265" s="7" t="n">
        <f aca="false">ROUND(MIN(IF(OR(O1265=TRUE(),O1265="TRUE",O1265="Yes"),59,100),(I1265*Rubric!$C$2+J1265*Rubric!$C$3+K1265*Rubric!$C$4+L1265*Rubric!$C$5+M1265*Rubric!$C$6+N1265*Rubric!$C$7)/5),1)</f>
        <v>95</v>
      </c>
      <c r="U1265" s="8" t="str">
        <f aca="false">LOOKUP(T1265,Bands!$A$2:$A$6,Bands!$B$2:$B$6)</f>
        <v>Outstanding</v>
      </c>
      <c r="V1265" s="8" t="n">
        <f aca="false">IF(Q1265="","",ROUND((Q1265-B1265)*24,1))</f>
        <v>0</v>
      </c>
    </row>
    <row r="1266" customFormat="false" ht="15" hidden="false" customHeight="false" outlineLevel="0" collapsed="false">
      <c r="A1266" s="3" t="s">
        <v>2667</v>
      </c>
      <c r="B1266" s="5" t="n">
        <v>46260.4986111111</v>
      </c>
      <c r="C1266" s="3" t="s">
        <v>68</v>
      </c>
      <c r="D1266" s="3" t="s">
        <v>202</v>
      </c>
      <c r="E1266" s="3" t="s">
        <v>203</v>
      </c>
      <c r="F1266" s="3" t="s">
        <v>53</v>
      </c>
      <c r="G1266" s="3" t="s">
        <v>54</v>
      </c>
      <c r="H1266" s="3" t="s">
        <v>2668</v>
      </c>
      <c r="I1266" s="3" t="n">
        <v>4</v>
      </c>
      <c r="J1266" s="3" t="n">
        <v>4</v>
      </c>
      <c r="K1266" s="3" t="n">
        <v>4</v>
      </c>
      <c r="L1266" s="3" t="n">
        <v>3</v>
      </c>
      <c r="M1266" s="3" t="n">
        <v>4</v>
      </c>
      <c r="N1266" s="3" t="n">
        <v>4</v>
      </c>
      <c r="O1266" s="6" t="b">
        <f aca="false">FALSE()</f>
        <v>0</v>
      </c>
      <c r="P1266" s="3"/>
      <c r="Q1266" s="5" t="n">
        <v>46260.5006944445</v>
      </c>
      <c r="R1266" s="5" t="n">
        <v>46260.5215277778</v>
      </c>
      <c r="S1266" s="3" t="s">
        <v>1699</v>
      </c>
      <c r="T1266" s="7" t="n">
        <f aca="false">ROUND(MIN(IF(OR(O1266=TRUE(),O1266="TRUE",O1266="Yes"),59,100),(I1266*Rubric!$C$2+J1266*Rubric!$C$3+K1266*Rubric!$C$4+L1266*Rubric!$C$5+M1266*Rubric!$C$6+N1266*Rubric!$C$7)/5),1)</f>
        <v>77</v>
      </c>
      <c r="U1266" s="8" t="str">
        <f aca="false">LOOKUP(T1266,Bands!$A$2:$A$6,Bands!$B$2:$B$6)</f>
        <v>Meets Expectations</v>
      </c>
      <c r="V1266" s="8" t="n">
        <f aca="false">IF(Q1266="","",ROUND((Q1266-B1266)*24,1))</f>
        <v>0.1</v>
      </c>
    </row>
    <row r="1267" customFormat="false" ht="15" hidden="false" customHeight="false" outlineLevel="0" collapsed="false">
      <c r="A1267" s="3" t="s">
        <v>2669</v>
      </c>
      <c r="B1267" s="5" t="n">
        <v>46260.6791666667</v>
      </c>
      <c r="C1267" s="3" t="s">
        <v>30</v>
      </c>
      <c r="D1267" s="3" t="s">
        <v>125</v>
      </c>
      <c r="E1267" s="3" t="s">
        <v>126</v>
      </c>
      <c r="F1267" s="3" t="s">
        <v>53</v>
      </c>
      <c r="G1267" s="3" t="s">
        <v>54</v>
      </c>
      <c r="H1267" s="3" t="s">
        <v>2670</v>
      </c>
      <c r="I1267" s="3" t="n">
        <v>4</v>
      </c>
      <c r="J1267" s="3" t="n">
        <v>5</v>
      </c>
      <c r="K1267" s="3" t="n">
        <v>5</v>
      </c>
      <c r="L1267" s="3" t="n">
        <v>3</v>
      </c>
      <c r="M1267" s="3" t="n">
        <v>4</v>
      </c>
      <c r="N1267" s="3" t="n">
        <v>5</v>
      </c>
      <c r="O1267" s="6" t="b">
        <f aca="false">FALSE()</f>
        <v>0</v>
      </c>
      <c r="P1267" s="3"/>
      <c r="Q1267" s="5" t="n">
        <v>46260.68125</v>
      </c>
      <c r="R1267" s="5" t="n">
        <v>46261.3243055556</v>
      </c>
      <c r="S1267" s="3" t="s">
        <v>1699</v>
      </c>
      <c r="T1267" s="7" t="n">
        <f aca="false">ROUND(MIN(IF(OR(O1267=TRUE(),O1267="TRUE",O1267="Yes"),59,100),(I1267*Rubric!$C$2+J1267*Rubric!$C$3+K1267*Rubric!$C$4+L1267*Rubric!$C$5+M1267*Rubric!$C$6+N1267*Rubric!$C$7)/5),1)</f>
        <v>89</v>
      </c>
      <c r="U1267" s="8" t="str">
        <f aca="false">LOOKUP(T1267,Bands!$A$2:$A$6,Bands!$B$2:$B$6)</f>
        <v>Solid Performance</v>
      </c>
      <c r="V1267" s="8" t="n">
        <f aca="false">IF(Q1267="","",ROUND((Q1267-B1267)*24,1))</f>
        <v>0</v>
      </c>
    </row>
    <row r="1268" customFormat="false" ht="15" hidden="false" customHeight="false" outlineLevel="0" collapsed="false">
      <c r="A1268" s="3" t="s">
        <v>2671</v>
      </c>
      <c r="B1268" s="5" t="n">
        <v>46260.6638888889</v>
      </c>
      <c r="C1268" s="3" t="s">
        <v>68</v>
      </c>
      <c r="D1268" s="3" t="s">
        <v>115</v>
      </c>
      <c r="E1268" s="3" t="s">
        <v>116</v>
      </c>
      <c r="F1268" s="3" t="s">
        <v>33</v>
      </c>
      <c r="G1268" s="3" t="s">
        <v>34</v>
      </c>
      <c r="H1268" s="3" t="s">
        <v>2672</v>
      </c>
      <c r="I1268" s="3" t="n">
        <v>5</v>
      </c>
      <c r="J1268" s="3" t="n">
        <v>4</v>
      </c>
      <c r="K1268" s="3" t="n">
        <v>4</v>
      </c>
      <c r="L1268" s="3" t="n">
        <v>3</v>
      </c>
      <c r="M1268" s="3" t="n">
        <v>3</v>
      </c>
      <c r="N1268" s="3" t="n">
        <v>1</v>
      </c>
      <c r="O1268" s="6" t="b">
        <f aca="false">TRUE()</f>
        <v>1</v>
      </c>
      <c r="P1268" s="3" t="s">
        <v>36</v>
      </c>
      <c r="Q1268" s="5" t="n">
        <v>46260.6645833333</v>
      </c>
      <c r="R1268" s="5" t="n">
        <v>46260.8368055556</v>
      </c>
      <c r="S1268" s="3" t="s">
        <v>1699</v>
      </c>
      <c r="T1268" s="7" t="n">
        <f aca="false">ROUND(MIN(IF(OR(O1268=TRUE(),O1268="TRUE",O1268="Yes"),59,100),(I1268*Rubric!$C$2+J1268*Rubric!$C$3+K1268*Rubric!$C$4+L1268*Rubric!$C$5+M1268*Rubric!$C$6+N1268*Rubric!$C$7)/5),1)</f>
        <v>59</v>
      </c>
      <c r="U1268" s="8" t="str">
        <f aca="false">LOOKUP(T1268,Bands!$A$2:$A$6,Bands!$B$2:$B$6)</f>
        <v>Critical</v>
      </c>
      <c r="V1268" s="8" t="n">
        <f aca="false">IF(Q1268="","",ROUND((Q1268-B1268)*24,1))</f>
        <v>0</v>
      </c>
    </row>
    <row r="1269" customFormat="false" ht="15" hidden="false" customHeight="false" outlineLevel="0" collapsed="false">
      <c r="A1269" s="3" t="s">
        <v>2673</v>
      </c>
      <c r="B1269" s="5" t="n">
        <v>46260.6645833333</v>
      </c>
      <c r="C1269" s="3" t="s">
        <v>30</v>
      </c>
      <c r="D1269" s="3" t="s">
        <v>265</v>
      </c>
      <c r="E1269" s="3" t="s">
        <v>266</v>
      </c>
      <c r="F1269" s="3" t="s">
        <v>33</v>
      </c>
      <c r="G1269" s="3" t="s">
        <v>54</v>
      </c>
      <c r="H1269" s="3" t="s">
        <v>2674</v>
      </c>
      <c r="I1269" s="3" t="n">
        <v>4</v>
      </c>
      <c r="J1269" s="3" t="n">
        <v>4</v>
      </c>
      <c r="K1269" s="3" t="n">
        <v>4</v>
      </c>
      <c r="L1269" s="3" t="n">
        <v>3</v>
      </c>
      <c r="M1269" s="3" t="n">
        <v>3</v>
      </c>
      <c r="N1269" s="3" t="n">
        <v>4</v>
      </c>
      <c r="O1269" s="6" t="b">
        <f aca="false">FALSE()</f>
        <v>0</v>
      </c>
      <c r="P1269" s="3"/>
      <c r="Q1269" s="5" t="n">
        <v>46260.6666666667</v>
      </c>
      <c r="R1269" s="5" t="n">
        <v>46260.7333333333</v>
      </c>
      <c r="S1269" s="3" t="s">
        <v>1699</v>
      </c>
      <c r="T1269" s="7" t="n">
        <f aca="false">ROUND(MIN(IF(OR(O1269=TRUE(),O1269="TRUE",O1269="Yes"),59,100),(I1269*Rubric!$C$2+J1269*Rubric!$C$3+K1269*Rubric!$C$4+L1269*Rubric!$C$5+M1269*Rubric!$C$6+N1269*Rubric!$C$7)/5),1)</f>
        <v>75</v>
      </c>
      <c r="U1269" s="8" t="str">
        <f aca="false">LOOKUP(T1269,Bands!$A$2:$A$6,Bands!$B$2:$B$6)</f>
        <v>Meets Expectations</v>
      </c>
      <c r="V1269" s="8" t="n">
        <f aca="false">IF(Q1269="","",ROUND((Q1269-B1269)*24,1))</f>
        <v>0.1</v>
      </c>
    </row>
    <row r="1270" customFormat="false" ht="15" hidden="false" customHeight="false" outlineLevel="0" collapsed="false">
      <c r="A1270" s="3" t="s">
        <v>2675</v>
      </c>
      <c r="B1270" s="5" t="n">
        <v>46260.7020833333</v>
      </c>
      <c r="C1270" s="3" t="s">
        <v>68</v>
      </c>
      <c r="D1270" s="3" t="s">
        <v>194</v>
      </c>
      <c r="E1270" s="3" t="s">
        <v>195</v>
      </c>
      <c r="F1270" s="3" t="s">
        <v>53</v>
      </c>
      <c r="G1270" s="3" t="s">
        <v>54</v>
      </c>
      <c r="H1270" s="3" t="s">
        <v>2676</v>
      </c>
      <c r="I1270" s="3" t="n">
        <v>4</v>
      </c>
      <c r="J1270" s="3" t="n">
        <v>5</v>
      </c>
      <c r="K1270" s="3" t="n">
        <v>4</v>
      </c>
      <c r="L1270" s="3" t="n">
        <v>4</v>
      </c>
      <c r="M1270" s="3" t="n">
        <v>4</v>
      </c>
      <c r="N1270" s="3" t="n">
        <v>4</v>
      </c>
      <c r="O1270" s="6" t="b">
        <f aca="false">FALSE()</f>
        <v>0</v>
      </c>
      <c r="P1270" s="3"/>
      <c r="Q1270" s="5" t="n">
        <v>46260.7041666667</v>
      </c>
      <c r="R1270" s="5" t="n">
        <v>46260.96875</v>
      </c>
      <c r="S1270" s="3" t="s">
        <v>1699</v>
      </c>
      <c r="T1270" s="7" t="n">
        <f aca="false">ROUND(MIN(IF(OR(O1270=TRUE(),O1270="TRUE",O1270="Yes"),59,100),(I1270*Rubric!$C$2+J1270*Rubric!$C$3+K1270*Rubric!$C$4+L1270*Rubric!$C$5+M1270*Rubric!$C$6+N1270*Rubric!$C$7)/5),1)</f>
        <v>85</v>
      </c>
      <c r="U1270" s="8" t="str">
        <f aca="false">LOOKUP(T1270,Bands!$A$2:$A$6,Bands!$B$2:$B$6)</f>
        <v>Solid Performance</v>
      </c>
      <c r="V1270" s="8" t="n">
        <f aca="false">IF(Q1270="","",ROUND((Q1270-B1270)*24,1))</f>
        <v>0.1</v>
      </c>
    </row>
    <row r="1271" customFormat="false" ht="15" hidden="false" customHeight="false" outlineLevel="0" collapsed="false">
      <c r="A1271" s="3" t="s">
        <v>2677</v>
      </c>
      <c r="B1271" s="5" t="n">
        <v>46260.5215277778</v>
      </c>
      <c r="C1271" s="3" t="s">
        <v>30</v>
      </c>
      <c r="D1271" s="3" t="s">
        <v>151</v>
      </c>
      <c r="E1271" s="3" t="s">
        <v>152</v>
      </c>
      <c r="F1271" s="3" t="s">
        <v>33</v>
      </c>
      <c r="G1271" s="3" t="s">
        <v>54</v>
      </c>
      <c r="H1271" s="3" t="s">
        <v>2678</v>
      </c>
      <c r="I1271" s="3" t="n">
        <v>5</v>
      </c>
      <c r="J1271" s="3" t="n">
        <v>4</v>
      </c>
      <c r="K1271" s="3" t="n">
        <v>5</v>
      </c>
      <c r="L1271" s="3" t="n">
        <v>5</v>
      </c>
      <c r="M1271" s="3" t="n">
        <v>4</v>
      </c>
      <c r="N1271" s="3" t="n">
        <v>5</v>
      </c>
      <c r="O1271" s="6" t="b">
        <f aca="false">FALSE()</f>
        <v>0</v>
      </c>
      <c r="P1271" s="3"/>
      <c r="Q1271" s="5" t="n">
        <v>46260.5222222222</v>
      </c>
      <c r="R1271" s="5" t="n">
        <v>46260.5222222222</v>
      </c>
      <c r="S1271" s="3" t="s">
        <v>1699</v>
      </c>
      <c r="T1271" s="7" t="n">
        <f aca="false">ROUND(MIN(IF(OR(O1271=TRUE(),O1271="TRUE",O1271="Yes"),59,100),(I1271*Rubric!$C$2+J1271*Rubric!$C$3+K1271*Rubric!$C$4+L1271*Rubric!$C$5+M1271*Rubric!$C$6+N1271*Rubric!$C$7)/5),1)</f>
        <v>93</v>
      </c>
      <c r="U1271" s="8" t="str">
        <f aca="false">LOOKUP(T1271,Bands!$A$2:$A$6,Bands!$B$2:$B$6)</f>
        <v>Outstanding</v>
      </c>
      <c r="V1271" s="8" t="n">
        <f aca="false">IF(Q1271="","",ROUND((Q1271-B1271)*24,1))</f>
        <v>0</v>
      </c>
    </row>
    <row r="1272" customFormat="false" ht="15" hidden="false" customHeight="false" outlineLevel="0" collapsed="false">
      <c r="A1272" s="3" t="s">
        <v>2679</v>
      </c>
      <c r="B1272" s="5" t="n">
        <v>46260.40625</v>
      </c>
      <c r="C1272" s="3" t="s">
        <v>68</v>
      </c>
      <c r="D1272" s="3" t="s">
        <v>238</v>
      </c>
      <c r="E1272" s="3" t="s">
        <v>239</v>
      </c>
      <c r="F1272" s="3" t="s">
        <v>33</v>
      </c>
      <c r="G1272" s="3" t="s">
        <v>42</v>
      </c>
      <c r="H1272" s="3" t="s">
        <v>2680</v>
      </c>
      <c r="I1272" s="3" t="n">
        <v>5</v>
      </c>
      <c r="J1272" s="3" t="n">
        <v>5</v>
      </c>
      <c r="K1272" s="3" t="n">
        <v>4</v>
      </c>
      <c r="L1272" s="3" t="n">
        <v>4</v>
      </c>
      <c r="M1272" s="3" t="n">
        <v>3</v>
      </c>
      <c r="N1272" s="3" t="n">
        <v>4</v>
      </c>
      <c r="O1272" s="6" t="b">
        <f aca="false">FALSE()</f>
        <v>0</v>
      </c>
      <c r="P1272" s="3"/>
      <c r="Q1272" s="5" t="n">
        <v>46260.4083333333</v>
      </c>
      <c r="R1272" s="5" t="n">
        <v>46260.9548611111</v>
      </c>
      <c r="S1272" s="3" t="s">
        <v>1699</v>
      </c>
      <c r="T1272" s="7" t="n">
        <f aca="false">ROUND(MIN(IF(OR(O1272=TRUE(),O1272="TRUE",O1272="Yes"),59,100),(I1272*Rubric!$C$2+J1272*Rubric!$C$3+K1272*Rubric!$C$4+L1272*Rubric!$C$5+M1272*Rubric!$C$6+N1272*Rubric!$C$7)/5),1)</f>
        <v>86</v>
      </c>
      <c r="U1272" s="8" t="str">
        <f aca="false">LOOKUP(T1272,Bands!$A$2:$A$6,Bands!$B$2:$B$6)</f>
        <v>Solid Performance</v>
      </c>
      <c r="V1272" s="8" t="n">
        <f aca="false">IF(Q1272="","",ROUND((Q1272-B1272)*24,1))</f>
        <v>0</v>
      </c>
    </row>
    <row r="1273" customFormat="false" ht="15" hidden="false" customHeight="false" outlineLevel="0" collapsed="false">
      <c r="A1273" s="3" t="s">
        <v>2681</v>
      </c>
      <c r="B1273" s="5" t="n">
        <v>46260.4166666667</v>
      </c>
      <c r="C1273" s="3" t="s">
        <v>68</v>
      </c>
      <c r="D1273" s="3" t="s">
        <v>77</v>
      </c>
      <c r="E1273" s="3" t="s">
        <v>78</v>
      </c>
      <c r="F1273" s="3" t="s">
        <v>33</v>
      </c>
      <c r="G1273" s="3" t="s">
        <v>54</v>
      </c>
      <c r="H1273" s="3" t="s">
        <v>2682</v>
      </c>
      <c r="I1273" s="3" t="n">
        <v>5</v>
      </c>
      <c r="J1273" s="3" t="n">
        <v>5</v>
      </c>
      <c r="K1273" s="3" t="n">
        <v>4</v>
      </c>
      <c r="L1273" s="3" t="n">
        <v>5</v>
      </c>
      <c r="M1273" s="3" t="n">
        <v>5</v>
      </c>
      <c r="N1273" s="3" t="n">
        <v>5</v>
      </c>
      <c r="O1273" s="6" t="b">
        <f aca="false">FALSE()</f>
        <v>0</v>
      </c>
      <c r="P1273" s="3"/>
      <c r="Q1273" s="5" t="n">
        <v>46260.4173611111</v>
      </c>
      <c r="R1273" s="5" t="n">
        <v>46260.4756944445</v>
      </c>
      <c r="S1273" s="3" t="s">
        <v>1699</v>
      </c>
      <c r="T1273" s="7" t="n">
        <f aca="false">ROUND(MIN(IF(OR(O1273=TRUE(),O1273="TRUE",O1273="Yes"),59,100),(I1273*Rubric!$C$2+J1273*Rubric!$C$3+K1273*Rubric!$C$4+L1273*Rubric!$C$5+M1273*Rubric!$C$6+N1273*Rubric!$C$7)/5),1)</f>
        <v>96</v>
      </c>
      <c r="U1273" s="8" t="str">
        <f aca="false">LOOKUP(T1273,Bands!$A$2:$A$6,Bands!$B$2:$B$6)</f>
        <v>Outstanding</v>
      </c>
      <c r="V1273" s="8" t="n">
        <f aca="false">IF(Q1273="","",ROUND((Q1273-B1273)*24,1))</f>
        <v>0</v>
      </c>
    </row>
    <row r="1274" customFormat="false" ht="15" hidden="false" customHeight="false" outlineLevel="0" collapsed="false">
      <c r="A1274" s="3" t="s">
        <v>2683</v>
      </c>
      <c r="B1274" s="5" t="n">
        <v>46261.6666666667</v>
      </c>
      <c r="C1274" s="3" t="s">
        <v>39</v>
      </c>
      <c r="D1274" s="3" t="s">
        <v>96</v>
      </c>
      <c r="E1274" s="3" t="s">
        <v>97</v>
      </c>
      <c r="F1274" s="3" t="s">
        <v>33</v>
      </c>
      <c r="G1274" s="3" t="s">
        <v>42</v>
      </c>
      <c r="H1274" s="3" t="s">
        <v>2684</v>
      </c>
      <c r="I1274" s="3" t="n">
        <v>5</v>
      </c>
      <c r="J1274" s="3" t="n">
        <v>3</v>
      </c>
      <c r="K1274" s="3" t="n">
        <v>5</v>
      </c>
      <c r="L1274" s="3" t="n">
        <v>5</v>
      </c>
      <c r="M1274" s="3" t="n">
        <v>5</v>
      </c>
      <c r="N1274" s="3" t="n">
        <v>5</v>
      </c>
      <c r="O1274" s="6" t="b">
        <f aca="false">FALSE()</f>
        <v>0</v>
      </c>
      <c r="P1274" s="3"/>
      <c r="Q1274" s="5" t="n">
        <v>46261.66875</v>
      </c>
      <c r="R1274" s="5" t="n">
        <v>46262.1319444445</v>
      </c>
      <c r="S1274" s="3" t="s">
        <v>1699</v>
      </c>
      <c r="T1274" s="7" t="n">
        <f aca="false">ROUND(MIN(IF(OR(O1274=TRUE(),O1274="TRUE",O1274="Yes"),59,100),(I1274*Rubric!$C$2+J1274*Rubric!$C$3+K1274*Rubric!$C$4+L1274*Rubric!$C$5+M1274*Rubric!$C$6+N1274*Rubric!$C$7)/5),1)</f>
        <v>90</v>
      </c>
      <c r="U1274" s="8" t="str">
        <f aca="false">LOOKUP(T1274,Bands!$A$2:$A$6,Bands!$B$2:$B$6)</f>
        <v>Outstanding</v>
      </c>
      <c r="V1274" s="8" t="n">
        <f aca="false">IF(Q1274="","",ROUND((Q1274-B1274)*24,1))</f>
        <v>0</v>
      </c>
    </row>
    <row r="1275" customFormat="false" ht="15" hidden="false" customHeight="false" outlineLevel="0" collapsed="false">
      <c r="A1275" s="3" t="s">
        <v>2685</v>
      </c>
      <c r="B1275" s="5" t="n">
        <v>46261.4319444444</v>
      </c>
      <c r="C1275" s="3" t="s">
        <v>30</v>
      </c>
      <c r="D1275" s="3" t="s">
        <v>51</v>
      </c>
      <c r="E1275" s="3" t="s">
        <v>52</v>
      </c>
      <c r="F1275" s="3" t="s">
        <v>53</v>
      </c>
      <c r="G1275" s="3" t="s">
        <v>54</v>
      </c>
      <c r="H1275" s="3" t="s">
        <v>2686</v>
      </c>
      <c r="I1275" s="3" t="n">
        <v>5</v>
      </c>
      <c r="J1275" s="3" t="n">
        <v>4</v>
      </c>
      <c r="K1275" s="3" t="n">
        <v>4</v>
      </c>
      <c r="L1275" s="3" t="n">
        <v>4</v>
      </c>
      <c r="M1275" s="3" t="n">
        <v>4</v>
      </c>
      <c r="N1275" s="3" t="n">
        <v>4</v>
      </c>
      <c r="O1275" s="6" t="b">
        <f aca="false">FALSE()</f>
        <v>0</v>
      </c>
      <c r="P1275" s="3"/>
      <c r="Q1275" s="5" t="n">
        <v>46261.4326388889</v>
      </c>
      <c r="R1275" s="5" t="n">
        <v>46261.68125</v>
      </c>
      <c r="S1275" s="3" t="s">
        <v>1699</v>
      </c>
      <c r="T1275" s="7" t="n">
        <f aca="false">ROUND(MIN(IF(OR(O1275=TRUE(),O1275="TRUE",O1275="Yes"),59,100),(I1275*Rubric!$C$2+J1275*Rubric!$C$3+K1275*Rubric!$C$4+L1275*Rubric!$C$5+M1275*Rubric!$C$6+N1275*Rubric!$C$7)/5),1)</f>
        <v>83</v>
      </c>
      <c r="U1275" s="8" t="str">
        <f aca="false">LOOKUP(T1275,Bands!$A$2:$A$6,Bands!$B$2:$B$6)</f>
        <v>Solid Performance</v>
      </c>
      <c r="V1275" s="8" t="n">
        <f aca="false">IF(Q1275="","",ROUND((Q1275-B1275)*24,1))</f>
        <v>0</v>
      </c>
    </row>
    <row r="1276" customFormat="false" ht="15" hidden="false" customHeight="false" outlineLevel="0" collapsed="false">
      <c r="A1276" s="3" t="s">
        <v>2687</v>
      </c>
      <c r="B1276" s="5" t="n">
        <v>46261.4256944444</v>
      </c>
      <c r="C1276" s="3" t="s">
        <v>68</v>
      </c>
      <c r="D1276" s="3" t="s">
        <v>366</v>
      </c>
      <c r="E1276" s="3" t="s">
        <v>367</v>
      </c>
      <c r="F1276" s="3" t="s">
        <v>53</v>
      </c>
      <c r="G1276" s="3" t="s">
        <v>42</v>
      </c>
      <c r="H1276" s="3" t="s">
        <v>2688</v>
      </c>
      <c r="I1276" s="3" t="n">
        <v>3</v>
      </c>
      <c r="J1276" s="3" t="n">
        <v>4</v>
      </c>
      <c r="K1276" s="3" t="n">
        <v>5</v>
      </c>
      <c r="L1276" s="3" t="n">
        <v>4</v>
      </c>
      <c r="M1276" s="3" t="n">
        <v>3</v>
      </c>
      <c r="N1276" s="3" t="n">
        <v>1</v>
      </c>
      <c r="O1276" s="6" t="b">
        <f aca="false">TRUE()</f>
        <v>1</v>
      </c>
      <c r="P1276" s="3" t="s">
        <v>36</v>
      </c>
      <c r="Q1276" s="5" t="n">
        <v>46261.4270833333</v>
      </c>
      <c r="R1276" s="5" t="n">
        <v>46261.4979166667</v>
      </c>
      <c r="S1276" s="3" t="s">
        <v>1699</v>
      </c>
      <c r="T1276" s="7" t="n">
        <f aca="false">ROUND(MIN(IF(OR(O1276=TRUE(),O1276="TRUE",O1276="Yes"),59,100),(I1276*Rubric!$C$2+J1276*Rubric!$C$3+K1276*Rubric!$C$4+L1276*Rubric!$C$5+M1276*Rubric!$C$6+N1276*Rubric!$C$7)/5),1)</f>
        <v>59</v>
      </c>
      <c r="U1276" s="8" t="str">
        <f aca="false">LOOKUP(T1276,Bands!$A$2:$A$6,Bands!$B$2:$B$6)</f>
        <v>Critical</v>
      </c>
      <c r="V1276" s="8" t="n">
        <f aca="false">IF(Q1276="","",ROUND((Q1276-B1276)*24,1))</f>
        <v>0</v>
      </c>
    </row>
    <row r="1277" customFormat="false" ht="15" hidden="false" customHeight="false" outlineLevel="0" collapsed="false">
      <c r="A1277" s="3" t="s">
        <v>2689</v>
      </c>
      <c r="B1277" s="5" t="n">
        <v>46261.6638888889</v>
      </c>
      <c r="C1277" s="3" t="s">
        <v>30</v>
      </c>
      <c r="D1277" s="3" t="s">
        <v>228</v>
      </c>
      <c r="E1277" s="3" t="s">
        <v>229</v>
      </c>
      <c r="F1277" s="3" t="s">
        <v>65</v>
      </c>
      <c r="G1277" s="3" t="s">
        <v>42</v>
      </c>
      <c r="H1277" s="3" t="s">
        <v>2690</v>
      </c>
      <c r="I1277" s="3" t="n">
        <v>3</v>
      </c>
      <c r="J1277" s="3" t="n">
        <v>3</v>
      </c>
      <c r="K1277" s="3" t="n">
        <v>3</v>
      </c>
      <c r="L1277" s="3" t="n">
        <v>2</v>
      </c>
      <c r="M1277" s="3" t="n">
        <v>3</v>
      </c>
      <c r="N1277" s="3" t="n">
        <v>3</v>
      </c>
      <c r="O1277" s="6" t="b">
        <f aca="false">FALSE()</f>
        <v>0</v>
      </c>
      <c r="P1277" s="3" t="s">
        <v>44</v>
      </c>
      <c r="Q1277" s="5" t="n">
        <v>46261.6645833333</v>
      </c>
      <c r="R1277" s="5" t="n">
        <v>46261.9791666667</v>
      </c>
      <c r="S1277" s="3" t="s">
        <v>1699</v>
      </c>
      <c r="T1277" s="7" t="n">
        <f aca="false">ROUND(MIN(IF(OR(O1277=TRUE(),O1277="TRUE",O1277="Yes"),59,100),(I1277*Rubric!$C$2+J1277*Rubric!$C$3+K1277*Rubric!$C$4+L1277*Rubric!$C$5+M1277*Rubric!$C$6+N1277*Rubric!$C$7)/5),1)</f>
        <v>57</v>
      </c>
      <c r="U1277" s="8" t="str">
        <f aca="false">LOOKUP(T1277,Bands!$A$2:$A$6,Bands!$B$2:$B$6)</f>
        <v>Critical</v>
      </c>
      <c r="V1277" s="8" t="n">
        <f aca="false">IF(Q1277="","",ROUND((Q1277-B1277)*24,1))</f>
        <v>0</v>
      </c>
    </row>
    <row r="1278" customFormat="false" ht="15" hidden="false" customHeight="false" outlineLevel="0" collapsed="false">
      <c r="A1278" s="3" t="s">
        <v>2691</v>
      </c>
      <c r="B1278" s="5" t="n">
        <v>46261.6194444444</v>
      </c>
      <c r="C1278" s="3" t="s">
        <v>68</v>
      </c>
      <c r="D1278" s="3" t="s">
        <v>137</v>
      </c>
      <c r="E1278" s="3" t="s">
        <v>138</v>
      </c>
      <c r="F1278" s="3" t="s">
        <v>65</v>
      </c>
      <c r="G1278" s="3" t="s">
        <v>54</v>
      </c>
      <c r="H1278" s="3" t="s">
        <v>2692</v>
      </c>
      <c r="I1278" s="3" t="n">
        <v>4</v>
      </c>
      <c r="J1278" s="3" t="n">
        <v>4</v>
      </c>
      <c r="K1278" s="3" t="n">
        <v>4</v>
      </c>
      <c r="L1278" s="3" t="n">
        <v>5</v>
      </c>
      <c r="M1278" s="3" t="n">
        <v>4</v>
      </c>
      <c r="N1278" s="3" t="n">
        <v>4</v>
      </c>
      <c r="O1278" s="6" t="b">
        <f aca="false">FALSE()</f>
        <v>0</v>
      </c>
      <c r="P1278" s="3"/>
      <c r="Q1278" s="5" t="n">
        <v>46261.6201388889</v>
      </c>
      <c r="R1278" s="5" t="n">
        <v>46262.1340277778</v>
      </c>
      <c r="S1278" s="3" t="s">
        <v>1699</v>
      </c>
      <c r="T1278" s="7" t="n">
        <f aca="false">ROUND(MIN(IF(OR(O1278=TRUE(),O1278="TRUE",O1278="Yes"),59,100),(I1278*Rubric!$C$2+J1278*Rubric!$C$3+K1278*Rubric!$C$4+L1278*Rubric!$C$5+M1278*Rubric!$C$6+N1278*Rubric!$C$7)/5),1)</f>
        <v>83</v>
      </c>
      <c r="U1278" s="8" t="str">
        <f aca="false">LOOKUP(T1278,Bands!$A$2:$A$6,Bands!$B$2:$B$6)</f>
        <v>Solid Performance</v>
      </c>
      <c r="V1278" s="8" t="n">
        <f aca="false">IF(Q1278="","",ROUND((Q1278-B1278)*24,1))</f>
        <v>0</v>
      </c>
    </row>
    <row r="1279" customFormat="false" ht="15" hidden="false" customHeight="false" outlineLevel="0" collapsed="false">
      <c r="A1279" s="3" t="s">
        <v>2693</v>
      </c>
      <c r="B1279" s="5" t="n">
        <v>46261.4402777778</v>
      </c>
      <c r="C1279" s="3" t="s">
        <v>68</v>
      </c>
      <c r="D1279" s="3" t="s">
        <v>69</v>
      </c>
      <c r="E1279" s="3" t="s">
        <v>70</v>
      </c>
      <c r="F1279" s="3" t="s">
        <v>65</v>
      </c>
      <c r="G1279" s="3" t="s">
        <v>42</v>
      </c>
      <c r="H1279" s="3" t="s">
        <v>2694</v>
      </c>
      <c r="I1279" s="3" t="n">
        <v>4</v>
      </c>
      <c r="J1279" s="3" t="n">
        <v>4</v>
      </c>
      <c r="K1279" s="3" t="n">
        <v>4</v>
      </c>
      <c r="L1279" s="3" t="n">
        <v>4</v>
      </c>
      <c r="M1279" s="3" t="n">
        <v>3</v>
      </c>
      <c r="N1279" s="3" t="n">
        <v>4</v>
      </c>
      <c r="O1279" s="6" t="b">
        <f aca="false">FALSE()</f>
        <v>0</v>
      </c>
      <c r="P1279" s="3"/>
      <c r="Q1279" s="5" t="n">
        <v>46261.4423611111</v>
      </c>
      <c r="R1279" s="5" t="n">
        <v>46261.4909722222</v>
      </c>
      <c r="S1279" s="3" t="s">
        <v>1699</v>
      </c>
      <c r="T1279" s="7" t="n">
        <f aca="false">ROUND(MIN(IF(OR(O1279=TRUE(),O1279="TRUE",O1279="Yes"),59,100),(I1279*Rubric!$C$2+J1279*Rubric!$C$3+K1279*Rubric!$C$4+L1279*Rubric!$C$5+M1279*Rubric!$C$6+N1279*Rubric!$C$7)/5),1)</f>
        <v>78</v>
      </c>
      <c r="U1279" s="8" t="str">
        <f aca="false">LOOKUP(T1279,Bands!$A$2:$A$6,Bands!$B$2:$B$6)</f>
        <v>Meets Expectations</v>
      </c>
      <c r="V1279" s="8" t="n">
        <f aca="false">IF(Q1279="","",ROUND((Q1279-B1279)*24,1))</f>
        <v>0</v>
      </c>
    </row>
    <row r="1280" customFormat="false" ht="15" hidden="false" customHeight="false" outlineLevel="0" collapsed="false">
      <c r="A1280" s="3" t="s">
        <v>2695</v>
      </c>
      <c r="B1280" s="5" t="n">
        <v>46261.5895833333</v>
      </c>
      <c r="C1280" s="3" t="s">
        <v>68</v>
      </c>
      <c r="D1280" s="3" t="s">
        <v>46</v>
      </c>
      <c r="E1280" s="3" t="s">
        <v>47</v>
      </c>
      <c r="F1280" s="3" t="s">
        <v>33</v>
      </c>
      <c r="G1280" s="3" t="s">
        <v>42</v>
      </c>
      <c r="H1280" s="3" t="s">
        <v>2696</v>
      </c>
      <c r="I1280" s="3" t="n">
        <v>5</v>
      </c>
      <c r="J1280" s="3" t="n">
        <v>5</v>
      </c>
      <c r="K1280" s="3" t="n">
        <v>5</v>
      </c>
      <c r="L1280" s="3" t="n">
        <v>4</v>
      </c>
      <c r="M1280" s="3" t="n">
        <v>4</v>
      </c>
      <c r="N1280" s="3" t="n">
        <v>4</v>
      </c>
      <c r="O1280" s="6" t="b">
        <f aca="false">FALSE()</f>
        <v>0</v>
      </c>
      <c r="P1280" s="3"/>
      <c r="Q1280" s="5" t="n">
        <v>46261.5902777778</v>
      </c>
      <c r="R1280" s="5" t="n">
        <v>46262.4631944444</v>
      </c>
      <c r="S1280" s="3" t="s">
        <v>1699</v>
      </c>
      <c r="T1280" s="7" t="n">
        <f aca="false">ROUND(MIN(IF(OR(O1280=TRUE(),O1280="TRUE",O1280="Yes"),59,100),(I1280*Rubric!$C$2+J1280*Rubric!$C$3+K1280*Rubric!$C$4+L1280*Rubric!$C$5+M1280*Rubric!$C$6+N1280*Rubric!$C$7)/5),1)</f>
        <v>92</v>
      </c>
      <c r="U1280" s="8" t="str">
        <f aca="false">LOOKUP(T1280,Bands!$A$2:$A$6,Bands!$B$2:$B$6)</f>
        <v>Outstanding</v>
      </c>
      <c r="V1280" s="8" t="n">
        <f aca="false">IF(Q1280="","",ROUND((Q1280-B1280)*24,1))</f>
        <v>0</v>
      </c>
    </row>
    <row r="1281" customFormat="false" ht="15" hidden="false" customHeight="false" outlineLevel="0" collapsed="false">
      <c r="A1281" s="3" t="s">
        <v>2697</v>
      </c>
      <c r="B1281" s="5" t="n">
        <v>46261.6729166667</v>
      </c>
      <c r="C1281" s="3" t="s">
        <v>68</v>
      </c>
      <c r="D1281" s="3" t="s">
        <v>77</v>
      </c>
      <c r="E1281" s="3" t="s">
        <v>78</v>
      </c>
      <c r="F1281" s="3" t="s">
        <v>33</v>
      </c>
      <c r="G1281" s="3" t="s">
        <v>54</v>
      </c>
      <c r="H1281" s="3" t="s">
        <v>2698</v>
      </c>
      <c r="I1281" s="3" t="n">
        <v>5</v>
      </c>
      <c r="J1281" s="3" t="n">
        <v>5</v>
      </c>
      <c r="K1281" s="3" t="n">
        <v>2</v>
      </c>
      <c r="L1281" s="3" t="n">
        <v>5</v>
      </c>
      <c r="M1281" s="3" t="n">
        <v>4</v>
      </c>
      <c r="N1281" s="3" t="n">
        <v>5</v>
      </c>
      <c r="O1281" s="6" t="b">
        <f aca="false">FALSE()</f>
        <v>0</v>
      </c>
      <c r="P1281" s="3" t="s">
        <v>49</v>
      </c>
      <c r="Q1281" s="5" t="n">
        <v>46261.6736111111</v>
      </c>
      <c r="R1281" s="5" t="n">
        <v>46261.6902777778</v>
      </c>
      <c r="S1281" s="3" t="s">
        <v>1699</v>
      </c>
      <c r="T1281" s="7" t="n">
        <f aca="false">ROUND(MIN(IF(OR(O1281=TRUE(),O1281="TRUE",O1281="Yes"),59,100),(I1281*Rubric!$C$2+J1281*Rubric!$C$3+K1281*Rubric!$C$4+L1281*Rubric!$C$5+M1281*Rubric!$C$6+N1281*Rubric!$C$7)/5),1)</f>
        <v>86</v>
      </c>
      <c r="U1281" s="8" t="str">
        <f aca="false">LOOKUP(T1281,Bands!$A$2:$A$6,Bands!$B$2:$B$6)</f>
        <v>Solid Performance</v>
      </c>
      <c r="V1281" s="8" t="n">
        <f aca="false">IF(Q1281="","",ROUND((Q1281-B1281)*24,1))</f>
        <v>0</v>
      </c>
    </row>
    <row r="1282" customFormat="false" ht="15" hidden="false" customHeight="false" outlineLevel="0" collapsed="false">
      <c r="A1282" s="3" t="s">
        <v>2699</v>
      </c>
      <c r="B1282" s="5" t="n">
        <v>46261.4673611111</v>
      </c>
      <c r="C1282" s="3" t="s">
        <v>39</v>
      </c>
      <c r="D1282" s="3" t="s">
        <v>161</v>
      </c>
      <c r="E1282" s="3" t="s">
        <v>162</v>
      </c>
      <c r="F1282" s="3" t="s">
        <v>33</v>
      </c>
      <c r="G1282" s="3" t="s">
        <v>34</v>
      </c>
      <c r="H1282" s="3" t="s">
        <v>2700</v>
      </c>
      <c r="I1282" s="3" t="n">
        <v>4</v>
      </c>
      <c r="J1282" s="3" t="n">
        <v>5</v>
      </c>
      <c r="K1282" s="3" t="n">
        <v>4</v>
      </c>
      <c r="L1282" s="3" t="n">
        <v>4</v>
      </c>
      <c r="M1282" s="3" t="n">
        <v>4</v>
      </c>
      <c r="N1282" s="3" t="n">
        <v>5</v>
      </c>
      <c r="O1282" s="6" t="b">
        <f aca="false">FALSE()</f>
        <v>0</v>
      </c>
      <c r="P1282" s="3"/>
      <c r="Q1282" s="5" t="n">
        <v>46261.4694444445</v>
      </c>
      <c r="R1282" s="5" t="n">
        <v>46261.5166666667</v>
      </c>
      <c r="S1282" s="3" t="s">
        <v>1699</v>
      </c>
      <c r="T1282" s="7" t="n">
        <f aca="false">ROUND(MIN(IF(OR(O1282=TRUE(),O1282="TRUE",O1282="Yes"),59,100),(I1282*Rubric!$C$2+J1282*Rubric!$C$3+K1282*Rubric!$C$4+L1282*Rubric!$C$5+M1282*Rubric!$C$6+N1282*Rubric!$C$7)/5),1)</f>
        <v>88</v>
      </c>
      <c r="U1282" s="8" t="str">
        <f aca="false">LOOKUP(T1282,Bands!$A$2:$A$6,Bands!$B$2:$B$6)</f>
        <v>Solid Performance</v>
      </c>
      <c r="V1282" s="8" t="n">
        <f aca="false">IF(Q1282="","",ROUND((Q1282-B1282)*24,1))</f>
        <v>0.1</v>
      </c>
    </row>
    <row r="1283" customFormat="false" ht="15" hidden="false" customHeight="false" outlineLevel="0" collapsed="false">
      <c r="A1283" s="3" t="s">
        <v>2701</v>
      </c>
      <c r="B1283" s="5" t="n">
        <v>46261.5277777778</v>
      </c>
      <c r="C1283" s="3" t="s">
        <v>39</v>
      </c>
      <c r="D1283" s="3" t="s">
        <v>155</v>
      </c>
      <c r="E1283" s="3" t="s">
        <v>156</v>
      </c>
      <c r="F1283" s="3" t="s">
        <v>65</v>
      </c>
      <c r="G1283" s="3" t="s">
        <v>54</v>
      </c>
      <c r="H1283" s="3" t="s">
        <v>2702</v>
      </c>
      <c r="I1283" s="3" t="n">
        <v>5</v>
      </c>
      <c r="J1283" s="3" t="n">
        <v>5</v>
      </c>
      <c r="K1283" s="3" t="n">
        <v>4</v>
      </c>
      <c r="L1283" s="3" t="n">
        <v>5</v>
      </c>
      <c r="M1283" s="3" t="n">
        <v>3</v>
      </c>
      <c r="N1283" s="3" t="n">
        <v>4</v>
      </c>
      <c r="O1283" s="6" t="b">
        <f aca="false">FALSE()</f>
        <v>0</v>
      </c>
      <c r="P1283" s="3"/>
      <c r="Q1283" s="5" t="n">
        <v>46261.5298611111</v>
      </c>
      <c r="R1283" s="5" t="n">
        <v>46261.5472222222</v>
      </c>
      <c r="S1283" s="3" t="s">
        <v>1699</v>
      </c>
      <c r="T1283" s="7" t="n">
        <f aca="false">ROUND(MIN(IF(OR(O1283=TRUE(),O1283="TRUE",O1283="Yes"),59,100),(I1283*Rubric!$C$2+J1283*Rubric!$C$3+K1283*Rubric!$C$4+L1283*Rubric!$C$5+M1283*Rubric!$C$6+N1283*Rubric!$C$7)/5),1)</f>
        <v>89</v>
      </c>
      <c r="U1283" s="8" t="str">
        <f aca="false">LOOKUP(T1283,Bands!$A$2:$A$6,Bands!$B$2:$B$6)</f>
        <v>Solid Performance</v>
      </c>
      <c r="V1283" s="8" t="n">
        <f aca="false">IF(Q1283="","",ROUND((Q1283-B1283)*24,1))</f>
        <v>0</v>
      </c>
    </row>
    <row r="1284" customFormat="false" ht="15" hidden="false" customHeight="false" outlineLevel="0" collapsed="false">
      <c r="A1284" s="3" t="s">
        <v>2703</v>
      </c>
      <c r="B1284" s="5" t="n">
        <v>46261.40625</v>
      </c>
      <c r="C1284" s="3" t="s">
        <v>39</v>
      </c>
      <c r="D1284" s="3" t="s">
        <v>259</v>
      </c>
      <c r="E1284" s="3" t="s">
        <v>260</v>
      </c>
      <c r="F1284" s="3" t="s">
        <v>33</v>
      </c>
      <c r="G1284" s="3" t="s">
        <v>42</v>
      </c>
      <c r="H1284" s="3" t="s">
        <v>2704</v>
      </c>
      <c r="I1284" s="3" t="n">
        <v>5</v>
      </c>
      <c r="J1284" s="3" t="n">
        <v>5</v>
      </c>
      <c r="K1284" s="3" t="n">
        <v>3</v>
      </c>
      <c r="L1284" s="3" t="n">
        <v>5</v>
      </c>
      <c r="M1284" s="3" t="n">
        <v>5</v>
      </c>
      <c r="N1284" s="3" t="n">
        <v>5</v>
      </c>
      <c r="O1284" s="6" t="b">
        <f aca="false">FALSE()</f>
        <v>0</v>
      </c>
      <c r="P1284" s="3"/>
      <c r="Q1284" s="5" t="n">
        <v>46261.4076388889</v>
      </c>
      <c r="R1284" s="5" t="n">
        <v>46261.6944444445</v>
      </c>
      <c r="S1284" s="3" t="s">
        <v>1699</v>
      </c>
      <c r="T1284" s="7" t="n">
        <f aca="false">ROUND(MIN(IF(OR(O1284=TRUE(),O1284="TRUE",O1284="Yes"),59,100),(I1284*Rubric!$C$2+J1284*Rubric!$C$3+K1284*Rubric!$C$4+L1284*Rubric!$C$5+M1284*Rubric!$C$6+N1284*Rubric!$C$7)/5),1)</f>
        <v>92</v>
      </c>
      <c r="U1284" s="8" t="str">
        <f aca="false">LOOKUP(T1284,Bands!$A$2:$A$6,Bands!$B$2:$B$6)</f>
        <v>Outstanding</v>
      </c>
      <c r="V1284" s="8" t="n">
        <f aca="false">IF(Q1284="","",ROUND((Q1284-B1284)*24,1))</f>
        <v>0</v>
      </c>
    </row>
    <row r="1285" customFormat="false" ht="15" hidden="false" customHeight="false" outlineLevel="0" collapsed="false">
      <c r="A1285" s="3" t="s">
        <v>2705</v>
      </c>
      <c r="B1285" s="5" t="n">
        <v>46261.6055555556</v>
      </c>
      <c r="C1285" s="3" t="s">
        <v>39</v>
      </c>
      <c r="D1285" s="3" t="s">
        <v>194</v>
      </c>
      <c r="E1285" s="3" t="s">
        <v>195</v>
      </c>
      <c r="F1285" s="3" t="s">
        <v>53</v>
      </c>
      <c r="G1285" s="3" t="s">
        <v>34</v>
      </c>
      <c r="H1285" s="3" t="s">
        <v>2706</v>
      </c>
      <c r="I1285" s="3" t="n">
        <v>4</v>
      </c>
      <c r="J1285" s="3" t="n">
        <v>5</v>
      </c>
      <c r="K1285" s="3" t="n">
        <v>5</v>
      </c>
      <c r="L1285" s="3" t="n">
        <v>4</v>
      </c>
      <c r="M1285" s="3" t="n">
        <v>5</v>
      </c>
      <c r="N1285" s="3" t="n">
        <v>4</v>
      </c>
      <c r="O1285" s="6" t="b">
        <f aca="false">FALSE()</f>
        <v>0</v>
      </c>
      <c r="P1285" s="3"/>
      <c r="Q1285" s="5" t="n">
        <v>46261.60625</v>
      </c>
      <c r="R1285" s="5" t="n">
        <v>46261.7798611111</v>
      </c>
      <c r="S1285" s="3" t="s">
        <v>1699</v>
      </c>
      <c r="T1285" s="7" t="n">
        <f aca="false">ROUND(MIN(IF(OR(O1285=TRUE(),O1285="TRUE",O1285="Yes"),59,100),(I1285*Rubric!$C$2+J1285*Rubric!$C$3+K1285*Rubric!$C$4+L1285*Rubric!$C$5+M1285*Rubric!$C$6+N1285*Rubric!$C$7)/5),1)</f>
        <v>91</v>
      </c>
      <c r="U1285" s="8" t="str">
        <f aca="false">LOOKUP(T1285,Bands!$A$2:$A$6,Bands!$B$2:$B$6)</f>
        <v>Outstanding</v>
      </c>
      <c r="V1285" s="8" t="n">
        <f aca="false">IF(Q1285="","",ROUND((Q1285-B1285)*24,1))</f>
        <v>0</v>
      </c>
    </row>
    <row r="1286" customFormat="false" ht="15" hidden="false" customHeight="false" outlineLevel="0" collapsed="false">
      <c r="A1286" s="3" t="s">
        <v>2707</v>
      </c>
      <c r="B1286" s="5" t="n">
        <v>46262.6909722222</v>
      </c>
      <c r="C1286" s="3" t="s">
        <v>30</v>
      </c>
      <c r="D1286" s="3" t="s">
        <v>90</v>
      </c>
      <c r="E1286" s="3" t="s">
        <v>91</v>
      </c>
      <c r="F1286" s="3" t="s">
        <v>65</v>
      </c>
      <c r="G1286" s="3" t="s">
        <v>42</v>
      </c>
      <c r="H1286" s="3" t="s">
        <v>2708</v>
      </c>
      <c r="I1286" s="3" t="n">
        <v>4</v>
      </c>
      <c r="J1286" s="3" t="n">
        <v>4</v>
      </c>
      <c r="K1286" s="3" t="n">
        <v>4</v>
      </c>
      <c r="L1286" s="3" t="n">
        <v>4</v>
      </c>
      <c r="M1286" s="3" t="n">
        <v>5</v>
      </c>
      <c r="N1286" s="3" t="n">
        <v>4</v>
      </c>
      <c r="O1286" s="6" t="b">
        <f aca="false">FALSE()</f>
        <v>0</v>
      </c>
      <c r="P1286" s="3"/>
      <c r="Q1286" s="5" t="n">
        <v>46262.6930555556</v>
      </c>
      <c r="R1286" s="5" t="n">
        <v>46262.8229166667</v>
      </c>
      <c r="S1286" s="3" t="s">
        <v>1699</v>
      </c>
      <c r="T1286" s="7" t="n">
        <f aca="false">ROUND(MIN(IF(OR(O1286=TRUE(),O1286="TRUE",O1286="Yes"),59,100),(I1286*Rubric!$C$2+J1286*Rubric!$C$3+K1286*Rubric!$C$4+L1286*Rubric!$C$5+M1286*Rubric!$C$6+N1286*Rubric!$C$7)/5),1)</f>
        <v>82</v>
      </c>
      <c r="U1286" s="8" t="str">
        <f aca="false">LOOKUP(T1286,Bands!$A$2:$A$6,Bands!$B$2:$B$6)</f>
        <v>Solid Performance</v>
      </c>
      <c r="V1286" s="8" t="n">
        <f aca="false">IF(Q1286="","",ROUND((Q1286-B1286)*24,1))</f>
        <v>0.1</v>
      </c>
    </row>
    <row r="1287" customFormat="false" ht="15" hidden="false" customHeight="false" outlineLevel="0" collapsed="false">
      <c r="A1287" s="3" t="s">
        <v>2709</v>
      </c>
      <c r="B1287" s="5" t="n">
        <v>46262.4006944444</v>
      </c>
      <c r="C1287" s="3" t="s">
        <v>30</v>
      </c>
      <c r="D1287" s="3" t="s">
        <v>115</v>
      </c>
      <c r="E1287" s="3" t="s">
        <v>116</v>
      </c>
      <c r="F1287" s="3" t="s">
        <v>33</v>
      </c>
      <c r="G1287" s="3" t="s">
        <v>54</v>
      </c>
      <c r="H1287" s="3" t="s">
        <v>2710</v>
      </c>
      <c r="I1287" s="3" t="n">
        <v>5</v>
      </c>
      <c r="J1287" s="3" t="n">
        <v>4</v>
      </c>
      <c r="K1287" s="3" t="n">
        <v>3</v>
      </c>
      <c r="L1287" s="3" t="n">
        <v>5</v>
      </c>
      <c r="M1287" s="3" t="n">
        <v>3</v>
      </c>
      <c r="N1287" s="3" t="n">
        <v>4</v>
      </c>
      <c r="O1287" s="6" t="b">
        <f aca="false">FALSE()</f>
        <v>0</v>
      </c>
      <c r="P1287" s="3"/>
      <c r="Q1287" s="5" t="n">
        <v>46262.4013888889</v>
      </c>
      <c r="R1287" s="5" t="n">
        <v>46262.7965277778</v>
      </c>
      <c r="S1287" s="3" t="s">
        <v>1699</v>
      </c>
      <c r="T1287" s="7" t="n">
        <f aca="false">ROUND(MIN(IF(OR(O1287=TRUE(),O1287="TRUE",O1287="Yes"),59,100),(I1287*Rubric!$C$2+J1287*Rubric!$C$3+K1287*Rubric!$C$4+L1287*Rubric!$C$5+M1287*Rubric!$C$6+N1287*Rubric!$C$7)/5),1)</f>
        <v>80</v>
      </c>
      <c r="U1287" s="8" t="str">
        <f aca="false">LOOKUP(T1287,Bands!$A$2:$A$6,Bands!$B$2:$B$6)</f>
        <v>Solid Performance</v>
      </c>
      <c r="V1287" s="8" t="n">
        <f aca="false">IF(Q1287="","",ROUND((Q1287-B1287)*24,1))</f>
        <v>0</v>
      </c>
    </row>
    <row r="1288" customFormat="false" ht="15" hidden="false" customHeight="false" outlineLevel="0" collapsed="false">
      <c r="A1288" s="3" t="s">
        <v>2711</v>
      </c>
      <c r="B1288" s="5" t="n">
        <v>46262.5479166667</v>
      </c>
      <c r="C1288" s="3" t="s">
        <v>39</v>
      </c>
      <c r="D1288" s="3" t="s">
        <v>259</v>
      </c>
      <c r="E1288" s="3" t="s">
        <v>260</v>
      </c>
      <c r="F1288" s="3" t="s">
        <v>33</v>
      </c>
      <c r="G1288" s="3" t="s">
        <v>54</v>
      </c>
      <c r="H1288" s="3" t="s">
        <v>2712</v>
      </c>
      <c r="I1288" s="3" t="n">
        <v>5</v>
      </c>
      <c r="J1288" s="3" t="n">
        <v>5</v>
      </c>
      <c r="K1288" s="3" t="n">
        <v>3</v>
      </c>
      <c r="L1288" s="3" t="n">
        <v>3</v>
      </c>
      <c r="M1288" s="3" t="n">
        <v>5</v>
      </c>
      <c r="N1288" s="3" t="n">
        <v>5</v>
      </c>
      <c r="O1288" s="6" t="b">
        <f aca="false">FALSE()</f>
        <v>0</v>
      </c>
      <c r="P1288" s="3"/>
      <c r="Q1288" s="5" t="n">
        <v>46262.5493055556</v>
      </c>
      <c r="R1288" s="5" t="n">
        <v>46262.55625</v>
      </c>
      <c r="S1288" s="3" t="s">
        <v>1699</v>
      </c>
      <c r="T1288" s="7" t="n">
        <f aca="false">ROUND(MIN(IF(OR(O1288=TRUE(),O1288="TRUE",O1288="Yes"),59,100),(I1288*Rubric!$C$2+J1288*Rubric!$C$3+K1288*Rubric!$C$4+L1288*Rubric!$C$5+M1288*Rubric!$C$6+N1288*Rubric!$C$7)/5),1)</f>
        <v>86</v>
      </c>
      <c r="U1288" s="8" t="str">
        <f aca="false">LOOKUP(T1288,Bands!$A$2:$A$6,Bands!$B$2:$B$6)</f>
        <v>Solid Performance</v>
      </c>
      <c r="V1288" s="8" t="n">
        <f aca="false">IF(Q1288="","",ROUND((Q1288-B1288)*24,1))</f>
        <v>0</v>
      </c>
    </row>
    <row r="1289" customFormat="false" ht="15" hidden="false" customHeight="false" outlineLevel="0" collapsed="false">
      <c r="A1289" s="3" t="s">
        <v>2713</v>
      </c>
      <c r="B1289" s="5" t="n">
        <v>46262.6034722222</v>
      </c>
      <c r="C1289" s="3" t="s">
        <v>30</v>
      </c>
      <c r="D1289" s="3" t="s">
        <v>155</v>
      </c>
      <c r="E1289" s="3" t="s">
        <v>156</v>
      </c>
      <c r="F1289" s="3" t="s">
        <v>65</v>
      </c>
      <c r="G1289" s="3" t="s">
        <v>42</v>
      </c>
      <c r="H1289" s="3" t="s">
        <v>2714</v>
      </c>
      <c r="I1289" s="3" t="n">
        <v>3</v>
      </c>
      <c r="J1289" s="3" t="n">
        <v>5</v>
      </c>
      <c r="K1289" s="3" t="n">
        <v>4</v>
      </c>
      <c r="L1289" s="3" t="n">
        <v>4</v>
      </c>
      <c r="M1289" s="3" t="n">
        <v>5</v>
      </c>
      <c r="N1289" s="3" t="n">
        <v>0</v>
      </c>
      <c r="O1289" s="6" t="b">
        <f aca="false">TRUE()</f>
        <v>1</v>
      </c>
      <c r="P1289" s="3" t="s">
        <v>36</v>
      </c>
      <c r="Q1289" s="5" t="n">
        <v>46262.6041666667</v>
      </c>
      <c r="R1289" s="5" t="n">
        <v>46263.3965277778</v>
      </c>
      <c r="S1289" s="3" t="s">
        <v>1699</v>
      </c>
      <c r="T1289" s="7" t="n">
        <f aca="false">ROUND(MIN(IF(OR(O1289=TRUE(),O1289="TRUE",O1289="Yes"),59,100),(I1289*Rubric!$C$2+J1289*Rubric!$C$3+K1289*Rubric!$C$4+L1289*Rubric!$C$5+M1289*Rubric!$C$6+N1289*Rubric!$C$7)/5),1)</f>
        <v>59</v>
      </c>
      <c r="U1289" s="8" t="str">
        <f aca="false">LOOKUP(T1289,Bands!$A$2:$A$6,Bands!$B$2:$B$6)</f>
        <v>Critical</v>
      </c>
      <c r="V1289" s="8" t="n">
        <f aca="false">IF(Q1289="","",ROUND((Q1289-B1289)*24,1))</f>
        <v>0</v>
      </c>
    </row>
    <row r="1290" customFormat="false" ht="15" hidden="false" customHeight="false" outlineLevel="0" collapsed="false">
      <c r="A1290" s="3" t="s">
        <v>2715</v>
      </c>
      <c r="B1290" s="5" t="n">
        <v>46262.5944444445</v>
      </c>
      <c r="C1290" s="3" t="s">
        <v>68</v>
      </c>
      <c r="D1290" s="3" t="s">
        <v>228</v>
      </c>
      <c r="E1290" s="3" t="s">
        <v>229</v>
      </c>
      <c r="F1290" s="3" t="s">
        <v>65</v>
      </c>
      <c r="G1290" s="3" t="s">
        <v>42</v>
      </c>
      <c r="H1290" s="3" t="s">
        <v>2716</v>
      </c>
      <c r="I1290" s="3" t="n">
        <v>3</v>
      </c>
      <c r="J1290" s="3" t="n">
        <v>4</v>
      </c>
      <c r="K1290" s="3" t="n">
        <v>4</v>
      </c>
      <c r="L1290" s="3" t="n">
        <v>3</v>
      </c>
      <c r="M1290" s="3" t="n">
        <v>4</v>
      </c>
      <c r="N1290" s="3" t="n">
        <v>4</v>
      </c>
      <c r="O1290" s="6" t="b">
        <f aca="false">FALSE()</f>
        <v>0</v>
      </c>
      <c r="P1290" s="3"/>
      <c r="Q1290" s="5" t="n">
        <v>46262.5958333333</v>
      </c>
      <c r="R1290" s="5" t="n">
        <v>46263.1645833333</v>
      </c>
      <c r="S1290" s="3" t="s">
        <v>1699</v>
      </c>
      <c r="T1290" s="7" t="n">
        <f aca="false">ROUND(MIN(IF(OR(O1290=TRUE(),O1290="TRUE",O1290="Yes"),59,100),(I1290*Rubric!$C$2+J1290*Rubric!$C$3+K1290*Rubric!$C$4+L1290*Rubric!$C$5+M1290*Rubric!$C$6+N1290*Rubric!$C$7)/5),1)</f>
        <v>74</v>
      </c>
      <c r="U1290" s="8" t="str">
        <f aca="false">LOOKUP(T1290,Bands!$A$2:$A$6,Bands!$B$2:$B$6)</f>
        <v>Meets Expectations</v>
      </c>
      <c r="V1290" s="8" t="n">
        <f aca="false">IF(Q1290="","",ROUND((Q1290-B1290)*24,1))</f>
        <v>0</v>
      </c>
    </row>
    <row r="1291" customFormat="false" ht="15" hidden="false" customHeight="false" outlineLevel="0" collapsed="false">
      <c r="A1291" s="3" t="s">
        <v>2717</v>
      </c>
      <c r="B1291" s="5" t="n">
        <v>46262.6069444444</v>
      </c>
      <c r="C1291" s="3" t="s">
        <v>68</v>
      </c>
      <c r="D1291" s="3" t="s">
        <v>307</v>
      </c>
      <c r="E1291" s="3" t="s">
        <v>308</v>
      </c>
      <c r="F1291" s="3" t="s">
        <v>33</v>
      </c>
      <c r="G1291" s="3" t="s">
        <v>42</v>
      </c>
      <c r="H1291" s="3" t="s">
        <v>2718</v>
      </c>
      <c r="I1291" s="3" t="n">
        <v>5</v>
      </c>
      <c r="J1291" s="3" t="n">
        <v>3</v>
      </c>
      <c r="K1291" s="3" t="n">
        <v>5</v>
      </c>
      <c r="L1291" s="3" t="n">
        <v>5</v>
      </c>
      <c r="M1291" s="3" t="n">
        <v>4</v>
      </c>
      <c r="N1291" s="3" t="n">
        <v>5</v>
      </c>
      <c r="O1291" s="6" t="b">
        <f aca="false">FALSE()</f>
        <v>0</v>
      </c>
      <c r="P1291" s="3"/>
      <c r="Q1291" s="5" t="n">
        <v>46262.6076388889</v>
      </c>
      <c r="R1291" s="5" t="n">
        <v>46262.6236111111</v>
      </c>
      <c r="S1291" s="3" t="s">
        <v>1699</v>
      </c>
      <c r="T1291" s="7" t="n">
        <f aca="false">ROUND(MIN(IF(OR(O1291=TRUE(),O1291="TRUE",O1291="Yes"),59,100),(I1291*Rubric!$C$2+J1291*Rubric!$C$3+K1291*Rubric!$C$4+L1291*Rubric!$C$5+M1291*Rubric!$C$6+N1291*Rubric!$C$7)/5),1)</f>
        <v>88</v>
      </c>
      <c r="U1291" s="8" t="str">
        <f aca="false">LOOKUP(T1291,Bands!$A$2:$A$6,Bands!$B$2:$B$6)</f>
        <v>Solid Performance</v>
      </c>
      <c r="V1291" s="8" t="n">
        <f aca="false">IF(Q1291="","",ROUND((Q1291-B1291)*24,1))</f>
        <v>0</v>
      </c>
    </row>
    <row r="1292" customFormat="false" ht="15" hidden="false" customHeight="false" outlineLevel="0" collapsed="false">
      <c r="A1292" s="3" t="s">
        <v>2719</v>
      </c>
      <c r="B1292" s="5" t="n">
        <v>46262.4770833333</v>
      </c>
      <c r="C1292" s="3" t="s">
        <v>39</v>
      </c>
      <c r="D1292" s="3" t="s">
        <v>198</v>
      </c>
      <c r="E1292" s="3" t="s">
        <v>199</v>
      </c>
      <c r="F1292" s="3" t="s">
        <v>33</v>
      </c>
      <c r="G1292" s="3" t="s">
        <v>42</v>
      </c>
      <c r="H1292" s="3" t="s">
        <v>2720</v>
      </c>
      <c r="I1292" s="3" t="n">
        <v>3</v>
      </c>
      <c r="J1292" s="3" t="n">
        <v>2</v>
      </c>
      <c r="K1292" s="3" t="n">
        <v>5</v>
      </c>
      <c r="L1292" s="3" t="n">
        <v>4</v>
      </c>
      <c r="M1292" s="3" t="n">
        <v>4</v>
      </c>
      <c r="N1292" s="3" t="n">
        <v>5</v>
      </c>
      <c r="O1292" s="6" t="b">
        <f aca="false">FALSE()</f>
        <v>0</v>
      </c>
      <c r="P1292" s="3" t="s">
        <v>56</v>
      </c>
      <c r="Q1292" s="5" t="n">
        <v>46262.4791666667</v>
      </c>
      <c r="R1292" s="5" t="n">
        <v>46262.7395833333</v>
      </c>
      <c r="S1292" s="3" t="s">
        <v>1699</v>
      </c>
      <c r="T1292" s="7" t="n">
        <f aca="false">ROUND(MIN(IF(OR(O1292=TRUE(),O1292="TRUE",O1292="Yes"),59,100),(I1292*Rubric!$C$2+J1292*Rubric!$C$3+K1292*Rubric!$C$4+L1292*Rubric!$C$5+M1292*Rubric!$C$6+N1292*Rubric!$C$7)/5),1)</f>
        <v>74</v>
      </c>
      <c r="U1292" s="8" t="str">
        <f aca="false">LOOKUP(T1292,Bands!$A$2:$A$6,Bands!$B$2:$B$6)</f>
        <v>Meets Expectations</v>
      </c>
      <c r="V1292" s="8" t="n">
        <f aca="false">IF(Q1292="","",ROUND((Q1292-B1292)*24,1))</f>
        <v>0.1</v>
      </c>
    </row>
    <row r="1293" customFormat="false" ht="15" hidden="false" customHeight="false" outlineLevel="0" collapsed="false">
      <c r="A1293" s="3" t="s">
        <v>2721</v>
      </c>
      <c r="B1293" s="5" t="n">
        <v>46262.5298611111</v>
      </c>
      <c r="C1293" s="3" t="s">
        <v>68</v>
      </c>
      <c r="D1293" s="3" t="s">
        <v>119</v>
      </c>
      <c r="E1293" s="3" t="s">
        <v>120</v>
      </c>
      <c r="F1293" s="3" t="s">
        <v>33</v>
      </c>
      <c r="G1293" s="3" t="s">
        <v>54</v>
      </c>
      <c r="H1293" s="3" t="s">
        <v>2722</v>
      </c>
      <c r="I1293" s="3" t="n">
        <v>4</v>
      </c>
      <c r="J1293" s="3" t="n">
        <v>5</v>
      </c>
      <c r="K1293" s="3" t="n">
        <v>3</v>
      </c>
      <c r="L1293" s="3" t="n">
        <v>4</v>
      </c>
      <c r="M1293" s="3" t="n">
        <v>4</v>
      </c>
      <c r="N1293" s="3" t="n">
        <v>3</v>
      </c>
      <c r="O1293" s="6" t="b">
        <f aca="false">FALSE()</f>
        <v>0</v>
      </c>
      <c r="P1293" s="3"/>
      <c r="Q1293" s="5" t="n">
        <v>46262.5305555556</v>
      </c>
      <c r="R1293" s="5" t="n">
        <v>46262.5430555556</v>
      </c>
      <c r="S1293" s="3" t="s">
        <v>1699</v>
      </c>
      <c r="T1293" s="7" t="n">
        <f aca="false">ROUND(MIN(IF(OR(O1293=TRUE(),O1293="TRUE",O1293="Yes"),59,100),(I1293*Rubric!$C$2+J1293*Rubric!$C$3+K1293*Rubric!$C$4+L1293*Rubric!$C$5+M1293*Rubric!$C$6+N1293*Rubric!$C$7)/5),1)</f>
        <v>78</v>
      </c>
      <c r="U1293" s="8" t="str">
        <f aca="false">LOOKUP(T1293,Bands!$A$2:$A$6,Bands!$B$2:$B$6)</f>
        <v>Meets Expectations</v>
      </c>
      <c r="V1293" s="8" t="n">
        <f aca="false">IF(Q1293="","",ROUND((Q1293-B1293)*24,1))</f>
        <v>0</v>
      </c>
    </row>
    <row r="1294" customFormat="false" ht="15" hidden="false" customHeight="false" outlineLevel="0" collapsed="false">
      <c r="A1294" s="3" t="s">
        <v>2723</v>
      </c>
      <c r="B1294" s="5" t="n">
        <v>46262.5472222222</v>
      </c>
      <c r="C1294" s="3" t="s">
        <v>39</v>
      </c>
      <c r="D1294" s="3" t="s">
        <v>145</v>
      </c>
      <c r="E1294" s="3" t="s">
        <v>146</v>
      </c>
      <c r="F1294" s="3" t="s">
        <v>33</v>
      </c>
      <c r="G1294" s="3" t="s">
        <v>42</v>
      </c>
      <c r="H1294" s="3" t="s">
        <v>2724</v>
      </c>
      <c r="I1294" s="3" t="n">
        <v>5</v>
      </c>
      <c r="J1294" s="3" t="n">
        <v>4</v>
      </c>
      <c r="K1294" s="3" t="n">
        <v>4</v>
      </c>
      <c r="L1294" s="3" t="n">
        <v>3</v>
      </c>
      <c r="M1294" s="3" t="n">
        <v>4</v>
      </c>
      <c r="N1294" s="3" t="n">
        <v>4</v>
      </c>
      <c r="O1294" s="6" t="b">
        <f aca="false">FALSE()</f>
        <v>0</v>
      </c>
      <c r="P1294" s="3"/>
      <c r="Q1294" s="5" t="n">
        <v>46262.5479166667</v>
      </c>
      <c r="R1294" s="5" t="n">
        <v>46262.8916666667</v>
      </c>
      <c r="S1294" s="3" t="s">
        <v>1699</v>
      </c>
      <c r="T1294" s="7" t="n">
        <f aca="false">ROUND(MIN(IF(OR(O1294=TRUE(),O1294="TRUE",O1294="Yes"),59,100),(I1294*Rubric!$C$2+J1294*Rubric!$C$3+K1294*Rubric!$C$4+L1294*Rubric!$C$5+M1294*Rubric!$C$6+N1294*Rubric!$C$7)/5),1)</f>
        <v>80</v>
      </c>
      <c r="U1294" s="8" t="str">
        <f aca="false">LOOKUP(T1294,Bands!$A$2:$A$6,Bands!$B$2:$B$6)</f>
        <v>Solid Performance</v>
      </c>
      <c r="V1294" s="8" t="n">
        <f aca="false">IF(Q1294="","",ROUND((Q1294-B1294)*24,1))</f>
        <v>0</v>
      </c>
    </row>
    <row r="1295" customFormat="false" ht="15" hidden="false" customHeight="false" outlineLevel="0" collapsed="false">
      <c r="A1295" s="3" t="s">
        <v>2725</v>
      </c>
      <c r="B1295" s="5" t="n">
        <v>46262.46875</v>
      </c>
      <c r="C1295" s="3" t="s">
        <v>68</v>
      </c>
      <c r="D1295" s="3" t="s">
        <v>161</v>
      </c>
      <c r="E1295" s="3" t="s">
        <v>162</v>
      </c>
      <c r="F1295" s="3" t="s">
        <v>33</v>
      </c>
      <c r="G1295" s="3" t="s">
        <v>34</v>
      </c>
      <c r="H1295" s="3" t="s">
        <v>2726</v>
      </c>
      <c r="I1295" s="3" t="n">
        <v>4</v>
      </c>
      <c r="J1295" s="3" t="n">
        <v>4</v>
      </c>
      <c r="K1295" s="3" t="n">
        <v>5</v>
      </c>
      <c r="L1295" s="3" t="n">
        <v>5</v>
      </c>
      <c r="M1295" s="3" t="n">
        <v>4</v>
      </c>
      <c r="N1295" s="3" t="n">
        <v>5</v>
      </c>
      <c r="O1295" s="6" t="b">
        <f aca="false">FALSE()</f>
        <v>0</v>
      </c>
      <c r="P1295" s="3"/>
      <c r="Q1295" s="5" t="n">
        <v>46262.4708333333</v>
      </c>
      <c r="R1295" s="5" t="n">
        <v>46262.9826388889</v>
      </c>
      <c r="S1295" s="3" t="s">
        <v>1699</v>
      </c>
      <c r="T1295" s="7" t="n">
        <f aca="false">ROUND(MIN(IF(OR(O1295=TRUE(),O1295="TRUE",O1295="Yes"),59,100),(I1295*Rubric!$C$2+J1295*Rubric!$C$3+K1295*Rubric!$C$4+L1295*Rubric!$C$5+M1295*Rubric!$C$6+N1295*Rubric!$C$7)/5),1)</f>
        <v>90</v>
      </c>
      <c r="U1295" s="8" t="str">
        <f aca="false">LOOKUP(T1295,Bands!$A$2:$A$6,Bands!$B$2:$B$6)</f>
        <v>Outstanding</v>
      </c>
      <c r="V1295" s="8" t="n">
        <f aca="false">IF(Q1295="","",ROUND((Q1295-B1295)*24,1))</f>
        <v>0</v>
      </c>
    </row>
    <row r="1296" customFormat="false" ht="15" hidden="false" customHeight="false" outlineLevel="0" collapsed="false">
      <c r="A1296" s="3" t="s">
        <v>2727</v>
      </c>
      <c r="B1296" s="5" t="n">
        <v>46262.6472222222</v>
      </c>
      <c r="C1296" s="3" t="s">
        <v>68</v>
      </c>
      <c r="D1296" s="3" t="s">
        <v>111</v>
      </c>
      <c r="E1296" s="3" t="s">
        <v>112</v>
      </c>
      <c r="F1296" s="3" t="s">
        <v>33</v>
      </c>
      <c r="G1296" s="3" t="s">
        <v>34</v>
      </c>
      <c r="H1296" s="3" t="s">
        <v>2728</v>
      </c>
      <c r="I1296" s="3" t="n">
        <v>4</v>
      </c>
      <c r="J1296" s="3" t="n">
        <v>4</v>
      </c>
      <c r="K1296" s="3" t="n">
        <v>5</v>
      </c>
      <c r="L1296" s="3" t="n">
        <v>4</v>
      </c>
      <c r="M1296" s="3" t="n">
        <v>3</v>
      </c>
      <c r="N1296" s="3" t="n">
        <v>4</v>
      </c>
      <c r="O1296" s="6" t="b">
        <f aca="false">FALSE()</f>
        <v>0</v>
      </c>
      <c r="P1296" s="3"/>
      <c r="Q1296" s="5" t="n">
        <v>46262.6493055556</v>
      </c>
      <c r="R1296" s="5" t="n">
        <v>46262.7631944444</v>
      </c>
      <c r="S1296" s="3" t="s">
        <v>1699</v>
      </c>
      <c r="T1296" s="7" t="n">
        <f aca="false">ROUND(MIN(IF(OR(O1296=TRUE(),O1296="TRUE",O1296="Yes"),59,100),(I1296*Rubric!$C$2+J1296*Rubric!$C$3+K1296*Rubric!$C$4+L1296*Rubric!$C$5+M1296*Rubric!$C$6+N1296*Rubric!$C$7)/5),1)</f>
        <v>82</v>
      </c>
      <c r="U1296" s="8" t="str">
        <f aca="false">LOOKUP(T1296,Bands!$A$2:$A$6,Bands!$B$2:$B$6)</f>
        <v>Solid Performance</v>
      </c>
      <c r="V1296" s="8" t="n">
        <f aca="false">IF(Q1296="","",ROUND((Q1296-B1296)*24,1))</f>
        <v>0.1</v>
      </c>
    </row>
    <row r="1297" customFormat="false" ht="15" hidden="false" customHeight="false" outlineLevel="0" collapsed="false">
      <c r="A1297" s="3" t="s">
        <v>2729</v>
      </c>
      <c r="B1297" s="5" t="n">
        <v>46262.5506944444</v>
      </c>
      <c r="C1297" s="3" t="s">
        <v>39</v>
      </c>
      <c r="D1297" s="3" t="s">
        <v>202</v>
      </c>
      <c r="E1297" s="3" t="s">
        <v>203</v>
      </c>
      <c r="F1297" s="3" t="s">
        <v>53</v>
      </c>
      <c r="G1297" s="3" t="s">
        <v>54</v>
      </c>
      <c r="H1297" s="3" t="s">
        <v>2730</v>
      </c>
      <c r="I1297" s="3" t="n">
        <v>4</v>
      </c>
      <c r="J1297" s="3" t="n">
        <v>4</v>
      </c>
      <c r="K1297" s="3" t="n">
        <v>4</v>
      </c>
      <c r="L1297" s="3" t="n">
        <v>3</v>
      </c>
      <c r="M1297" s="3" t="n">
        <v>3</v>
      </c>
      <c r="N1297" s="3" t="n">
        <v>4</v>
      </c>
      <c r="O1297" s="6" t="b">
        <f aca="false">FALSE()</f>
        <v>0</v>
      </c>
      <c r="P1297" s="3"/>
      <c r="Q1297" s="5" t="n">
        <v>46262.5513888889</v>
      </c>
      <c r="R1297" s="5" t="n">
        <v>46262.9472222222</v>
      </c>
      <c r="S1297" s="3" t="s">
        <v>1699</v>
      </c>
      <c r="T1297" s="7" t="n">
        <f aca="false">ROUND(MIN(IF(OR(O1297=TRUE(),O1297="TRUE",O1297="Yes"),59,100),(I1297*Rubric!$C$2+J1297*Rubric!$C$3+K1297*Rubric!$C$4+L1297*Rubric!$C$5+M1297*Rubric!$C$6+N1297*Rubric!$C$7)/5),1)</f>
        <v>75</v>
      </c>
      <c r="U1297" s="8" t="str">
        <f aca="false">LOOKUP(T1297,Bands!$A$2:$A$6,Bands!$B$2:$B$6)</f>
        <v>Meets Expectations</v>
      </c>
      <c r="V1297" s="8" t="n">
        <f aca="false">IF(Q1297="","",ROUND((Q1297-B1297)*24,1))</f>
        <v>0</v>
      </c>
    </row>
    <row r="1298" customFormat="false" ht="15" hidden="false" customHeight="false" outlineLevel="0" collapsed="false">
      <c r="A1298" s="3" t="s">
        <v>2731</v>
      </c>
      <c r="B1298" s="5" t="n">
        <v>46265.5513888889</v>
      </c>
      <c r="C1298" s="3" t="s">
        <v>39</v>
      </c>
      <c r="D1298" s="3" t="s">
        <v>119</v>
      </c>
      <c r="E1298" s="3" t="s">
        <v>120</v>
      </c>
      <c r="F1298" s="3" t="s">
        <v>33</v>
      </c>
      <c r="G1298" s="3" t="s">
        <v>54</v>
      </c>
      <c r="H1298" s="3" t="s">
        <v>2732</v>
      </c>
      <c r="I1298" s="3" t="n">
        <v>4</v>
      </c>
      <c r="J1298" s="3" t="n">
        <v>5</v>
      </c>
      <c r="K1298" s="3" t="n">
        <v>4</v>
      </c>
      <c r="L1298" s="3" t="n">
        <v>4</v>
      </c>
      <c r="M1298" s="3" t="n">
        <v>4</v>
      </c>
      <c r="N1298" s="3" t="n">
        <v>3</v>
      </c>
      <c r="O1298" s="6" t="b">
        <f aca="false">FALSE()</f>
        <v>0</v>
      </c>
      <c r="P1298" s="3"/>
      <c r="Q1298" s="5" t="n">
        <v>46265.5527777778</v>
      </c>
      <c r="R1298" s="5" t="n">
        <v>46265.8131944445</v>
      </c>
      <c r="S1298" s="3" t="s">
        <v>1699</v>
      </c>
      <c r="T1298" s="7" t="n">
        <f aca="false">ROUND(MIN(IF(OR(O1298=TRUE(),O1298="TRUE",O1298="Yes"),59,100),(I1298*Rubric!$C$2+J1298*Rubric!$C$3+K1298*Rubric!$C$4+L1298*Rubric!$C$5+M1298*Rubric!$C$6+N1298*Rubric!$C$7)/5),1)</f>
        <v>82</v>
      </c>
      <c r="U1298" s="8" t="str">
        <f aca="false">LOOKUP(T1298,Bands!$A$2:$A$6,Bands!$B$2:$B$6)</f>
        <v>Solid Performance</v>
      </c>
      <c r="V1298" s="8" t="n">
        <f aca="false">IF(Q1298="","",ROUND((Q1298-B1298)*24,1))</f>
        <v>0</v>
      </c>
    </row>
    <row r="1299" customFormat="false" ht="15" hidden="false" customHeight="false" outlineLevel="0" collapsed="false">
      <c r="A1299" s="3" t="s">
        <v>2733</v>
      </c>
      <c r="B1299" s="5" t="n">
        <v>46265.4138888889</v>
      </c>
      <c r="C1299" s="3" t="s">
        <v>68</v>
      </c>
      <c r="D1299" s="3" t="s">
        <v>73</v>
      </c>
      <c r="E1299" s="3" t="s">
        <v>74</v>
      </c>
      <c r="F1299" s="3" t="s">
        <v>33</v>
      </c>
      <c r="G1299" s="3" t="s">
        <v>54</v>
      </c>
      <c r="H1299" s="3" t="s">
        <v>2734</v>
      </c>
      <c r="I1299" s="3" t="n">
        <v>5</v>
      </c>
      <c r="J1299" s="3" t="n">
        <v>4</v>
      </c>
      <c r="K1299" s="3" t="n">
        <v>5</v>
      </c>
      <c r="L1299" s="3" t="n">
        <v>5</v>
      </c>
      <c r="M1299" s="3" t="n">
        <v>4</v>
      </c>
      <c r="N1299" s="3" t="n">
        <v>3</v>
      </c>
      <c r="O1299" s="6" t="b">
        <f aca="false">FALSE()</f>
        <v>0</v>
      </c>
      <c r="P1299" s="3"/>
      <c r="Q1299" s="5" t="n">
        <v>46265.4159722222</v>
      </c>
      <c r="R1299" s="5" t="n">
        <v>46265.4284722222</v>
      </c>
      <c r="S1299" s="3" t="s">
        <v>1699</v>
      </c>
      <c r="T1299" s="7" t="n">
        <f aca="false">ROUND(MIN(IF(OR(O1299=TRUE(),O1299="TRUE",O1299="Yes"),59,100),(I1299*Rubric!$C$2+J1299*Rubric!$C$3+K1299*Rubric!$C$4+L1299*Rubric!$C$5+M1299*Rubric!$C$6+N1299*Rubric!$C$7)/5),1)</f>
        <v>87</v>
      </c>
      <c r="U1299" s="8" t="str">
        <f aca="false">LOOKUP(T1299,Bands!$A$2:$A$6,Bands!$B$2:$B$6)</f>
        <v>Solid Performance</v>
      </c>
      <c r="V1299" s="8" t="n">
        <f aca="false">IF(Q1299="","",ROUND((Q1299-B1299)*24,1))</f>
        <v>0</v>
      </c>
    </row>
    <row r="1300" customFormat="false" ht="15" hidden="false" customHeight="false" outlineLevel="0" collapsed="false">
      <c r="A1300" s="3" t="s">
        <v>2735</v>
      </c>
      <c r="B1300" s="5" t="n">
        <v>46265.5347222222</v>
      </c>
      <c r="C1300" s="3" t="s">
        <v>68</v>
      </c>
      <c r="D1300" s="3" t="s">
        <v>194</v>
      </c>
      <c r="E1300" s="3" t="s">
        <v>195</v>
      </c>
      <c r="F1300" s="3" t="s">
        <v>53</v>
      </c>
      <c r="G1300" s="3" t="s">
        <v>54</v>
      </c>
      <c r="H1300" s="3" t="s">
        <v>2736</v>
      </c>
      <c r="I1300" s="3" t="n">
        <v>4</v>
      </c>
      <c r="J1300" s="3" t="n">
        <v>5</v>
      </c>
      <c r="K1300" s="3" t="n">
        <v>4</v>
      </c>
      <c r="L1300" s="3" t="n">
        <v>4</v>
      </c>
      <c r="M1300" s="3" t="n">
        <v>4</v>
      </c>
      <c r="N1300" s="3" t="n">
        <v>4</v>
      </c>
      <c r="O1300" s="6" t="b">
        <f aca="false">FALSE()</f>
        <v>0</v>
      </c>
      <c r="P1300" s="3"/>
      <c r="Q1300" s="5" t="n">
        <v>46265.5354166667</v>
      </c>
      <c r="R1300" s="5" t="n">
        <v>46265.6555555556</v>
      </c>
      <c r="S1300" s="3" t="s">
        <v>1699</v>
      </c>
      <c r="T1300" s="7" t="n">
        <f aca="false">ROUND(MIN(IF(OR(O1300=TRUE(),O1300="TRUE",O1300="Yes"),59,100),(I1300*Rubric!$C$2+J1300*Rubric!$C$3+K1300*Rubric!$C$4+L1300*Rubric!$C$5+M1300*Rubric!$C$6+N1300*Rubric!$C$7)/5),1)</f>
        <v>85</v>
      </c>
      <c r="U1300" s="8" t="str">
        <f aca="false">LOOKUP(T1300,Bands!$A$2:$A$6,Bands!$B$2:$B$6)</f>
        <v>Solid Performance</v>
      </c>
      <c r="V1300" s="8" t="n">
        <f aca="false">IF(Q1300="","",ROUND((Q1300-B1300)*24,1))</f>
        <v>0</v>
      </c>
    </row>
    <row r="1301" customFormat="false" ht="15" hidden="false" customHeight="false" outlineLevel="0" collapsed="false">
      <c r="A1301" s="3" t="s">
        <v>2737</v>
      </c>
      <c r="B1301" s="5" t="n">
        <v>46265.4277777778</v>
      </c>
      <c r="C1301" s="3" t="s">
        <v>68</v>
      </c>
      <c r="D1301" s="3" t="s">
        <v>293</v>
      </c>
      <c r="E1301" s="3" t="s">
        <v>294</v>
      </c>
      <c r="F1301" s="3" t="s">
        <v>65</v>
      </c>
      <c r="G1301" s="3" t="s">
        <v>42</v>
      </c>
      <c r="H1301" s="3" t="s">
        <v>2738</v>
      </c>
      <c r="I1301" s="3" t="n">
        <v>5</v>
      </c>
      <c r="J1301" s="3" t="n">
        <v>5</v>
      </c>
      <c r="K1301" s="3" t="n">
        <v>5</v>
      </c>
      <c r="L1301" s="3" t="n">
        <v>2</v>
      </c>
      <c r="M1301" s="3" t="n">
        <v>5</v>
      </c>
      <c r="N1301" s="3" t="n">
        <v>5</v>
      </c>
      <c r="O1301" s="6" t="b">
        <f aca="false">FALSE()</f>
        <v>0</v>
      </c>
      <c r="P1301" s="3" t="s">
        <v>44</v>
      </c>
      <c r="Q1301" s="5" t="n">
        <v>46265.4291666667</v>
      </c>
      <c r="R1301" s="5" t="n">
        <v>46265.5256944444</v>
      </c>
      <c r="S1301" s="3" t="s">
        <v>1699</v>
      </c>
      <c r="T1301" s="7" t="n">
        <f aca="false">ROUND(MIN(IF(OR(O1301=TRUE(),O1301="TRUE",O1301="Yes"),59,100),(I1301*Rubric!$C$2+J1301*Rubric!$C$3+K1301*Rubric!$C$4+L1301*Rubric!$C$5+M1301*Rubric!$C$6+N1301*Rubric!$C$7)/5),1)</f>
        <v>91</v>
      </c>
      <c r="U1301" s="8" t="str">
        <f aca="false">LOOKUP(T1301,Bands!$A$2:$A$6,Bands!$B$2:$B$6)</f>
        <v>Outstanding</v>
      </c>
      <c r="V1301" s="8" t="n">
        <f aca="false">IF(Q1301="","",ROUND((Q1301-B1301)*24,1))</f>
        <v>0</v>
      </c>
    </row>
    <row r="1302" customFormat="false" ht="15" hidden="false" customHeight="false" outlineLevel="0" collapsed="false">
      <c r="A1302" s="3" t="s">
        <v>2739</v>
      </c>
      <c r="B1302" s="5" t="n">
        <v>46265.5847222222</v>
      </c>
      <c r="C1302" s="3" t="s">
        <v>39</v>
      </c>
      <c r="D1302" s="3" t="s">
        <v>155</v>
      </c>
      <c r="E1302" s="3" t="s">
        <v>156</v>
      </c>
      <c r="F1302" s="3" t="s">
        <v>65</v>
      </c>
      <c r="G1302" s="3" t="s">
        <v>54</v>
      </c>
      <c r="H1302" s="3" t="s">
        <v>2740</v>
      </c>
      <c r="I1302" s="3" t="n">
        <v>4</v>
      </c>
      <c r="J1302" s="3" t="n">
        <v>4</v>
      </c>
      <c r="K1302" s="3" t="n">
        <v>4</v>
      </c>
      <c r="L1302" s="3" t="n">
        <v>4</v>
      </c>
      <c r="M1302" s="3" t="n">
        <v>4</v>
      </c>
      <c r="N1302" s="3" t="n">
        <v>5</v>
      </c>
      <c r="O1302" s="6" t="b">
        <f aca="false">FALSE()</f>
        <v>0</v>
      </c>
      <c r="P1302" s="3"/>
      <c r="Q1302" s="5" t="n">
        <v>46265.5868055556</v>
      </c>
      <c r="R1302" s="5" t="n">
        <v>46265.6472222222</v>
      </c>
      <c r="S1302" s="3" t="s">
        <v>1699</v>
      </c>
      <c r="T1302" s="7" t="n">
        <f aca="false">ROUND(MIN(IF(OR(O1302=TRUE(),O1302="TRUE",O1302="Yes"),59,100),(I1302*Rubric!$C$2+J1302*Rubric!$C$3+K1302*Rubric!$C$4+L1302*Rubric!$C$5+M1302*Rubric!$C$6+N1302*Rubric!$C$7)/5),1)</f>
        <v>83</v>
      </c>
      <c r="U1302" s="8" t="str">
        <f aca="false">LOOKUP(T1302,Bands!$A$2:$A$6,Bands!$B$2:$B$6)</f>
        <v>Solid Performance</v>
      </c>
      <c r="V1302" s="8" t="n">
        <f aca="false">IF(Q1302="","",ROUND((Q1302-B1302)*24,1))</f>
        <v>0.1</v>
      </c>
    </row>
    <row r="1303" customFormat="false" ht="15" hidden="false" customHeight="false" outlineLevel="0" collapsed="false">
      <c r="A1303" s="3" t="s">
        <v>2741</v>
      </c>
      <c r="B1303" s="5" t="n">
        <v>46265.4451388889</v>
      </c>
      <c r="C1303" s="3" t="s">
        <v>30</v>
      </c>
      <c r="D1303" s="3" t="s">
        <v>111</v>
      </c>
      <c r="E1303" s="3" t="s">
        <v>112</v>
      </c>
      <c r="F1303" s="3" t="s">
        <v>33</v>
      </c>
      <c r="G1303" s="3" t="s">
        <v>34</v>
      </c>
      <c r="H1303" s="3" t="s">
        <v>2742</v>
      </c>
      <c r="I1303" s="3" t="n">
        <v>3</v>
      </c>
      <c r="J1303" s="3" t="n">
        <v>5</v>
      </c>
      <c r="K1303" s="3" t="n">
        <v>4</v>
      </c>
      <c r="L1303" s="3" t="n">
        <v>4</v>
      </c>
      <c r="M1303" s="3" t="n">
        <v>3</v>
      </c>
      <c r="N1303" s="3" t="n">
        <v>5</v>
      </c>
      <c r="O1303" s="6" t="b">
        <f aca="false">FALSE()</f>
        <v>0</v>
      </c>
      <c r="P1303" s="3"/>
      <c r="Q1303" s="5" t="n">
        <v>46265.4472222222</v>
      </c>
      <c r="R1303" s="5" t="n">
        <v>46265.4770833333</v>
      </c>
      <c r="S1303" s="3" t="s">
        <v>1699</v>
      </c>
      <c r="T1303" s="7" t="n">
        <f aca="false">ROUND(MIN(IF(OR(O1303=TRUE(),O1303="TRUE",O1303="Yes"),59,100),(I1303*Rubric!$C$2+J1303*Rubric!$C$3+K1303*Rubric!$C$4+L1303*Rubric!$C$5+M1303*Rubric!$C$6+N1303*Rubric!$C$7)/5),1)</f>
        <v>83</v>
      </c>
      <c r="U1303" s="8" t="str">
        <f aca="false">LOOKUP(T1303,Bands!$A$2:$A$6,Bands!$B$2:$B$6)</f>
        <v>Solid Performance</v>
      </c>
      <c r="V1303" s="8" t="n">
        <f aca="false">IF(Q1303="","",ROUND((Q1303-B1303)*24,1))</f>
        <v>0</v>
      </c>
    </row>
    <row r="1304" customFormat="false" ht="15" hidden="false" customHeight="false" outlineLevel="0" collapsed="false">
      <c r="A1304" s="3" t="s">
        <v>2743</v>
      </c>
      <c r="B1304" s="5" t="n">
        <v>46265.4118055556</v>
      </c>
      <c r="C1304" s="3" t="s">
        <v>30</v>
      </c>
      <c r="D1304" s="3" t="s">
        <v>96</v>
      </c>
      <c r="E1304" s="3" t="s">
        <v>97</v>
      </c>
      <c r="F1304" s="3" t="s">
        <v>33</v>
      </c>
      <c r="G1304" s="3" t="s">
        <v>54</v>
      </c>
      <c r="H1304" s="3" t="s">
        <v>2744</v>
      </c>
      <c r="I1304" s="3" t="n">
        <v>5</v>
      </c>
      <c r="J1304" s="3" t="n">
        <v>2</v>
      </c>
      <c r="K1304" s="3" t="n">
        <v>5</v>
      </c>
      <c r="L1304" s="3" t="n">
        <v>5</v>
      </c>
      <c r="M1304" s="3" t="n">
        <v>4</v>
      </c>
      <c r="N1304" s="3" t="n">
        <v>5</v>
      </c>
      <c r="O1304" s="6" t="b">
        <f aca="false">FALSE()</f>
        <v>0</v>
      </c>
      <c r="P1304" s="3" t="s">
        <v>56</v>
      </c>
      <c r="Q1304" s="5" t="n">
        <v>46265.4125</v>
      </c>
      <c r="R1304" s="5" t="n">
        <v>46265.5736111111</v>
      </c>
      <c r="S1304" s="3" t="s">
        <v>1699</v>
      </c>
      <c r="T1304" s="7" t="n">
        <f aca="false">ROUND(MIN(IF(OR(O1304=TRUE(),O1304="TRUE",O1304="Yes"),59,100),(I1304*Rubric!$C$2+J1304*Rubric!$C$3+K1304*Rubric!$C$4+L1304*Rubric!$C$5+M1304*Rubric!$C$6+N1304*Rubric!$C$7)/5),1)</f>
        <v>83</v>
      </c>
      <c r="U1304" s="8" t="str">
        <f aca="false">LOOKUP(T1304,Bands!$A$2:$A$6,Bands!$B$2:$B$6)</f>
        <v>Solid Performance</v>
      </c>
      <c r="V1304" s="8" t="n">
        <f aca="false">IF(Q1304="","",ROUND((Q1304-B1304)*24,1))</f>
        <v>0</v>
      </c>
    </row>
    <row r="1305" customFormat="false" ht="15" hidden="false" customHeight="false" outlineLevel="0" collapsed="false">
      <c r="A1305" s="3" t="s">
        <v>2745</v>
      </c>
      <c r="B1305" s="5" t="n">
        <v>46265.4680555556</v>
      </c>
      <c r="C1305" s="3" t="s">
        <v>30</v>
      </c>
      <c r="D1305" s="3" t="s">
        <v>198</v>
      </c>
      <c r="E1305" s="3" t="s">
        <v>199</v>
      </c>
      <c r="F1305" s="3" t="s">
        <v>33</v>
      </c>
      <c r="G1305" s="3" t="s">
        <v>42</v>
      </c>
      <c r="H1305" s="3" t="s">
        <v>2746</v>
      </c>
      <c r="I1305" s="3" t="n">
        <v>3</v>
      </c>
      <c r="J1305" s="3" t="n">
        <v>4</v>
      </c>
      <c r="K1305" s="3" t="n">
        <v>3</v>
      </c>
      <c r="L1305" s="3" t="n">
        <v>5</v>
      </c>
      <c r="M1305" s="3" t="n">
        <v>4</v>
      </c>
      <c r="N1305" s="3" t="n">
        <v>4</v>
      </c>
      <c r="O1305" s="6" t="b">
        <f aca="false">FALSE()</f>
        <v>0</v>
      </c>
      <c r="P1305" s="3"/>
      <c r="Q1305" s="5" t="n">
        <v>46265.4701388889</v>
      </c>
      <c r="R1305" s="5" t="n">
        <v>46266.1333333333</v>
      </c>
      <c r="S1305" s="3" t="s">
        <v>1699</v>
      </c>
      <c r="T1305" s="7" t="n">
        <f aca="false">ROUND(MIN(IF(OR(O1305=TRUE(),O1305="TRUE",O1305="Yes"),59,100),(I1305*Rubric!$C$2+J1305*Rubric!$C$3+K1305*Rubric!$C$4+L1305*Rubric!$C$5+M1305*Rubric!$C$6+N1305*Rubric!$C$7)/5),1)</f>
        <v>76</v>
      </c>
      <c r="U1305" s="8" t="str">
        <f aca="false">LOOKUP(T1305,Bands!$A$2:$A$6,Bands!$B$2:$B$6)</f>
        <v>Meets Expectations</v>
      </c>
      <c r="V1305" s="8" t="n">
        <f aca="false">IF(Q1305="","",ROUND((Q1305-B1305)*24,1))</f>
        <v>0</v>
      </c>
    </row>
    <row r="1306" customFormat="false" ht="15" hidden="false" customHeight="false" outlineLevel="0" collapsed="false">
      <c r="A1306" s="3" t="s">
        <v>2747</v>
      </c>
      <c r="B1306" s="5" t="n">
        <v>46265.4416666667</v>
      </c>
      <c r="C1306" s="3" t="s">
        <v>68</v>
      </c>
      <c r="D1306" s="3" t="s">
        <v>63</v>
      </c>
      <c r="E1306" s="3" t="s">
        <v>64</v>
      </c>
      <c r="F1306" s="3" t="s">
        <v>65</v>
      </c>
      <c r="G1306" s="3" t="s">
        <v>42</v>
      </c>
      <c r="H1306" s="3" t="s">
        <v>2748</v>
      </c>
      <c r="I1306" s="3" t="n">
        <v>3</v>
      </c>
      <c r="J1306" s="3" t="n">
        <v>3</v>
      </c>
      <c r="K1306" s="3" t="n">
        <v>4</v>
      </c>
      <c r="L1306" s="3" t="n">
        <v>4</v>
      </c>
      <c r="M1306" s="3" t="n">
        <v>4</v>
      </c>
      <c r="N1306" s="3" t="n">
        <v>3</v>
      </c>
      <c r="O1306" s="6" t="b">
        <f aca="false">FALSE()</f>
        <v>0</v>
      </c>
      <c r="P1306" s="3"/>
      <c r="Q1306" s="5" t="n">
        <v>46265.44375</v>
      </c>
      <c r="R1306" s="5" t="n">
        <v>46265.6652777778</v>
      </c>
      <c r="S1306" s="3" t="s">
        <v>1699</v>
      </c>
      <c r="T1306" s="7" t="n">
        <f aca="false">ROUND(MIN(IF(OR(O1306=TRUE(),O1306="TRUE",O1306="Yes"),59,100),(I1306*Rubric!$C$2+J1306*Rubric!$C$3+K1306*Rubric!$C$4+L1306*Rubric!$C$5+M1306*Rubric!$C$6+N1306*Rubric!$C$7)/5),1)</f>
        <v>69</v>
      </c>
      <c r="U1306" s="8" t="str">
        <f aca="false">LOOKUP(T1306,Bands!$A$2:$A$6,Bands!$B$2:$B$6)</f>
        <v>Needs Improvement</v>
      </c>
      <c r="V1306" s="8" t="n">
        <f aca="false">IF(Q1306="","",ROUND((Q1306-B1306)*24,1))</f>
        <v>0</v>
      </c>
    </row>
    <row r="1307" customFormat="false" ht="15" hidden="false" customHeight="false" outlineLevel="0" collapsed="false">
      <c r="A1307" s="3" t="s">
        <v>2749</v>
      </c>
      <c r="B1307" s="5" t="n">
        <v>46265.4965277778</v>
      </c>
      <c r="C1307" s="3" t="s">
        <v>68</v>
      </c>
      <c r="D1307" s="3" t="s">
        <v>307</v>
      </c>
      <c r="E1307" s="3" t="s">
        <v>308</v>
      </c>
      <c r="F1307" s="3" t="s">
        <v>33</v>
      </c>
      <c r="G1307" s="3" t="s">
        <v>34</v>
      </c>
      <c r="H1307" s="3" t="s">
        <v>2750</v>
      </c>
      <c r="I1307" s="3" t="n">
        <v>5</v>
      </c>
      <c r="J1307" s="3" t="n">
        <v>4</v>
      </c>
      <c r="K1307" s="3" t="n">
        <v>5</v>
      </c>
      <c r="L1307" s="3" t="n">
        <v>5</v>
      </c>
      <c r="M1307" s="3" t="n">
        <v>5</v>
      </c>
      <c r="N1307" s="3" t="n">
        <v>5</v>
      </c>
      <c r="O1307" s="6" t="b">
        <f aca="false">FALSE()</f>
        <v>0</v>
      </c>
      <c r="P1307" s="3"/>
      <c r="Q1307" s="5" t="n">
        <v>46265.4972222222</v>
      </c>
      <c r="R1307" s="5" t="n">
        <v>46265.5069444445</v>
      </c>
      <c r="S1307" s="3" t="s">
        <v>1699</v>
      </c>
      <c r="T1307" s="7" t="n">
        <f aca="false">ROUND(MIN(IF(OR(O1307=TRUE(),O1307="TRUE",O1307="Yes"),59,100),(I1307*Rubric!$C$2+J1307*Rubric!$C$3+K1307*Rubric!$C$4+L1307*Rubric!$C$5+M1307*Rubric!$C$6+N1307*Rubric!$C$7)/5),1)</f>
        <v>95</v>
      </c>
      <c r="U1307" s="8" t="str">
        <f aca="false">LOOKUP(T1307,Bands!$A$2:$A$6,Bands!$B$2:$B$6)</f>
        <v>Outstanding</v>
      </c>
      <c r="V1307" s="8" t="n">
        <f aca="false">IF(Q1307="","",ROUND((Q1307-B1307)*24,1))</f>
        <v>0</v>
      </c>
    </row>
    <row r="1308" customFormat="false" ht="15" hidden="false" customHeight="false" outlineLevel="0" collapsed="false">
      <c r="A1308" s="3" t="s">
        <v>2751</v>
      </c>
      <c r="B1308" s="5" t="n">
        <v>46265.4638888889</v>
      </c>
      <c r="C1308" s="3" t="s">
        <v>30</v>
      </c>
      <c r="D1308" s="3" t="s">
        <v>145</v>
      </c>
      <c r="E1308" s="3" t="s">
        <v>146</v>
      </c>
      <c r="F1308" s="3" t="s">
        <v>33</v>
      </c>
      <c r="G1308" s="3" t="s">
        <v>54</v>
      </c>
      <c r="H1308" s="3" t="s">
        <v>2752</v>
      </c>
      <c r="I1308" s="3" t="n">
        <v>4</v>
      </c>
      <c r="J1308" s="3" t="n">
        <v>2</v>
      </c>
      <c r="K1308" s="3" t="n">
        <v>4</v>
      </c>
      <c r="L1308" s="3" t="n">
        <v>5</v>
      </c>
      <c r="M1308" s="3" t="n">
        <v>4</v>
      </c>
      <c r="N1308" s="3" t="n">
        <v>3</v>
      </c>
      <c r="O1308" s="6" t="b">
        <f aca="false">FALSE()</f>
        <v>0</v>
      </c>
      <c r="P1308" s="3" t="s">
        <v>56</v>
      </c>
      <c r="Q1308" s="5" t="n">
        <v>46265.4645833333</v>
      </c>
      <c r="R1308" s="5" t="n">
        <v>46266.0958333333</v>
      </c>
      <c r="S1308" s="3" t="s">
        <v>1699</v>
      </c>
      <c r="T1308" s="7" t="n">
        <f aca="false">ROUND(MIN(IF(OR(O1308=TRUE(),O1308="TRUE",O1308="Yes"),59,100),(I1308*Rubric!$C$2+J1308*Rubric!$C$3+K1308*Rubric!$C$4+L1308*Rubric!$C$5+M1308*Rubric!$C$6+N1308*Rubric!$C$7)/5),1)</f>
        <v>70</v>
      </c>
      <c r="U1308" s="8" t="str">
        <f aca="false">LOOKUP(T1308,Bands!$A$2:$A$6,Bands!$B$2:$B$6)</f>
        <v>Meets Expectations</v>
      </c>
      <c r="V1308" s="8" t="n">
        <f aca="false">IF(Q1308="","",ROUND((Q1308-B1308)*24,1))</f>
        <v>0</v>
      </c>
    </row>
    <row r="1309" customFormat="false" ht="15" hidden="false" customHeight="false" outlineLevel="0" collapsed="false">
      <c r="A1309" s="3" t="s">
        <v>2753</v>
      </c>
      <c r="B1309" s="5" t="n">
        <v>46265.5652777778</v>
      </c>
      <c r="C1309" s="3" t="s">
        <v>30</v>
      </c>
      <c r="D1309" s="3" t="s">
        <v>58</v>
      </c>
      <c r="E1309" s="3" t="s">
        <v>59</v>
      </c>
      <c r="F1309" s="3" t="s">
        <v>53</v>
      </c>
      <c r="G1309" s="3" t="s">
        <v>54</v>
      </c>
      <c r="H1309" s="3" t="s">
        <v>2754</v>
      </c>
      <c r="I1309" s="3" t="n">
        <v>4</v>
      </c>
      <c r="J1309" s="3" t="n">
        <v>3</v>
      </c>
      <c r="K1309" s="3" t="n">
        <v>4</v>
      </c>
      <c r="L1309" s="3" t="n">
        <v>3</v>
      </c>
      <c r="M1309" s="3" t="n">
        <v>4</v>
      </c>
      <c r="N1309" s="3" t="n">
        <v>3</v>
      </c>
      <c r="O1309" s="6" t="b">
        <f aca="false">FALSE()</f>
        <v>0</v>
      </c>
      <c r="P1309" s="3"/>
      <c r="Q1309" s="5" t="n">
        <v>46265.5659722222</v>
      </c>
      <c r="R1309" s="5" t="n">
        <v>46265.6618055556</v>
      </c>
      <c r="S1309" s="3" t="s">
        <v>1699</v>
      </c>
      <c r="T1309" s="7" t="n">
        <f aca="false">ROUND(MIN(IF(OR(O1309=TRUE(),O1309="TRUE",O1309="Yes"),59,100),(I1309*Rubric!$C$2+J1309*Rubric!$C$3+K1309*Rubric!$C$4+L1309*Rubric!$C$5+M1309*Rubric!$C$6+N1309*Rubric!$C$7)/5),1)</f>
        <v>69</v>
      </c>
      <c r="U1309" s="8" t="str">
        <f aca="false">LOOKUP(T1309,Bands!$A$2:$A$6,Bands!$B$2:$B$6)</f>
        <v>Needs Improvement</v>
      </c>
      <c r="V1309" s="8" t="n">
        <f aca="false">IF(Q1309="","",ROUND((Q1309-B1309)*24,1))</f>
        <v>0</v>
      </c>
    </row>
    <row r="1310" customFormat="false" ht="15" hidden="false" customHeight="false" outlineLevel="0" collapsed="false">
      <c r="A1310" s="3" t="s">
        <v>2755</v>
      </c>
      <c r="B1310" s="5" t="n">
        <v>46266.4159722222</v>
      </c>
      <c r="C1310" s="3" t="s">
        <v>68</v>
      </c>
      <c r="D1310" s="3" t="s">
        <v>90</v>
      </c>
      <c r="E1310" s="3" t="s">
        <v>91</v>
      </c>
      <c r="F1310" s="3" t="s">
        <v>65</v>
      </c>
      <c r="G1310" s="3" t="s">
        <v>54</v>
      </c>
      <c r="H1310" s="3" t="s">
        <v>2756</v>
      </c>
      <c r="I1310" s="3" t="n">
        <v>4</v>
      </c>
      <c r="J1310" s="3" t="n">
        <v>3</v>
      </c>
      <c r="K1310" s="3" t="n">
        <v>5</v>
      </c>
      <c r="L1310" s="3" t="n">
        <v>4</v>
      </c>
      <c r="M1310" s="3" t="n">
        <v>5</v>
      </c>
      <c r="N1310" s="3" t="n">
        <v>5</v>
      </c>
      <c r="O1310" s="6" t="b">
        <f aca="false">FALSE()</f>
        <v>0</v>
      </c>
      <c r="P1310" s="3"/>
      <c r="Q1310" s="5" t="n">
        <v>46266.4180555556</v>
      </c>
      <c r="R1310" s="5" t="n">
        <v>46267.0548611111</v>
      </c>
      <c r="S1310" s="3" t="s">
        <v>1699</v>
      </c>
      <c r="T1310" s="7" t="n">
        <f aca="false">ROUND(MIN(IF(OR(O1310=TRUE(),O1310="TRUE",O1310="Yes"),59,100),(I1310*Rubric!$C$2+J1310*Rubric!$C$3+K1310*Rubric!$C$4+L1310*Rubric!$C$5+M1310*Rubric!$C$6+N1310*Rubric!$C$7)/5),1)</f>
        <v>84</v>
      </c>
      <c r="U1310" s="8" t="str">
        <f aca="false">LOOKUP(T1310,Bands!$A$2:$A$6,Bands!$B$2:$B$6)</f>
        <v>Solid Performance</v>
      </c>
      <c r="V1310" s="8" t="n">
        <f aca="false">IF(Q1310="","",ROUND((Q1310-B1310)*24,1))</f>
        <v>0.1</v>
      </c>
    </row>
    <row r="1311" customFormat="false" ht="15" hidden="false" customHeight="false" outlineLevel="0" collapsed="false">
      <c r="A1311" s="3" t="s">
        <v>2757</v>
      </c>
      <c r="B1311" s="5" t="n">
        <v>46266.6152777778</v>
      </c>
      <c r="C1311" s="3" t="s">
        <v>30</v>
      </c>
      <c r="D1311" s="3" t="s">
        <v>307</v>
      </c>
      <c r="E1311" s="3" t="s">
        <v>308</v>
      </c>
      <c r="F1311" s="3" t="s">
        <v>33</v>
      </c>
      <c r="G1311" s="3" t="s">
        <v>34</v>
      </c>
      <c r="H1311" s="3" t="s">
        <v>2758</v>
      </c>
      <c r="I1311" s="3" t="n">
        <v>5</v>
      </c>
      <c r="J1311" s="3" t="n">
        <v>4</v>
      </c>
      <c r="K1311" s="3" t="n">
        <v>5</v>
      </c>
      <c r="L1311" s="3" t="n">
        <v>5</v>
      </c>
      <c r="M1311" s="3" t="n">
        <v>5</v>
      </c>
      <c r="N1311" s="3" t="n">
        <v>5</v>
      </c>
      <c r="O1311" s="6" t="b">
        <f aca="false">FALSE()</f>
        <v>0</v>
      </c>
      <c r="P1311" s="3"/>
      <c r="Q1311" s="5" t="n">
        <v>46266.6173611111</v>
      </c>
      <c r="R1311" s="5" t="n">
        <v>46266.76875</v>
      </c>
      <c r="S1311" s="3" t="s">
        <v>1699</v>
      </c>
      <c r="T1311" s="7" t="n">
        <f aca="false">ROUND(MIN(IF(OR(O1311=TRUE(),O1311="TRUE",O1311="Yes"),59,100),(I1311*Rubric!$C$2+J1311*Rubric!$C$3+K1311*Rubric!$C$4+L1311*Rubric!$C$5+M1311*Rubric!$C$6+N1311*Rubric!$C$7)/5),1)</f>
        <v>95</v>
      </c>
      <c r="U1311" s="8" t="str">
        <f aca="false">LOOKUP(T1311,Bands!$A$2:$A$6,Bands!$B$2:$B$6)</f>
        <v>Outstanding</v>
      </c>
      <c r="V1311" s="8" t="n">
        <f aca="false">IF(Q1311="","",ROUND((Q1311-B1311)*24,1))</f>
        <v>0</v>
      </c>
    </row>
    <row r="1312" customFormat="false" ht="15" hidden="false" customHeight="false" outlineLevel="0" collapsed="false">
      <c r="A1312" s="3" t="s">
        <v>2759</v>
      </c>
      <c r="B1312" s="5" t="n">
        <v>46266.5368055556</v>
      </c>
      <c r="C1312" s="3" t="s">
        <v>68</v>
      </c>
      <c r="D1312" s="3" t="s">
        <v>259</v>
      </c>
      <c r="E1312" s="3" t="s">
        <v>260</v>
      </c>
      <c r="F1312" s="3" t="s">
        <v>33</v>
      </c>
      <c r="G1312" s="3" t="s">
        <v>54</v>
      </c>
      <c r="H1312" s="3" t="s">
        <v>2760</v>
      </c>
      <c r="I1312" s="3" t="n">
        <v>5</v>
      </c>
      <c r="J1312" s="3" t="n">
        <v>5</v>
      </c>
      <c r="K1312" s="3" t="n">
        <v>4</v>
      </c>
      <c r="L1312" s="3" t="n">
        <v>5</v>
      </c>
      <c r="M1312" s="3" t="n">
        <v>5</v>
      </c>
      <c r="N1312" s="3" t="n">
        <v>5</v>
      </c>
      <c r="O1312" s="6" t="b">
        <f aca="false">FALSE()</f>
        <v>0</v>
      </c>
      <c r="P1312" s="3"/>
      <c r="Q1312" s="5" t="n">
        <v>46266.5388888889</v>
      </c>
      <c r="R1312" s="5" t="n">
        <v>46266.5826388889</v>
      </c>
      <c r="S1312" s="3" t="s">
        <v>1699</v>
      </c>
      <c r="T1312" s="7" t="n">
        <f aca="false">ROUND(MIN(IF(OR(O1312=TRUE(),O1312="TRUE",O1312="Yes"),59,100),(I1312*Rubric!$C$2+J1312*Rubric!$C$3+K1312*Rubric!$C$4+L1312*Rubric!$C$5+M1312*Rubric!$C$6+N1312*Rubric!$C$7)/5),1)</f>
        <v>96</v>
      </c>
      <c r="U1312" s="8" t="str">
        <f aca="false">LOOKUP(T1312,Bands!$A$2:$A$6,Bands!$B$2:$B$6)</f>
        <v>Outstanding</v>
      </c>
      <c r="V1312" s="8" t="n">
        <f aca="false">IF(Q1312="","",ROUND((Q1312-B1312)*24,1))</f>
        <v>0</v>
      </c>
    </row>
    <row r="1313" customFormat="false" ht="15" hidden="false" customHeight="false" outlineLevel="0" collapsed="false">
      <c r="A1313" s="3" t="s">
        <v>2761</v>
      </c>
      <c r="B1313" s="5" t="n">
        <v>46266.375</v>
      </c>
      <c r="C1313" s="3" t="s">
        <v>68</v>
      </c>
      <c r="D1313" s="3" t="s">
        <v>40</v>
      </c>
      <c r="E1313" s="3" t="s">
        <v>41</v>
      </c>
      <c r="F1313" s="3" t="s">
        <v>33</v>
      </c>
      <c r="G1313" s="3" t="s">
        <v>54</v>
      </c>
      <c r="H1313" s="3" t="s">
        <v>2762</v>
      </c>
      <c r="I1313" s="3" t="n">
        <v>4</v>
      </c>
      <c r="J1313" s="3" t="n">
        <v>4</v>
      </c>
      <c r="K1313" s="3" t="n">
        <v>3</v>
      </c>
      <c r="L1313" s="3" t="n">
        <v>3</v>
      </c>
      <c r="M1313" s="3" t="n">
        <v>5</v>
      </c>
      <c r="N1313" s="3" t="n">
        <v>4</v>
      </c>
      <c r="O1313" s="6" t="b">
        <f aca="false">FALSE()</f>
        <v>0</v>
      </c>
      <c r="P1313" s="3"/>
      <c r="Q1313" s="5" t="n">
        <v>46266.3763888889</v>
      </c>
      <c r="R1313" s="5" t="n">
        <v>46266.3798611111</v>
      </c>
      <c r="S1313" s="3" t="s">
        <v>1699</v>
      </c>
      <c r="T1313" s="7" t="n">
        <f aca="false">ROUND(MIN(IF(OR(O1313=TRUE(),O1313="TRUE",O1313="Yes"),59,100),(I1313*Rubric!$C$2+J1313*Rubric!$C$3+K1313*Rubric!$C$4+L1313*Rubric!$C$5+M1313*Rubric!$C$6+N1313*Rubric!$C$7)/5),1)</f>
        <v>75</v>
      </c>
      <c r="U1313" s="8" t="str">
        <f aca="false">LOOKUP(T1313,Bands!$A$2:$A$6,Bands!$B$2:$B$6)</f>
        <v>Meets Expectations</v>
      </c>
      <c r="V1313" s="8" t="n">
        <f aca="false">IF(Q1313="","",ROUND((Q1313-B1313)*24,1))</f>
        <v>0</v>
      </c>
    </row>
    <row r="1314" customFormat="false" ht="15" hidden="false" customHeight="false" outlineLevel="0" collapsed="false">
      <c r="A1314" s="3" t="s">
        <v>2763</v>
      </c>
      <c r="B1314" s="5" t="n">
        <v>46266.4881944444</v>
      </c>
      <c r="C1314" s="3" t="s">
        <v>30</v>
      </c>
      <c r="D1314" s="3" t="s">
        <v>194</v>
      </c>
      <c r="E1314" s="3" t="s">
        <v>195</v>
      </c>
      <c r="F1314" s="3" t="s">
        <v>53</v>
      </c>
      <c r="G1314" s="3" t="s">
        <v>54</v>
      </c>
      <c r="H1314" s="3" t="s">
        <v>2764</v>
      </c>
      <c r="I1314" s="3" t="n">
        <v>4</v>
      </c>
      <c r="J1314" s="3" t="n">
        <v>5</v>
      </c>
      <c r="K1314" s="3" t="n">
        <v>5</v>
      </c>
      <c r="L1314" s="3" t="n">
        <v>4</v>
      </c>
      <c r="M1314" s="3" t="n">
        <v>4</v>
      </c>
      <c r="N1314" s="3" t="n">
        <v>3</v>
      </c>
      <c r="O1314" s="6" t="b">
        <f aca="false">FALSE()</f>
        <v>0</v>
      </c>
      <c r="P1314" s="3"/>
      <c r="Q1314" s="5" t="n">
        <v>46266.4895833333</v>
      </c>
      <c r="R1314" s="5" t="n">
        <v>46266.8368055556</v>
      </c>
      <c r="S1314" s="3" t="s">
        <v>1699</v>
      </c>
      <c r="T1314" s="7" t="n">
        <f aca="false">ROUND(MIN(IF(OR(O1314=TRUE(),O1314="TRUE",O1314="Yes"),59,100),(I1314*Rubric!$C$2+J1314*Rubric!$C$3+K1314*Rubric!$C$4+L1314*Rubric!$C$5+M1314*Rubric!$C$6+N1314*Rubric!$C$7)/5),1)</f>
        <v>86</v>
      </c>
      <c r="U1314" s="8" t="str">
        <f aca="false">LOOKUP(T1314,Bands!$A$2:$A$6,Bands!$B$2:$B$6)</f>
        <v>Solid Performance</v>
      </c>
      <c r="V1314" s="8" t="n">
        <f aca="false">IF(Q1314="","",ROUND((Q1314-B1314)*24,1))</f>
        <v>0</v>
      </c>
    </row>
    <row r="1315" customFormat="false" ht="15" hidden="false" customHeight="false" outlineLevel="0" collapsed="false">
      <c r="A1315" s="3" t="s">
        <v>2765</v>
      </c>
      <c r="B1315" s="5" t="n">
        <v>46266.6020833333</v>
      </c>
      <c r="C1315" s="3" t="s">
        <v>39</v>
      </c>
      <c r="D1315" s="3" t="s">
        <v>105</v>
      </c>
      <c r="E1315" s="3" t="s">
        <v>106</v>
      </c>
      <c r="F1315" s="3" t="s">
        <v>65</v>
      </c>
      <c r="G1315" s="3" t="s">
        <v>54</v>
      </c>
      <c r="H1315" s="3" t="s">
        <v>2766</v>
      </c>
      <c r="I1315" s="3" t="n">
        <v>5</v>
      </c>
      <c r="J1315" s="3" t="n">
        <v>4</v>
      </c>
      <c r="K1315" s="3" t="n">
        <v>4</v>
      </c>
      <c r="L1315" s="3" t="n">
        <v>3</v>
      </c>
      <c r="M1315" s="3" t="n">
        <v>5</v>
      </c>
      <c r="N1315" s="3" t="n">
        <v>4</v>
      </c>
      <c r="O1315" s="6" t="b">
        <f aca="false">FALSE()</f>
        <v>0</v>
      </c>
      <c r="P1315" s="3"/>
      <c r="Q1315" s="5" t="n">
        <v>46266.6034722222</v>
      </c>
      <c r="R1315" s="5" t="n">
        <v>46266.8020833333</v>
      </c>
      <c r="S1315" s="3" t="s">
        <v>1699</v>
      </c>
      <c r="T1315" s="7" t="n">
        <f aca="false">ROUND(MIN(IF(OR(O1315=TRUE(),O1315="TRUE",O1315="Yes"),59,100),(I1315*Rubric!$C$2+J1315*Rubric!$C$3+K1315*Rubric!$C$4+L1315*Rubric!$C$5+M1315*Rubric!$C$6+N1315*Rubric!$C$7)/5),1)</f>
        <v>82</v>
      </c>
      <c r="U1315" s="8" t="str">
        <f aca="false">LOOKUP(T1315,Bands!$A$2:$A$6,Bands!$B$2:$B$6)</f>
        <v>Solid Performance</v>
      </c>
      <c r="V1315" s="8" t="n">
        <f aca="false">IF(Q1315="","",ROUND((Q1315-B1315)*24,1))</f>
        <v>0</v>
      </c>
    </row>
    <row r="1316" customFormat="false" ht="15" hidden="false" customHeight="false" outlineLevel="0" collapsed="false">
      <c r="A1316" s="3" t="s">
        <v>2767</v>
      </c>
      <c r="B1316" s="5" t="n">
        <v>46266.46875</v>
      </c>
      <c r="C1316" s="3" t="s">
        <v>68</v>
      </c>
      <c r="D1316" s="3" t="s">
        <v>119</v>
      </c>
      <c r="E1316" s="3" t="s">
        <v>120</v>
      </c>
      <c r="F1316" s="3" t="s">
        <v>33</v>
      </c>
      <c r="G1316" s="3" t="s">
        <v>54</v>
      </c>
      <c r="H1316" s="3" t="s">
        <v>2768</v>
      </c>
      <c r="I1316" s="3" t="n">
        <v>4</v>
      </c>
      <c r="J1316" s="3" t="n">
        <v>4</v>
      </c>
      <c r="K1316" s="3" t="n">
        <v>4</v>
      </c>
      <c r="L1316" s="3" t="n">
        <v>3</v>
      </c>
      <c r="M1316" s="3" t="n">
        <v>5</v>
      </c>
      <c r="N1316" s="3" t="n">
        <v>2</v>
      </c>
      <c r="O1316" s="6" t="b">
        <f aca="false">FALSE()</f>
        <v>0</v>
      </c>
      <c r="P1316" s="3" t="s">
        <v>36</v>
      </c>
      <c r="Q1316" s="5" t="n">
        <v>46266.4701388889</v>
      </c>
      <c r="R1316" s="5" t="n">
        <v>46266.4868055556</v>
      </c>
      <c r="S1316" s="3" t="s">
        <v>1699</v>
      </c>
      <c r="T1316" s="7" t="n">
        <f aca="false">ROUND(MIN(IF(OR(O1316=TRUE(),O1316="TRUE",O1316="Yes"),59,100),(I1316*Rubric!$C$2+J1316*Rubric!$C$3+K1316*Rubric!$C$4+L1316*Rubric!$C$5+M1316*Rubric!$C$6+N1316*Rubric!$C$7)/5),1)</f>
        <v>73</v>
      </c>
      <c r="U1316" s="8" t="str">
        <f aca="false">LOOKUP(T1316,Bands!$A$2:$A$6,Bands!$B$2:$B$6)</f>
        <v>Meets Expectations</v>
      </c>
      <c r="V1316" s="8" t="n">
        <f aca="false">IF(Q1316="","",ROUND((Q1316-B1316)*24,1))</f>
        <v>0</v>
      </c>
    </row>
    <row r="1317" customFormat="false" ht="15" hidden="false" customHeight="false" outlineLevel="0" collapsed="false">
      <c r="A1317" s="3" t="s">
        <v>2769</v>
      </c>
      <c r="B1317" s="5" t="n">
        <v>46266.7020833333</v>
      </c>
      <c r="C1317" s="3" t="s">
        <v>30</v>
      </c>
      <c r="D1317" s="3" t="s">
        <v>100</v>
      </c>
      <c r="E1317" s="3" t="s">
        <v>101</v>
      </c>
      <c r="F1317" s="3" t="s">
        <v>33</v>
      </c>
      <c r="G1317" s="3" t="s">
        <v>34</v>
      </c>
      <c r="H1317" s="3" t="s">
        <v>2770</v>
      </c>
      <c r="I1317" s="3" t="n">
        <v>4</v>
      </c>
      <c r="J1317" s="3" t="n">
        <v>5</v>
      </c>
      <c r="K1317" s="3" t="n">
        <v>5</v>
      </c>
      <c r="L1317" s="3" t="n">
        <v>4</v>
      </c>
      <c r="M1317" s="3" t="n">
        <v>3</v>
      </c>
      <c r="N1317" s="3" t="n">
        <v>5</v>
      </c>
      <c r="O1317" s="6" t="b">
        <f aca="false">FALSE()</f>
        <v>0</v>
      </c>
      <c r="P1317" s="3"/>
      <c r="Q1317" s="5" t="n">
        <v>46266.7041666667</v>
      </c>
      <c r="R1317" s="5" t="n">
        <v>46266.7763888889</v>
      </c>
      <c r="S1317" s="3" t="s">
        <v>1699</v>
      </c>
      <c r="T1317" s="7" t="n">
        <f aca="false">ROUND(MIN(IF(OR(O1317=TRUE(),O1317="TRUE",O1317="Yes"),59,100),(I1317*Rubric!$C$2+J1317*Rubric!$C$3+K1317*Rubric!$C$4+L1317*Rubric!$C$5+M1317*Rubric!$C$6+N1317*Rubric!$C$7)/5),1)</f>
        <v>90</v>
      </c>
      <c r="U1317" s="8" t="str">
        <f aca="false">LOOKUP(T1317,Bands!$A$2:$A$6,Bands!$B$2:$B$6)</f>
        <v>Outstanding</v>
      </c>
      <c r="V1317" s="8" t="n">
        <f aca="false">IF(Q1317="","",ROUND((Q1317-B1317)*24,1))</f>
        <v>0.1</v>
      </c>
    </row>
    <row r="1318" customFormat="false" ht="15" hidden="false" customHeight="false" outlineLevel="0" collapsed="false">
      <c r="A1318" s="3" t="s">
        <v>2771</v>
      </c>
      <c r="B1318" s="5" t="n">
        <v>46266.3986111111</v>
      </c>
      <c r="C1318" s="3" t="s">
        <v>68</v>
      </c>
      <c r="D1318" s="3" t="s">
        <v>238</v>
      </c>
      <c r="E1318" s="3" t="s">
        <v>239</v>
      </c>
      <c r="F1318" s="3" t="s">
        <v>33</v>
      </c>
      <c r="G1318" s="3" t="s">
        <v>54</v>
      </c>
      <c r="H1318" s="3" t="s">
        <v>2772</v>
      </c>
      <c r="I1318" s="3" t="n">
        <v>4</v>
      </c>
      <c r="J1318" s="3" t="n">
        <v>4</v>
      </c>
      <c r="K1318" s="3" t="n">
        <v>4</v>
      </c>
      <c r="L1318" s="3" t="n">
        <v>5</v>
      </c>
      <c r="M1318" s="3" t="n">
        <v>4</v>
      </c>
      <c r="N1318" s="3" t="n">
        <v>5</v>
      </c>
      <c r="O1318" s="6" t="b">
        <f aca="false">FALSE()</f>
        <v>0</v>
      </c>
      <c r="P1318" s="3"/>
      <c r="Q1318" s="5" t="n">
        <v>46266.4006944444</v>
      </c>
      <c r="R1318" s="5" t="n">
        <v>46266.4090277778</v>
      </c>
      <c r="S1318" s="3" t="s">
        <v>1699</v>
      </c>
      <c r="T1318" s="7" t="n">
        <f aca="false">ROUND(MIN(IF(OR(O1318=TRUE(),O1318="TRUE",O1318="Yes"),59,100),(I1318*Rubric!$C$2+J1318*Rubric!$C$3+K1318*Rubric!$C$4+L1318*Rubric!$C$5+M1318*Rubric!$C$6+N1318*Rubric!$C$7)/5),1)</f>
        <v>86</v>
      </c>
      <c r="U1318" s="8" t="str">
        <f aca="false">LOOKUP(T1318,Bands!$A$2:$A$6,Bands!$B$2:$B$6)</f>
        <v>Solid Performance</v>
      </c>
      <c r="V1318" s="8" t="n">
        <f aca="false">IF(Q1318="","",ROUND((Q1318-B1318)*24,1))</f>
        <v>0</v>
      </c>
    </row>
    <row r="1319" customFormat="false" ht="15" hidden="false" customHeight="false" outlineLevel="0" collapsed="false">
      <c r="A1319" s="3" t="s">
        <v>2773</v>
      </c>
      <c r="B1319" s="5" t="n">
        <v>46266.4243055556</v>
      </c>
      <c r="C1319" s="3" t="s">
        <v>30</v>
      </c>
      <c r="D1319" s="3" t="s">
        <v>212</v>
      </c>
      <c r="E1319" s="3" t="s">
        <v>213</v>
      </c>
      <c r="F1319" s="3" t="s">
        <v>33</v>
      </c>
      <c r="G1319" s="3" t="s">
        <v>54</v>
      </c>
      <c r="H1319" s="3" t="s">
        <v>2774</v>
      </c>
      <c r="I1319" s="3" t="n">
        <v>3</v>
      </c>
      <c r="J1319" s="3" t="n">
        <v>4</v>
      </c>
      <c r="K1319" s="3" t="n">
        <v>4</v>
      </c>
      <c r="L1319" s="3" t="n">
        <v>4</v>
      </c>
      <c r="M1319" s="3" t="n">
        <v>3</v>
      </c>
      <c r="N1319" s="3" t="n">
        <v>4</v>
      </c>
      <c r="O1319" s="6" t="b">
        <f aca="false">FALSE()</f>
        <v>0</v>
      </c>
      <c r="P1319" s="3"/>
      <c r="Q1319" s="5" t="n">
        <v>46266.4263888889</v>
      </c>
      <c r="R1319" s="5" t="n">
        <v>46266.4840277778</v>
      </c>
      <c r="S1319" s="3" t="s">
        <v>1699</v>
      </c>
      <c r="T1319" s="7" t="n">
        <f aca="false">ROUND(MIN(IF(OR(O1319=TRUE(),O1319="TRUE",O1319="Yes"),59,100),(I1319*Rubric!$C$2+J1319*Rubric!$C$3+K1319*Rubric!$C$4+L1319*Rubric!$C$5+M1319*Rubric!$C$6+N1319*Rubric!$C$7)/5),1)</f>
        <v>75</v>
      </c>
      <c r="U1319" s="8" t="str">
        <f aca="false">LOOKUP(T1319,Bands!$A$2:$A$6,Bands!$B$2:$B$6)</f>
        <v>Meets Expectations</v>
      </c>
      <c r="V1319" s="8" t="n">
        <f aca="false">IF(Q1319="","",ROUND((Q1319-B1319)*24,1))</f>
        <v>0</v>
      </c>
    </row>
    <row r="1320" customFormat="false" ht="15" hidden="false" customHeight="false" outlineLevel="0" collapsed="false">
      <c r="A1320" s="3" t="s">
        <v>2775</v>
      </c>
      <c r="B1320" s="5" t="n">
        <v>46266.5888888889</v>
      </c>
      <c r="C1320" s="3" t="s">
        <v>68</v>
      </c>
      <c r="D1320" s="3" t="s">
        <v>63</v>
      </c>
      <c r="E1320" s="3" t="s">
        <v>64</v>
      </c>
      <c r="F1320" s="3" t="s">
        <v>65</v>
      </c>
      <c r="G1320" s="3" t="s">
        <v>34</v>
      </c>
      <c r="H1320" s="3" t="s">
        <v>2776</v>
      </c>
      <c r="I1320" s="3" t="n">
        <v>3</v>
      </c>
      <c r="J1320" s="3" t="n">
        <v>3</v>
      </c>
      <c r="K1320" s="3" t="n">
        <v>4</v>
      </c>
      <c r="L1320" s="3" t="n">
        <v>4</v>
      </c>
      <c r="M1320" s="3" t="n">
        <v>4</v>
      </c>
      <c r="N1320" s="3" t="n">
        <v>3</v>
      </c>
      <c r="O1320" s="6" t="b">
        <f aca="false">FALSE()</f>
        <v>0</v>
      </c>
      <c r="P1320" s="3"/>
      <c r="Q1320" s="5" t="n">
        <v>46266.5895833333</v>
      </c>
      <c r="R1320" s="5" t="n">
        <v>46266.86875</v>
      </c>
      <c r="S1320" s="3" t="s">
        <v>1699</v>
      </c>
      <c r="T1320" s="7" t="n">
        <f aca="false">ROUND(MIN(IF(OR(O1320=TRUE(),O1320="TRUE",O1320="Yes"),59,100),(I1320*Rubric!$C$2+J1320*Rubric!$C$3+K1320*Rubric!$C$4+L1320*Rubric!$C$5+M1320*Rubric!$C$6+N1320*Rubric!$C$7)/5),1)</f>
        <v>69</v>
      </c>
      <c r="U1320" s="8" t="str">
        <f aca="false">LOOKUP(T1320,Bands!$A$2:$A$6,Bands!$B$2:$B$6)</f>
        <v>Needs Improvement</v>
      </c>
      <c r="V1320" s="8" t="n">
        <f aca="false">IF(Q1320="","",ROUND((Q1320-B1320)*24,1))</f>
        <v>0</v>
      </c>
    </row>
    <row r="1321" customFormat="false" ht="15" hidden="false" customHeight="false" outlineLevel="0" collapsed="false">
      <c r="A1321" s="3" t="s">
        <v>2777</v>
      </c>
      <c r="B1321" s="5" t="n">
        <v>46266.5013888889</v>
      </c>
      <c r="C1321" s="3" t="s">
        <v>68</v>
      </c>
      <c r="D1321" s="3" t="s">
        <v>115</v>
      </c>
      <c r="E1321" s="3" t="s">
        <v>116</v>
      </c>
      <c r="F1321" s="3" t="s">
        <v>33</v>
      </c>
      <c r="G1321" s="3" t="s">
        <v>54</v>
      </c>
      <c r="H1321" s="3" t="s">
        <v>2778</v>
      </c>
      <c r="I1321" s="3" t="n">
        <v>5</v>
      </c>
      <c r="J1321" s="3" t="n">
        <v>4</v>
      </c>
      <c r="K1321" s="3" t="n">
        <v>4</v>
      </c>
      <c r="L1321" s="3" t="n">
        <v>4</v>
      </c>
      <c r="M1321" s="3" t="n">
        <v>4</v>
      </c>
      <c r="N1321" s="3" t="n">
        <v>4</v>
      </c>
      <c r="O1321" s="6" t="b">
        <f aca="false">FALSE()</f>
        <v>0</v>
      </c>
      <c r="P1321" s="3"/>
      <c r="Q1321" s="5" t="n">
        <v>46266.5027777778</v>
      </c>
      <c r="R1321" s="5" t="n">
        <v>46266.9402777778</v>
      </c>
      <c r="S1321" s="3" t="s">
        <v>1699</v>
      </c>
      <c r="T1321" s="7" t="n">
        <f aca="false">ROUND(MIN(IF(OR(O1321=TRUE(),O1321="TRUE",O1321="Yes"),59,100),(I1321*Rubric!$C$2+J1321*Rubric!$C$3+K1321*Rubric!$C$4+L1321*Rubric!$C$5+M1321*Rubric!$C$6+N1321*Rubric!$C$7)/5),1)</f>
        <v>83</v>
      </c>
      <c r="U1321" s="8" t="str">
        <f aca="false">LOOKUP(T1321,Bands!$A$2:$A$6,Bands!$B$2:$B$6)</f>
        <v>Solid Performance</v>
      </c>
      <c r="V1321" s="8" t="n">
        <f aca="false">IF(Q1321="","",ROUND((Q1321-B1321)*24,1))</f>
        <v>0</v>
      </c>
    </row>
    <row r="1322" customFormat="false" ht="15" hidden="false" customHeight="false" outlineLevel="0" collapsed="false">
      <c r="A1322" s="3" t="s">
        <v>2779</v>
      </c>
      <c r="B1322" s="5" t="n">
        <v>46267.6069444444</v>
      </c>
      <c r="C1322" s="3" t="s">
        <v>39</v>
      </c>
      <c r="D1322" s="3" t="s">
        <v>194</v>
      </c>
      <c r="E1322" s="3" t="s">
        <v>195</v>
      </c>
      <c r="F1322" s="3" t="s">
        <v>53</v>
      </c>
      <c r="G1322" s="3" t="s">
        <v>54</v>
      </c>
      <c r="H1322" s="3" t="s">
        <v>2780</v>
      </c>
      <c r="I1322" s="3" t="n">
        <v>5</v>
      </c>
      <c r="J1322" s="3" t="n">
        <v>4</v>
      </c>
      <c r="K1322" s="3" t="n">
        <v>4</v>
      </c>
      <c r="L1322" s="3" t="n">
        <v>4</v>
      </c>
      <c r="M1322" s="3" t="n">
        <v>4</v>
      </c>
      <c r="N1322" s="3" t="n">
        <v>3</v>
      </c>
      <c r="O1322" s="6" t="b">
        <f aca="false">FALSE()</f>
        <v>0</v>
      </c>
      <c r="P1322" s="3"/>
      <c r="Q1322" s="5" t="n">
        <v>46267.6090277778</v>
      </c>
      <c r="R1322" s="5" t="n">
        <v>46268.2666666667</v>
      </c>
      <c r="S1322" s="3" t="s">
        <v>1699</v>
      </c>
      <c r="T1322" s="7" t="n">
        <f aca="false">ROUND(MIN(IF(OR(O1322=TRUE(),O1322="TRUE",O1322="Yes"),59,100),(I1322*Rubric!$C$2+J1322*Rubric!$C$3+K1322*Rubric!$C$4+L1322*Rubric!$C$5+M1322*Rubric!$C$6+N1322*Rubric!$C$7)/5),1)</f>
        <v>80</v>
      </c>
      <c r="U1322" s="8" t="str">
        <f aca="false">LOOKUP(T1322,Bands!$A$2:$A$6,Bands!$B$2:$B$6)</f>
        <v>Solid Performance</v>
      </c>
      <c r="V1322" s="8" t="n">
        <f aca="false">IF(Q1322="","",ROUND((Q1322-B1322)*24,1))</f>
        <v>0.1</v>
      </c>
    </row>
    <row r="1323" customFormat="false" ht="15" hidden="false" customHeight="false" outlineLevel="0" collapsed="false">
      <c r="A1323" s="3" t="s">
        <v>2781</v>
      </c>
      <c r="B1323" s="5" t="n">
        <v>46267.3868055556</v>
      </c>
      <c r="C1323" s="3" t="s">
        <v>39</v>
      </c>
      <c r="D1323" s="3" t="s">
        <v>259</v>
      </c>
      <c r="E1323" s="3" t="s">
        <v>260</v>
      </c>
      <c r="F1323" s="3" t="s">
        <v>33</v>
      </c>
      <c r="G1323" s="3" t="s">
        <v>42</v>
      </c>
      <c r="H1323" s="3" t="s">
        <v>2782</v>
      </c>
      <c r="I1323" s="3" t="n">
        <v>5</v>
      </c>
      <c r="J1323" s="3" t="n">
        <v>5</v>
      </c>
      <c r="K1323" s="3" t="n">
        <v>4</v>
      </c>
      <c r="L1323" s="3" t="n">
        <v>5</v>
      </c>
      <c r="M1323" s="3" t="n">
        <v>5</v>
      </c>
      <c r="N1323" s="3" t="n">
        <v>5</v>
      </c>
      <c r="O1323" s="6" t="b">
        <f aca="false">FALSE()</f>
        <v>0</v>
      </c>
      <c r="P1323" s="3"/>
      <c r="Q1323" s="5" t="n">
        <v>46267.3881944444</v>
      </c>
      <c r="R1323" s="5" t="n">
        <v>46267.5277777778</v>
      </c>
      <c r="S1323" s="3" t="s">
        <v>1699</v>
      </c>
      <c r="T1323" s="7" t="n">
        <f aca="false">ROUND(MIN(IF(OR(O1323=TRUE(),O1323="TRUE",O1323="Yes"),59,100),(I1323*Rubric!$C$2+J1323*Rubric!$C$3+K1323*Rubric!$C$4+L1323*Rubric!$C$5+M1323*Rubric!$C$6+N1323*Rubric!$C$7)/5),1)</f>
        <v>96</v>
      </c>
      <c r="U1323" s="8" t="str">
        <f aca="false">LOOKUP(T1323,Bands!$A$2:$A$6,Bands!$B$2:$B$6)</f>
        <v>Outstanding</v>
      </c>
      <c r="V1323" s="8" t="n">
        <f aca="false">IF(Q1323="","",ROUND((Q1323-B1323)*24,1))</f>
        <v>0</v>
      </c>
    </row>
    <row r="1324" customFormat="false" ht="15" hidden="false" customHeight="false" outlineLevel="0" collapsed="false">
      <c r="A1324" s="3" t="s">
        <v>2783</v>
      </c>
      <c r="B1324" s="5" t="n">
        <v>46267.5986111111</v>
      </c>
      <c r="C1324" s="3" t="s">
        <v>39</v>
      </c>
      <c r="D1324" s="3" t="s">
        <v>151</v>
      </c>
      <c r="E1324" s="3" t="s">
        <v>152</v>
      </c>
      <c r="F1324" s="3" t="s">
        <v>33</v>
      </c>
      <c r="G1324" s="3" t="s">
        <v>42</v>
      </c>
      <c r="H1324" s="3" t="s">
        <v>2784</v>
      </c>
      <c r="I1324" s="3" t="n">
        <v>5</v>
      </c>
      <c r="J1324" s="3" t="n">
        <v>4</v>
      </c>
      <c r="K1324" s="3" t="n">
        <v>4</v>
      </c>
      <c r="L1324" s="3" t="n">
        <v>5</v>
      </c>
      <c r="M1324" s="3" t="n">
        <v>5</v>
      </c>
      <c r="N1324" s="3" t="n">
        <v>4</v>
      </c>
      <c r="O1324" s="6" t="b">
        <f aca="false">FALSE()</f>
        <v>0</v>
      </c>
      <c r="P1324" s="3"/>
      <c r="Q1324" s="5" t="n">
        <v>46267.5993055556</v>
      </c>
      <c r="R1324" s="5" t="n">
        <v>46267.7701388889</v>
      </c>
      <c r="S1324" s="3" t="s">
        <v>1699</v>
      </c>
      <c r="T1324" s="7" t="n">
        <f aca="false">ROUND(MIN(IF(OR(O1324=TRUE(),O1324="TRUE",O1324="Yes"),59,100),(I1324*Rubric!$C$2+J1324*Rubric!$C$3+K1324*Rubric!$C$4+L1324*Rubric!$C$5+M1324*Rubric!$C$6+N1324*Rubric!$C$7)/5),1)</f>
        <v>88</v>
      </c>
      <c r="U1324" s="8" t="str">
        <f aca="false">LOOKUP(T1324,Bands!$A$2:$A$6,Bands!$B$2:$B$6)</f>
        <v>Solid Performance</v>
      </c>
      <c r="V1324" s="8" t="n">
        <f aca="false">IF(Q1324="","",ROUND((Q1324-B1324)*24,1))</f>
        <v>0</v>
      </c>
    </row>
    <row r="1325" customFormat="false" ht="15" hidden="false" customHeight="false" outlineLevel="0" collapsed="false">
      <c r="A1325" s="3" t="s">
        <v>2785</v>
      </c>
      <c r="B1325" s="5" t="n">
        <v>46267.4548611111</v>
      </c>
      <c r="C1325" s="3" t="s">
        <v>68</v>
      </c>
      <c r="D1325" s="3" t="s">
        <v>307</v>
      </c>
      <c r="E1325" s="3" t="s">
        <v>308</v>
      </c>
      <c r="F1325" s="3" t="s">
        <v>33</v>
      </c>
      <c r="G1325" s="3" t="s">
        <v>54</v>
      </c>
      <c r="H1325" s="3" t="s">
        <v>2786</v>
      </c>
      <c r="I1325" s="3" t="n">
        <v>5</v>
      </c>
      <c r="J1325" s="3" t="n">
        <v>3</v>
      </c>
      <c r="K1325" s="3" t="n">
        <v>5</v>
      </c>
      <c r="L1325" s="3" t="n">
        <v>5</v>
      </c>
      <c r="M1325" s="3" t="n">
        <v>5</v>
      </c>
      <c r="N1325" s="3" t="n">
        <v>5</v>
      </c>
      <c r="O1325" s="6" t="b">
        <f aca="false">FALSE()</f>
        <v>0</v>
      </c>
      <c r="P1325" s="3"/>
      <c r="Q1325" s="5" t="n">
        <v>46267.45625</v>
      </c>
      <c r="R1325" s="5" t="n">
        <v>46268.35</v>
      </c>
      <c r="S1325" s="3" t="s">
        <v>1699</v>
      </c>
      <c r="T1325" s="7" t="n">
        <f aca="false">ROUND(MIN(IF(OR(O1325=TRUE(),O1325="TRUE",O1325="Yes"),59,100),(I1325*Rubric!$C$2+J1325*Rubric!$C$3+K1325*Rubric!$C$4+L1325*Rubric!$C$5+M1325*Rubric!$C$6+N1325*Rubric!$C$7)/5),1)</f>
        <v>90</v>
      </c>
      <c r="U1325" s="8" t="str">
        <f aca="false">LOOKUP(T1325,Bands!$A$2:$A$6,Bands!$B$2:$B$6)</f>
        <v>Outstanding</v>
      </c>
      <c r="V1325" s="8" t="n">
        <f aca="false">IF(Q1325="","",ROUND((Q1325-B1325)*24,1))</f>
        <v>0</v>
      </c>
    </row>
    <row r="1326" customFormat="false" ht="15" hidden="false" customHeight="false" outlineLevel="0" collapsed="false">
      <c r="A1326" s="3" t="s">
        <v>2787</v>
      </c>
      <c r="B1326" s="5" t="n">
        <v>46267.5993055556</v>
      </c>
      <c r="C1326" s="3" t="s">
        <v>30</v>
      </c>
      <c r="D1326" s="3" t="s">
        <v>155</v>
      </c>
      <c r="E1326" s="3" t="s">
        <v>156</v>
      </c>
      <c r="F1326" s="3" t="s">
        <v>65</v>
      </c>
      <c r="G1326" s="3" t="s">
        <v>34</v>
      </c>
      <c r="H1326" s="3" t="s">
        <v>2788</v>
      </c>
      <c r="I1326" s="3" t="n">
        <v>4</v>
      </c>
      <c r="J1326" s="3" t="n">
        <v>4</v>
      </c>
      <c r="K1326" s="3" t="n">
        <v>4</v>
      </c>
      <c r="L1326" s="3" t="n">
        <v>4</v>
      </c>
      <c r="M1326" s="3" t="n">
        <v>4</v>
      </c>
      <c r="N1326" s="3" t="n">
        <v>4</v>
      </c>
      <c r="O1326" s="6" t="b">
        <f aca="false">FALSE()</f>
        <v>0</v>
      </c>
      <c r="P1326" s="3"/>
      <c r="Q1326" s="5" t="n">
        <v>46267.6013888889</v>
      </c>
      <c r="R1326" s="5" t="n">
        <v>46267.9055555556</v>
      </c>
      <c r="S1326" s="3" t="s">
        <v>1699</v>
      </c>
      <c r="T1326" s="7" t="n">
        <f aca="false">ROUND(MIN(IF(OR(O1326=TRUE(),O1326="TRUE",O1326="Yes"),59,100),(I1326*Rubric!$C$2+J1326*Rubric!$C$3+K1326*Rubric!$C$4+L1326*Rubric!$C$5+M1326*Rubric!$C$6+N1326*Rubric!$C$7)/5),1)</f>
        <v>80</v>
      </c>
      <c r="U1326" s="8" t="str">
        <f aca="false">LOOKUP(T1326,Bands!$A$2:$A$6,Bands!$B$2:$B$6)</f>
        <v>Solid Performance</v>
      </c>
      <c r="V1326" s="8" t="n">
        <f aca="false">IF(Q1326="","",ROUND((Q1326-B1326)*24,1))</f>
        <v>0</v>
      </c>
    </row>
    <row r="1327" customFormat="false" ht="15" hidden="false" customHeight="false" outlineLevel="0" collapsed="false">
      <c r="A1327" s="3" t="s">
        <v>2789</v>
      </c>
      <c r="B1327" s="5" t="n">
        <v>46267.4819444444</v>
      </c>
      <c r="C1327" s="3" t="s">
        <v>39</v>
      </c>
      <c r="D1327" s="3" t="s">
        <v>212</v>
      </c>
      <c r="E1327" s="3" t="s">
        <v>213</v>
      </c>
      <c r="F1327" s="3" t="s">
        <v>33</v>
      </c>
      <c r="G1327" s="3" t="s">
        <v>54</v>
      </c>
      <c r="H1327" s="3" t="s">
        <v>2790</v>
      </c>
      <c r="I1327" s="3" t="n">
        <v>2</v>
      </c>
      <c r="J1327" s="3" t="n">
        <v>4</v>
      </c>
      <c r="K1327" s="3" t="n">
        <v>3</v>
      </c>
      <c r="L1327" s="3" t="n">
        <v>3</v>
      </c>
      <c r="M1327" s="3" t="n">
        <v>3</v>
      </c>
      <c r="N1327" s="3" t="n">
        <v>4</v>
      </c>
      <c r="O1327" s="6" t="b">
        <f aca="false">FALSE()</f>
        <v>0</v>
      </c>
      <c r="P1327" s="3" t="s">
        <v>88</v>
      </c>
      <c r="Q1327" s="5" t="n">
        <v>46267.4826388889</v>
      </c>
      <c r="R1327" s="5" t="n">
        <v>46267.6243055556</v>
      </c>
      <c r="S1327" s="3" t="s">
        <v>1699</v>
      </c>
      <c r="T1327" s="7" t="n">
        <f aca="false">ROUND(MIN(IF(OR(O1327=TRUE(),O1327="TRUE",O1327="Yes"),59,100),(I1327*Rubric!$C$2+J1327*Rubric!$C$3+K1327*Rubric!$C$4+L1327*Rubric!$C$5+M1327*Rubric!$C$6+N1327*Rubric!$C$7)/5),1)</f>
        <v>65</v>
      </c>
      <c r="U1327" s="8" t="str">
        <f aca="false">LOOKUP(T1327,Bands!$A$2:$A$6,Bands!$B$2:$B$6)</f>
        <v>Needs Improvement</v>
      </c>
      <c r="V1327" s="8" t="n">
        <f aca="false">IF(Q1327="","",ROUND((Q1327-B1327)*24,1))</f>
        <v>0</v>
      </c>
    </row>
    <row r="1328" customFormat="false" ht="15" hidden="false" customHeight="false" outlineLevel="0" collapsed="false">
      <c r="A1328" s="3" t="s">
        <v>2791</v>
      </c>
      <c r="B1328" s="5" t="n">
        <v>46267.6048611111</v>
      </c>
      <c r="C1328" s="3" t="s">
        <v>30</v>
      </c>
      <c r="D1328" s="3" t="s">
        <v>58</v>
      </c>
      <c r="E1328" s="3" t="s">
        <v>59</v>
      </c>
      <c r="F1328" s="3" t="s">
        <v>53</v>
      </c>
      <c r="G1328" s="3" t="s">
        <v>34</v>
      </c>
      <c r="H1328" s="3" t="s">
        <v>2792</v>
      </c>
      <c r="I1328" s="3" t="n">
        <v>4</v>
      </c>
      <c r="J1328" s="3" t="n">
        <v>3</v>
      </c>
      <c r="K1328" s="3" t="n">
        <v>3</v>
      </c>
      <c r="L1328" s="3" t="n">
        <v>3</v>
      </c>
      <c r="M1328" s="3" t="n">
        <v>2</v>
      </c>
      <c r="N1328" s="3" t="n">
        <v>2</v>
      </c>
      <c r="O1328" s="6" t="b">
        <f aca="false">FALSE()</f>
        <v>0</v>
      </c>
      <c r="P1328" s="3" t="s">
        <v>312</v>
      </c>
      <c r="Q1328" s="5" t="n">
        <v>46267.6055555556</v>
      </c>
      <c r="R1328" s="5" t="n">
        <v>46268.0020833333</v>
      </c>
      <c r="S1328" s="3" t="s">
        <v>1699</v>
      </c>
      <c r="T1328" s="7" t="n">
        <f aca="false">ROUND(MIN(IF(OR(O1328=TRUE(),O1328="TRUE",O1328="Yes"),59,100),(I1328*Rubric!$C$2+J1328*Rubric!$C$3+K1328*Rubric!$C$4+L1328*Rubric!$C$5+M1328*Rubric!$C$6+N1328*Rubric!$C$7)/5),1)</f>
        <v>58</v>
      </c>
      <c r="U1328" s="8" t="str">
        <f aca="false">LOOKUP(T1328,Bands!$A$2:$A$6,Bands!$B$2:$B$6)</f>
        <v>Critical</v>
      </c>
      <c r="V1328" s="8" t="n">
        <f aca="false">IF(Q1328="","",ROUND((Q1328-B1328)*24,1))</f>
        <v>0</v>
      </c>
    </row>
    <row r="1329" customFormat="false" ht="15" hidden="false" customHeight="false" outlineLevel="0" collapsed="false">
      <c r="A1329" s="3" t="s">
        <v>2793</v>
      </c>
      <c r="B1329" s="5" t="n">
        <v>46267.6916666667</v>
      </c>
      <c r="C1329" s="3" t="s">
        <v>30</v>
      </c>
      <c r="D1329" s="3" t="s">
        <v>115</v>
      </c>
      <c r="E1329" s="3" t="s">
        <v>116</v>
      </c>
      <c r="F1329" s="3" t="s">
        <v>33</v>
      </c>
      <c r="G1329" s="3" t="s">
        <v>34</v>
      </c>
      <c r="H1329" s="3" t="s">
        <v>2794</v>
      </c>
      <c r="I1329" s="3" t="n">
        <v>5</v>
      </c>
      <c r="J1329" s="3" t="n">
        <v>4</v>
      </c>
      <c r="K1329" s="3" t="n">
        <v>5</v>
      </c>
      <c r="L1329" s="3" t="n">
        <v>5</v>
      </c>
      <c r="M1329" s="3" t="n">
        <v>4</v>
      </c>
      <c r="N1329" s="3" t="n">
        <v>5</v>
      </c>
      <c r="O1329" s="6" t="b">
        <f aca="false">FALSE()</f>
        <v>0</v>
      </c>
      <c r="P1329" s="3"/>
      <c r="Q1329" s="5" t="n">
        <v>46267.69375</v>
      </c>
      <c r="R1329" s="5" t="n">
        <v>46268.1402777778</v>
      </c>
      <c r="S1329" s="3" t="s">
        <v>1699</v>
      </c>
      <c r="T1329" s="7" t="n">
        <f aca="false">ROUND(MIN(IF(OR(O1329=TRUE(),O1329="TRUE",O1329="Yes"),59,100),(I1329*Rubric!$C$2+J1329*Rubric!$C$3+K1329*Rubric!$C$4+L1329*Rubric!$C$5+M1329*Rubric!$C$6+N1329*Rubric!$C$7)/5),1)</f>
        <v>93</v>
      </c>
      <c r="U1329" s="8" t="str">
        <f aca="false">LOOKUP(T1329,Bands!$A$2:$A$6,Bands!$B$2:$B$6)</f>
        <v>Outstanding</v>
      </c>
      <c r="V1329" s="8" t="n">
        <f aca="false">IF(Q1329="","",ROUND((Q1329-B1329)*24,1))</f>
        <v>0</v>
      </c>
    </row>
    <row r="1330" customFormat="false" ht="15" hidden="false" customHeight="false" outlineLevel="0" collapsed="false">
      <c r="A1330" s="3" t="s">
        <v>2795</v>
      </c>
      <c r="B1330" s="5" t="n">
        <v>46267.5527777778</v>
      </c>
      <c r="C1330" s="3" t="s">
        <v>68</v>
      </c>
      <c r="D1330" s="3" t="s">
        <v>238</v>
      </c>
      <c r="E1330" s="3" t="s">
        <v>239</v>
      </c>
      <c r="F1330" s="3" t="s">
        <v>33</v>
      </c>
      <c r="G1330" s="3" t="s">
        <v>54</v>
      </c>
      <c r="H1330" s="3" t="s">
        <v>2796</v>
      </c>
      <c r="I1330" s="3" t="n">
        <v>5</v>
      </c>
      <c r="J1330" s="3" t="n">
        <v>4</v>
      </c>
      <c r="K1330" s="3" t="n">
        <v>4</v>
      </c>
      <c r="L1330" s="3" t="n">
        <v>4</v>
      </c>
      <c r="M1330" s="3" t="n">
        <v>3</v>
      </c>
      <c r="N1330" s="3" t="n">
        <v>5</v>
      </c>
      <c r="O1330" s="6" t="b">
        <f aca="false">FALSE()</f>
        <v>0</v>
      </c>
      <c r="P1330" s="3"/>
      <c r="Q1330" s="5" t="n">
        <v>46267.5541666667</v>
      </c>
      <c r="R1330" s="5" t="n">
        <v>46267.73125</v>
      </c>
      <c r="S1330" s="3" t="s">
        <v>1699</v>
      </c>
      <c r="T1330" s="7" t="n">
        <f aca="false">ROUND(MIN(IF(OR(O1330=TRUE(),O1330="TRUE",O1330="Yes"),59,100),(I1330*Rubric!$C$2+J1330*Rubric!$C$3+K1330*Rubric!$C$4+L1330*Rubric!$C$5+M1330*Rubric!$C$6+N1330*Rubric!$C$7)/5),1)</f>
        <v>84</v>
      </c>
      <c r="U1330" s="8" t="str">
        <f aca="false">LOOKUP(T1330,Bands!$A$2:$A$6,Bands!$B$2:$B$6)</f>
        <v>Solid Performance</v>
      </c>
      <c r="V1330" s="8" t="n">
        <f aca="false">IF(Q1330="","",ROUND((Q1330-B1330)*24,1))</f>
        <v>0</v>
      </c>
    </row>
    <row r="1331" customFormat="false" ht="15" hidden="false" customHeight="false" outlineLevel="0" collapsed="false">
      <c r="A1331" s="3" t="s">
        <v>2797</v>
      </c>
      <c r="B1331" s="5" t="n">
        <v>46267.4520833333</v>
      </c>
      <c r="C1331" s="3" t="s">
        <v>68</v>
      </c>
      <c r="D1331" s="3" t="s">
        <v>69</v>
      </c>
      <c r="E1331" s="3" t="s">
        <v>70</v>
      </c>
      <c r="F1331" s="3" t="s">
        <v>65</v>
      </c>
      <c r="G1331" s="3" t="s">
        <v>42</v>
      </c>
      <c r="H1331" s="3" t="s">
        <v>2798</v>
      </c>
      <c r="I1331" s="3" t="n">
        <v>3</v>
      </c>
      <c r="J1331" s="3" t="n">
        <v>4</v>
      </c>
      <c r="K1331" s="3" t="n">
        <v>5</v>
      </c>
      <c r="L1331" s="3" t="n">
        <v>4</v>
      </c>
      <c r="M1331" s="3" t="n">
        <v>4</v>
      </c>
      <c r="N1331" s="3" t="n">
        <v>3</v>
      </c>
      <c r="O1331" s="6" t="b">
        <f aca="false">FALSE()</f>
        <v>0</v>
      </c>
      <c r="P1331" s="3"/>
      <c r="Q1331" s="5" t="n">
        <v>46267.4527777778</v>
      </c>
      <c r="R1331" s="5" t="n">
        <v>46267.9229166667</v>
      </c>
      <c r="S1331" s="3" t="s">
        <v>1699</v>
      </c>
      <c r="T1331" s="7" t="n">
        <f aca="false">ROUND(MIN(IF(OR(O1331=TRUE(),O1331="TRUE",O1331="Yes"),59,100),(I1331*Rubric!$C$2+J1331*Rubric!$C$3+K1331*Rubric!$C$4+L1331*Rubric!$C$5+M1331*Rubric!$C$6+N1331*Rubric!$C$7)/5),1)</f>
        <v>78</v>
      </c>
      <c r="U1331" s="8" t="str">
        <f aca="false">LOOKUP(T1331,Bands!$A$2:$A$6,Bands!$B$2:$B$6)</f>
        <v>Meets Expectations</v>
      </c>
      <c r="V1331" s="8" t="n">
        <f aca="false">IF(Q1331="","",ROUND((Q1331-B1331)*24,1))</f>
        <v>0</v>
      </c>
    </row>
    <row r="1332" customFormat="false" ht="15" hidden="false" customHeight="false" outlineLevel="0" collapsed="false">
      <c r="A1332" s="3" t="s">
        <v>2799</v>
      </c>
      <c r="B1332" s="5" t="n">
        <v>46267.7</v>
      </c>
      <c r="C1332" s="3" t="s">
        <v>39</v>
      </c>
      <c r="D1332" s="3" t="s">
        <v>145</v>
      </c>
      <c r="E1332" s="3" t="s">
        <v>146</v>
      </c>
      <c r="F1332" s="3" t="s">
        <v>33</v>
      </c>
      <c r="G1332" s="3" t="s">
        <v>42</v>
      </c>
      <c r="H1332" s="3" t="s">
        <v>2800</v>
      </c>
      <c r="I1332" s="3" t="n">
        <v>5</v>
      </c>
      <c r="J1332" s="3" t="n">
        <v>4</v>
      </c>
      <c r="K1332" s="3" t="n">
        <v>4</v>
      </c>
      <c r="L1332" s="3" t="n">
        <v>4</v>
      </c>
      <c r="M1332" s="3" t="n">
        <v>4</v>
      </c>
      <c r="N1332" s="3" t="n">
        <v>5</v>
      </c>
      <c r="O1332" s="6" t="b">
        <f aca="false">FALSE()</f>
        <v>0</v>
      </c>
      <c r="P1332" s="3"/>
      <c r="Q1332" s="5" t="n">
        <v>46267.7020833333</v>
      </c>
      <c r="R1332" s="5" t="n">
        <v>46267.9805555556</v>
      </c>
      <c r="S1332" s="3" t="s">
        <v>1699</v>
      </c>
      <c r="T1332" s="7" t="n">
        <f aca="false">ROUND(MIN(IF(OR(O1332=TRUE(),O1332="TRUE",O1332="Yes"),59,100),(I1332*Rubric!$C$2+J1332*Rubric!$C$3+K1332*Rubric!$C$4+L1332*Rubric!$C$5+M1332*Rubric!$C$6+N1332*Rubric!$C$7)/5),1)</f>
        <v>86</v>
      </c>
      <c r="U1332" s="8" t="str">
        <f aca="false">LOOKUP(T1332,Bands!$A$2:$A$6,Bands!$B$2:$B$6)</f>
        <v>Solid Performance</v>
      </c>
      <c r="V1332" s="8" t="n">
        <f aca="false">IF(Q1332="","",ROUND((Q1332-B1332)*24,1))</f>
        <v>0</v>
      </c>
    </row>
    <row r="1333" customFormat="false" ht="15" hidden="false" customHeight="false" outlineLevel="0" collapsed="false">
      <c r="A1333" s="3" t="s">
        <v>2801</v>
      </c>
      <c r="B1333" s="5" t="n">
        <v>46267.5493055556</v>
      </c>
      <c r="C1333" s="3" t="s">
        <v>30</v>
      </c>
      <c r="D1333" s="3" t="s">
        <v>202</v>
      </c>
      <c r="E1333" s="3" t="s">
        <v>203</v>
      </c>
      <c r="F1333" s="3" t="s">
        <v>53</v>
      </c>
      <c r="G1333" s="3" t="s">
        <v>54</v>
      </c>
      <c r="H1333" s="3" t="s">
        <v>2099</v>
      </c>
      <c r="I1333" s="3" t="n">
        <v>4</v>
      </c>
      <c r="J1333" s="3" t="n">
        <v>4</v>
      </c>
      <c r="K1333" s="3" t="n">
        <v>4</v>
      </c>
      <c r="L1333" s="3" t="n">
        <v>3</v>
      </c>
      <c r="M1333" s="3" t="n">
        <v>4</v>
      </c>
      <c r="N1333" s="3" t="n">
        <v>4</v>
      </c>
      <c r="O1333" s="6" t="b">
        <f aca="false">FALSE()</f>
        <v>0</v>
      </c>
      <c r="P1333" s="3"/>
      <c r="Q1333" s="5" t="n">
        <v>46267.55</v>
      </c>
      <c r="R1333" s="5" t="n">
        <v>46267.9118055556</v>
      </c>
      <c r="S1333" s="3" t="s">
        <v>1699</v>
      </c>
      <c r="T1333" s="7" t="n">
        <f aca="false">ROUND(MIN(IF(OR(O1333=TRUE(),O1333="TRUE",O1333="Yes"),59,100),(I1333*Rubric!$C$2+J1333*Rubric!$C$3+K1333*Rubric!$C$4+L1333*Rubric!$C$5+M1333*Rubric!$C$6+N1333*Rubric!$C$7)/5),1)</f>
        <v>77</v>
      </c>
      <c r="U1333" s="8" t="str">
        <f aca="false">LOOKUP(T1333,Bands!$A$2:$A$6,Bands!$B$2:$B$6)</f>
        <v>Meets Expectations</v>
      </c>
      <c r="V1333" s="8" t="n">
        <f aca="false">IF(Q1333="","",ROUND((Q1333-B1333)*24,1))</f>
        <v>0</v>
      </c>
    </row>
    <row r="1334" customFormat="false" ht="15" hidden="false" customHeight="false" outlineLevel="0" collapsed="false">
      <c r="A1334" s="3" t="s">
        <v>2802</v>
      </c>
      <c r="B1334" s="5" t="n">
        <v>46268.4041666667</v>
      </c>
      <c r="C1334" s="3" t="s">
        <v>68</v>
      </c>
      <c r="D1334" s="3" t="s">
        <v>105</v>
      </c>
      <c r="E1334" s="3" t="s">
        <v>106</v>
      </c>
      <c r="F1334" s="3" t="s">
        <v>65</v>
      </c>
      <c r="G1334" s="3" t="s">
        <v>54</v>
      </c>
      <c r="H1334" s="3" t="s">
        <v>2803</v>
      </c>
      <c r="I1334" s="3" t="n">
        <v>5</v>
      </c>
      <c r="J1334" s="3" t="n">
        <v>4</v>
      </c>
      <c r="K1334" s="3" t="n">
        <v>4</v>
      </c>
      <c r="L1334" s="3" t="n">
        <v>4</v>
      </c>
      <c r="M1334" s="3" t="n">
        <v>3</v>
      </c>
      <c r="N1334" s="3" t="n">
        <v>5</v>
      </c>
      <c r="O1334" s="6" t="b">
        <f aca="false">FALSE()</f>
        <v>0</v>
      </c>
      <c r="P1334" s="3"/>
      <c r="Q1334" s="5" t="n">
        <v>46268.40625</v>
      </c>
      <c r="R1334" s="5" t="n">
        <v>46268.4111111111</v>
      </c>
      <c r="S1334" s="3" t="s">
        <v>1699</v>
      </c>
      <c r="T1334" s="7" t="n">
        <f aca="false">ROUND(MIN(IF(OR(O1334=TRUE(),O1334="TRUE",O1334="Yes"),59,100),(I1334*Rubric!$C$2+J1334*Rubric!$C$3+K1334*Rubric!$C$4+L1334*Rubric!$C$5+M1334*Rubric!$C$6+N1334*Rubric!$C$7)/5),1)</f>
        <v>84</v>
      </c>
      <c r="U1334" s="8" t="str">
        <f aca="false">LOOKUP(T1334,Bands!$A$2:$A$6,Bands!$B$2:$B$6)</f>
        <v>Solid Performance</v>
      </c>
      <c r="V1334" s="8" t="n">
        <f aca="false">IF(Q1334="","",ROUND((Q1334-B1334)*24,1))</f>
        <v>0</v>
      </c>
    </row>
    <row r="1335" customFormat="false" ht="15" hidden="false" customHeight="false" outlineLevel="0" collapsed="false">
      <c r="A1335" s="3" t="s">
        <v>2804</v>
      </c>
      <c r="B1335" s="5" t="n">
        <v>46268.5104166667</v>
      </c>
      <c r="C1335" s="3" t="s">
        <v>39</v>
      </c>
      <c r="D1335" s="3" t="s">
        <v>194</v>
      </c>
      <c r="E1335" s="3" t="s">
        <v>195</v>
      </c>
      <c r="F1335" s="3" t="s">
        <v>53</v>
      </c>
      <c r="G1335" s="3" t="s">
        <v>34</v>
      </c>
      <c r="H1335" s="3" t="s">
        <v>2805</v>
      </c>
      <c r="I1335" s="3" t="n">
        <v>4</v>
      </c>
      <c r="J1335" s="3" t="n">
        <v>5</v>
      </c>
      <c r="K1335" s="3" t="n">
        <v>4</v>
      </c>
      <c r="L1335" s="3" t="n">
        <v>5</v>
      </c>
      <c r="M1335" s="3" t="n">
        <v>5</v>
      </c>
      <c r="N1335" s="3" t="n">
        <v>5</v>
      </c>
      <c r="O1335" s="6" t="b">
        <f aca="false">FALSE()</f>
        <v>0</v>
      </c>
      <c r="P1335" s="3"/>
      <c r="Q1335" s="5" t="n">
        <v>46268.5125</v>
      </c>
      <c r="R1335" s="5" t="n">
        <v>46268.5201388889</v>
      </c>
      <c r="S1335" s="3" t="s">
        <v>1699</v>
      </c>
      <c r="T1335" s="7" t="n">
        <f aca="false">ROUND(MIN(IF(OR(O1335=TRUE(),O1335="TRUE",O1335="Yes"),59,100),(I1335*Rubric!$C$2+J1335*Rubric!$C$3+K1335*Rubric!$C$4+L1335*Rubric!$C$5+M1335*Rubric!$C$6+N1335*Rubric!$C$7)/5),1)</f>
        <v>93</v>
      </c>
      <c r="U1335" s="8" t="str">
        <f aca="false">LOOKUP(T1335,Bands!$A$2:$A$6,Bands!$B$2:$B$6)</f>
        <v>Outstanding</v>
      </c>
      <c r="V1335" s="8" t="n">
        <f aca="false">IF(Q1335="","",ROUND((Q1335-B1335)*24,1))</f>
        <v>0</v>
      </c>
    </row>
    <row r="1336" customFormat="false" ht="15" hidden="false" customHeight="false" outlineLevel="0" collapsed="false">
      <c r="A1336" s="3" t="s">
        <v>2806</v>
      </c>
      <c r="B1336" s="5" t="n">
        <v>46268.5798611111</v>
      </c>
      <c r="C1336" s="3" t="s">
        <v>68</v>
      </c>
      <c r="D1336" s="3" t="s">
        <v>155</v>
      </c>
      <c r="E1336" s="3" t="s">
        <v>156</v>
      </c>
      <c r="F1336" s="3" t="s">
        <v>65</v>
      </c>
      <c r="G1336" s="3" t="s">
        <v>42</v>
      </c>
      <c r="H1336" s="3" t="s">
        <v>2807</v>
      </c>
      <c r="I1336" s="3" t="n">
        <v>2</v>
      </c>
      <c r="J1336" s="3" t="n">
        <v>5</v>
      </c>
      <c r="K1336" s="3" t="n">
        <v>3</v>
      </c>
      <c r="L1336" s="3" t="n">
        <v>4</v>
      </c>
      <c r="M1336" s="3" t="n">
        <v>4</v>
      </c>
      <c r="N1336" s="3" t="n">
        <v>4</v>
      </c>
      <c r="O1336" s="6" t="b">
        <f aca="false">FALSE()</f>
        <v>0</v>
      </c>
      <c r="P1336" s="3" t="s">
        <v>88</v>
      </c>
      <c r="Q1336" s="5" t="n">
        <v>46268.58125</v>
      </c>
      <c r="R1336" s="5" t="n">
        <v>46268.6458333333</v>
      </c>
      <c r="S1336" s="3" t="s">
        <v>1699</v>
      </c>
      <c r="T1336" s="7" t="n">
        <f aca="false">ROUND(MIN(IF(OR(O1336=TRUE(),O1336="TRUE",O1336="Yes"),59,100),(I1336*Rubric!$C$2+J1336*Rubric!$C$3+K1336*Rubric!$C$4+L1336*Rubric!$C$5+M1336*Rubric!$C$6+N1336*Rubric!$C$7)/5),1)</f>
        <v>75</v>
      </c>
      <c r="U1336" s="8" t="str">
        <f aca="false">LOOKUP(T1336,Bands!$A$2:$A$6,Bands!$B$2:$B$6)</f>
        <v>Meets Expectations</v>
      </c>
      <c r="V1336" s="8" t="n">
        <f aca="false">IF(Q1336="","",ROUND((Q1336-B1336)*24,1))</f>
        <v>0</v>
      </c>
    </row>
    <row r="1337" customFormat="false" ht="15" hidden="false" customHeight="false" outlineLevel="0" collapsed="false">
      <c r="A1337" s="3" t="s">
        <v>2808</v>
      </c>
      <c r="B1337" s="5" t="n">
        <v>46268.5368055556</v>
      </c>
      <c r="C1337" s="3" t="s">
        <v>68</v>
      </c>
      <c r="D1337" s="3" t="s">
        <v>115</v>
      </c>
      <c r="E1337" s="3" t="s">
        <v>116</v>
      </c>
      <c r="F1337" s="3" t="s">
        <v>33</v>
      </c>
      <c r="G1337" s="3" t="s">
        <v>54</v>
      </c>
      <c r="H1337" s="3" t="s">
        <v>2809</v>
      </c>
      <c r="I1337" s="3" t="n">
        <v>5</v>
      </c>
      <c r="J1337" s="3" t="n">
        <v>4</v>
      </c>
      <c r="K1337" s="3" t="n">
        <v>5</v>
      </c>
      <c r="L1337" s="3" t="n">
        <v>3</v>
      </c>
      <c r="M1337" s="3" t="n">
        <v>4</v>
      </c>
      <c r="N1337" s="3" t="n">
        <v>5</v>
      </c>
      <c r="O1337" s="6" t="b">
        <f aca="false">FALSE()</f>
        <v>0</v>
      </c>
      <c r="P1337" s="3"/>
      <c r="Q1337" s="5" t="n">
        <v>46268.5388888889</v>
      </c>
      <c r="R1337" s="5" t="n">
        <v>46268.6826388889</v>
      </c>
      <c r="S1337" s="3" t="s">
        <v>1699</v>
      </c>
      <c r="T1337" s="7" t="n">
        <f aca="false">ROUND(MIN(IF(OR(O1337=TRUE(),O1337="TRUE",O1337="Yes"),59,100),(I1337*Rubric!$C$2+J1337*Rubric!$C$3+K1337*Rubric!$C$4+L1337*Rubric!$C$5+M1337*Rubric!$C$6+N1337*Rubric!$C$7)/5),1)</f>
        <v>87</v>
      </c>
      <c r="U1337" s="8" t="str">
        <f aca="false">LOOKUP(T1337,Bands!$A$2:$A$6,Bands!$B$2:$B$6)</f>
        <v>Solid Performance</v>
      </c>
      <c r="V1337" s="8" t="n">
        <f aca="false">IF(Q1337="","",ROUND((Q1337-B1337)*24,1))</f>
        <v>0</v>
      </c>
    </row>
    <row r="1338" customFormat="false" ht="15" hidden="false" customHeight="false" outlineLevel="0" collapsed="false">
      <c r="A1338" s="3" t="s">
        <v>2810</v>
      </c>
      <c r="B1338" s="5" t="n">
        <v>46268.5104166667</v>
      </c>
      <c r="C1338" s="3" t="s">
        <v>30</v>
      </c>
      <c r="D1338" s="3" t="s">
        <v>198</v>
      </c>
      <c r="E1338" s="3" t="s">
        <v>199</v>
      </c>
      <c r="F1338" s="3" t="s">
        <v>33</v>
      </c>
      <c r="G1338" s="3" t="s">
        <v>54</v>
      </c>
      <c r="H1338" s="3" t="s">
        <v>2811</v>
      </c>
      <c r="I1338" s="3" t="n">
        <v>3</v>
      </c>
      <c r="J1338" s="3" t="n">
        <v>3</v>
      </c>
      <c r="K1338" s="3" t="n">
        <v>4</v>
      </c>
      <c r="L1338" s="3" t="n">
        <v>4</v>
      </c>
      <c r="M1338" s="3" t="n">
        <v>4</v>
      </c>
      <c r="N1338" s="3" t="n">
        <v>4</v>
      </c>
      <c r="O1338" s="6" t="b">
        <f aca="false">FALSE()</f>
        <v>0</v>
      </c>
      <c r="P1338" s="3"/>
      <c r="Q1338" s="5" t="n">
        <v>46268.5125</v>
      </c>
      <c r="R1338" s="5" t="n">
        <v>46268.8097222222</v>
      </c>
      <c r="S1338" s="3" t="s">
        <v>1699</v>
      </c>
      <c r="T1338" s="7" t="n">
        <f aca="false">ROUND(MIN(IF(OR(O1338=TRUE(),O1338="TRUE",O1338="Yes"),59,100),(I1338*Rubric!$C$2+J1338*Rubric!$C$3+K1338*Rubric!$C$4+L1338*Rubric!$C$5+M1338*Rubric!$C$6+N1338*Rubric!$C$7)/5),1)</f>
        <v>72</v>
      </c>
      <c r="U1338" s="8" t="str">
        <f aca="false">LOOKUP(T1338,Bands!$A$2:$A$6,Bands!$B$2:$B$6)</f>
        <v>Meets Expectations</v>
      </c>
      <c r="V1338" s="8" t="n">
        <f aca="false">IF(Q1338="","",ROUND((Q1338-B1338)*24,1))</f>
        <v>0</v>
      </c>
    </row>
    <row r="1339" customFormat="false" ht="15" hidden="false" customHeight="false" outlineLevel="0" collapsed="false">
      <c r="A1339" s="3" t="s">
        <v>2812</v>
      </c>
      <c r="B1339" s="5" t="n">
        <v>46268.3986111111</v>
      </c>
      <c r="C1339" s="3" t="s">
        <v>39</v>
      </c>
      <c r="D1339" s="3" t="s">
        <v>85</v>
      </c>
      <c r="E1339" s="3" t="s">
        <v>86</v>
      </c>
      <c r="F1339" s="3" t="s">
        <v>33</v>
      </c>
      <c r="G1339" s="3" t="s">
        <v>54</v>
      </c>
      <c r="H1339" s="3" t="s">
        <v>2813</v>
      </c>
      <c r="I1339" s="3" t="n">
        <v>3</v>
      </c>
      <c r="J1339" s="3" t="n">
        <v>4</v>
      </c>
      <c r="K1339" s="3" t="n">
        <v>5</v>
      </c>
      <c r="L1339" s="3" t="n">
        <v>4</v>
      </c>
      <c r="M1339" s="3" t="n">
        <v>4</v>
      </c>
      <c r="N1339" s="3" t="n">
        <v>3</v>
      </c>
      <c r="O1339" s="6" t="b">
        <f aca="false">FALSE()</f>
        <v>0</v>
      </c>
      <c r="P1339" s="3"/>
      <c r="Q1339" s="5" t="n">
        <v>46268.4006944444</v>
      </c>
      <c r="R1339" s="5" t="n">
        <v>46268.5555555556</v>
      </c>
      <c r="S1339" s="3" t="s">
        <v>1699</v>
      </c>
      <c r="T1339" s="7" t="n">
        <f aca="false">ROUND(MIN(IF(OR(O1339=TRUE(),O1339="TRUE",O1339="Yes"),59,100),(I1339*Rubric!$C$2+J1339*Rubric!$C$3+K1339*Rubric!$C$4+L1339*Rubric!$C$5+M1339*Rubric!$C$6+N1339*Rubric!$C$7)/5),1)</f>
        <v>78</v>
      </c>
      <c r="U1339" s="8" t="str">
        <f aca="false">LOOKUP(T1339,Bands!$A$2:$A$6,Bands!$B$2:$B$6)</f>
        <v>Meets Expectations</v>
      </c>
      <c r="V1339" s="8" t="n">
        <f aca="false">IF(Q1339="","",ROUND((Q1339-B1339)*24,1))</f>
        <v>0</v>
      </c>
    </row>
    <row r="1340" customFormat="false" ht="15" hidden="false" customHeight="false" outlineLevel="0" collapsed="false">
      <c r="A1340" s="3" t="s">
        <v>2814</v>
      </c>
      <c r="B1340" s="5" t="n">
        <v>46268.4152777778</v>
      </c>
      <c r="C1340" s="3" t="s">
        <v>39</v>
      </c>
      <c r="D1340" s="3" t="s">
        <v>58</v>
      </c>
      <c r="E1340" s="3" t="s">
        <v>59</v>
      </c>
      <c r="F1340" s="3" t="s">
        <v>53</v>
      </c>
      <c r="G1340" s="3" t="s">
        <v>42</v>
      </c>
      <c r="H1340" s="3" t="s">
        <v>2815</v>
      </c>
      <c r="I1340" s="3" t="n">
        <v>4</v>
      </c>
      <c r="J1340" s="3" t="n">
        <v>4</v>
      </c>
      <c r="K1340" s="3" t="n">
        <v>4</v>
      </c>
      <c r="L1340" s="3" t="n">
        <v>3</v>
      </c>
      <c r="M1340" s="3" t="n">
        <v>2</v>
      </c>
      <c r="N1340" s="3" t="n">
        <v>3</v>
      </c>
      <c r="O1340" s="6" t="b">
        <f aca="false">FALSE()</f>
        <v>0</v>
      </c>
      <c r="P1340" s="3" t="s">
        <v>103</v>
      </c>
      <c r="Q1340" s="5" t="n">
        <v>46268.4166666667</v>
      </c>
      <c r="R1340" s="5" t="n">
        <v>46269.3430555556</v>
      </c>
      <c r="S1340" s="3" t="s">
        <v>1699</v>
      </c>
      <c r="T1340" s="7" t="n">
        <f aca="false">ROUND(MIN(IF(OR(O1340=TRUE(),O1340="TRUE",O1340="Yes"),59,100),(I1340*Rubric!$C$2+J1340*Rubric!$C$3+K1340*Rubric!$C$4+L1340*Rubric!$C$5+M1340*Rubric!$C$6+N1340*Rubric!$C$7)/5),1)</f>
        <v>70</v>
      </c>
      <c r="U1340" s="8" t="str">
        <f aca="false">LOOKUP(T1340,Bands!$A$2:$A$6,Bands!$B$2:$B$6)</f>
        <v>Meets Expectations</v>
      </c>
      <c r="V1340" s="8" t="n">
        <f aca="false">IF(Q1340="","",ROUND((Q1340-B1340)*24,1))</f>
        <v>0</v>
      </c>
    </row>
    <row r="1341" customFormat="false" ht="15" hidden="false" customHeight="false" outlineLevel="0" collapsed="false">
      <c r="A1341" s="3" t="s">
        <v>2816</v>
      </c>
      <c r="B1341" s="5" t="n">
        <v>46268.3770833333</v>
      </c>
      <c r="C1341" s="3" t="s">
        <v>39</v>
      </c>
      <c r="D1341" s="3" t="s">
        <v>228</v>
      </c>
      <c r="E1341" s="3" t="s">
        <v>229</v>
      </c>
      <c r="F1341" s="3" t="s">
        <v>65</v>
      </c>
      <c r="G1341" s="3" t="s">
        <v>42</v>
      </c>
      <c r="H1341" s="3" t="s">
        <v>2817</v>
      </c>
      <c r="I1341" s="3" t="n">
        <v>4</v>
      </c>
      <c r="J1341" s="3" t="n">
        <v>4</v>
      </c>
      <c r="K1341" s="3" t="n">
        <v>3</v>
      </c>
      <c r="L1341" s="3" t="n">
        <v>4</v>
      </c>
      <c r="M1341" s="3" t="n">
        <v>4</v>
      </c>
      <c r="N1341" s="3" t="n">
        <v>3</v>
      </c>
      <c r="O1341" s="6" t="b">
        <f aca="false">FALSE()</f>
        <v>0</v>
      </c>
      <c r="P1341" s="3"/>
      <c r="Q1341" s="5" t="n">
        <v>46268.3784722222</v>
      </c>
      <c r="R1341" s="5" t="n">
        <v>46268.3951388889</v>
      </c>
      <c r="S1341" s="3" t="s">
        <v>1699</v>
      </c>
      <c r="T1341" s="7" t="n">
        <f aca="false">ROUND(MIN(IF(OR(O1341=TRUE(),O1341="TRUE",O1341="Yes"),59,100),(I1341*Rubric!$C$2+J1341*Rubric!$C$3+K1341*Rubric!$C$4+L1341*Rubric!$C$5+M1341*Rubric!$C$6+N1341*Rubric!$C$7)/5),1)</f>
        <v>73</v>
      </c>
      <c r="U1341" s="8" t="str">
        <f aca="false">LOOKUP(T1341,Bands!$A$2:$A$6,Bands!$B$2:$B$6)</f>
        <v>Meets Expectations</v>
      </c>
      <c r="V1341" s="8" t="n">
        <f aca="false">IF(Q1341="","",ROUND((Q1341-B1341)*24,1))</f>
        <v>0</v>
      </c>
    </row>
    <row r="1342" customFormat="false" ht="15" hidden="false" customHeight="false" outlineLevel="0" collapsed="false">
      <c r="A1342" s="3" t="s">
        <v>2818</v>
      </c>
      <c r="B1342" s="5" t="n">
        <v>46268.5993055556</v>
      </c>
      <c r="C1342" s="3" t="s">
        <v>39</v>
      </c>
      <c r="D1342" s="3" t="s">
        <v>265</v>
      </c>
      <c r="E1342" s="3" t="s">
        <v>266</v>
      </c>
      <c r="F1342" s="3" t="s">
        <v>33</v>
      </c>
      <c r="G1342" s="3" t="s">
        <v>34</v>
      </c>
      <c r="H1342" s="3" t="s">
        <v>2819</v>
      </c>
      <c r="I1342" s="3" t="n">
        <v>3</v>
      </c>
      <c r="J1342" s="3" t="n">
        <v>4</v>
      </c>
      <c r="K1342" s="3" t="n">
        <v>2</v>
      </c>
      <c r="L1342" s="3" t="n">
        <v>4</v>
      </c>
      <c r="M1342" s="3" t="n">
        <v>4</v>
      </c>
      <c r="N1342" s="3" t="n">
        <v>4</v>
      </c>
      <c r="O1342" s="6" t="b">
        <f aca="false">FALSE()</f>
        <v>0</v>
      </c>
      <c r="P1342" s="3" t="s">
        <v>49</v>
      </c>
      <c r="Q1342" s="5" t="n">
        <v>46268.6013888889</v>
      </c>
      <c r="R1342" s="5" t="n">
        <v>46268.6104166667</v>
      </c>
      <c r="S1342" s="3" t="s">
        <v>1699</v>
      </c>
      <c r="T1342" s="7" t="n">
        <f aca="false">ROUND(MIN(IF(OR(O1342=TRUE(),O1342="TRUE",O1342="Yes"),59,100),(I1342*Rubric!$C$2+J1342*Rubric!$C$3+K1342*Rubric!$C$4+L1342*Rubric!$C$5+M1342*Rubric!$C$6+N1342*Rubric!$C$7)/5),1)</f>
        <v>69</v>
      </c>
      <c r="U1342" s="8" t="str">
        <f aca="false">LOOKUP(T1342,Bands!$A$2:$A$6,Bands!$B$2:$B$6)</f>
        <v>Needs Improvement</v>
      </c>
      <c r="V1342" s="8" t="n">
        <f aca="false">IF(Q1342="","",ROUND((Q1342-B1342)*24,1))</f>
        <v>0</v>
      </c>
    </row>
    <row r="1343" customFormat="false" ht="15" hidden="false" customHeight="false" outlineLevel="0" collapsed="false">
      <c r="A1343" s="3" t="s">
        <v>2820</v>
      </c>
      <c r="B1343" s="5" t="n">
        <v>46268.4611111111</v>
      </c>
      <c r="C1343" s="3" t="s">
        <v>30</v>
      </c>
      <c r="D1343" s="3" t="s">
        <v>151</v>
      </c>
      <c r="E1343" s="3" t="s">
        <v>152</v>
      </c>
      <c r="F1343" s="3" t="s">
        <v>33</v>
      </c>
      <c r="G1343" s="3" t="s">
        <v>42</v>
      </c>
      <c r="H1343" s="3" t="s">
        <v>2821</v>
      </c>
      <c r="I1343" s="3" t="n">
        <v>4</v>
      </c>
      <c r="J1343" s="3" t="n">
        <v>5</v>
      </c>
      <c r="K1343" s="3" t="n">
        <v>5</v>
      </c>
      <c r="L1343" s="3" t="n">
        <v>5</v>
      </c>
      <c r="M1343" s="3" t="n">
        <v>5</v>
      </c>
      <c r="N1343" s="3" t="n">
        <v>5</v>
      </c>
      <c r="O1343" s="6" t="b">
        <f aca="false">FALSE()</f>
        <v>0</v>
      </c>
      <c r="P1343" s="3"/>
      <c r="Q1343" s="5" t="n">
        <v>46268.4618055556</v>
      </c>
      <c r="R1343" s="5" t="n">
        <v>46269.2826388889</v>
      </c>
      <c r="S1343" s="3" t="s">
        <v>1699</v>
      </c>
      <c r="T1343" s="7" t="n">
        <f aca="false">ROUND(MIN(IF(OR(O1343=TRUE(),O1343="TRUE",O1343="Yes"),59,100),(I1343*Rubric!$C$2+J1343*Rubric!$C$3+K1343*Rubric!$C$4+L1343*Rubric!$C$5+M1343*Rubric!$C$6+N1343*Rubric!$C$7)/5),1)</f>
        <v>97</v>
      </c>
      <c r="U1343" s="8" t="str">
        <f aca="false">LOOKUP(T1343,Bands!$A$2:$A$6,Bands!$B$2:$B$6)</f>
        <v>Outstanding</v>
      </c>
      <c r="V1343" s="8" t="n">
        <f aca="false">IF(Q1343="","",ROUND((Q1343-B1343)*24,1))</f>
        <v>0</v>
      </c>
    </row>
    <row r="1344" customFormat="false" ht="15" hidden="false" customHeight="false" outlineLevel="0" collapsed="false">
      <c r="A1344" s="3" t="s">
        <v>2822</v>
      </c>
      <c r="B1344" s="5" t="n">
        <v>46268.4777777778</v>
      </c>
      <c r="C1344" s="3" t="s">
        <v>39</v>
      </c>
      <c r="D1344" s="3" t="s">
        <v>73</v>
      </c>
      <c r="E1344" s="3" t="s">
        <v>74</v>
      </c>
      <c r="F1344" s="3" t="s">
        <v>33</v>
      </c>
      <c r="G1344" s="3" t="s">
        <v>42</v>
      </c>
      <c r="H1344" s="3" t="s">
        <v>2823</v>
      </c>
      <c r="I1344" s="3" t="n">
        <v>4</v>
      </c>
      <c r="J1344" s="3" t="n">
        <v>4</v>
      </c>
      <c r="K1344" s="3" t="n">
        <v>4</v>
      </c>
      <c r="L1344" s="3" t="n">
        <v>5</v>
      </c>
      <c r="M1344" s="3" t="n">
        <v>5</v>
      </c>
      <c r="N1344" s="3" t="n">
        <v>3</v>
      </c>
      <c r="O1344" s="6" t="b">
        <f aca="false">FALSE()</f>
        <v>0</v>
      </c>
      <c r="P1344" s="3"/>
      <c r="Q1344" s="5" t="n">
        <v>46268.4798611111</v>
      </c>
      <c r="R1344" s="5" t="n">
        <v>46269.41875</v>
      </c>
      <c r="S1344" s="3" t="s">
        <v>1699</v>
      </c>
      <c r="T1344" s="7" t="n">
        <f aca="false">ROUND(MIN(IF(OR(O1344=TRUE(),O1344="TRUE",O1344="Yes"),59,100),(I1344*Rubric!$C$2+J1344*Rubric!$C$3+K1344*Rubric!$C$4+L1344*Rubric!$C$5+M1344*Rubric!$C$6+N1344*Rubric!$C$7)/5),1)</f>
        <v>82</v>
      </c>
      <c r="U1344" s="8" t="str">
        <f aca="false">LOOKUP(T1344,Bands!$A$2:$A$6,Bands!$B$2:$B$6)</f>
        <v>Solid Performance</v>
      </c>
      <c r="V1344" s="8" t="n">
        <f aca="false">IF(Q1344="","",ROUND((Q1344-B1344)*24,1))</f>
        <v>0</v>
      </c>
    </row>
    <row r="1345" customFormat="false" ht="15" hidden="false" customHeight="false" outlineLevel="0" collapsed="false">
      <c r="A1345" s="3" t="s">
        <v>2824</v>
      </c>
      <c r="B1345" s="5" t="n">
        <v>46268.4895833333</v>
      </c>
      <c r="C1345" s="3" t="s">
        <v>68</v>
      </c>
      <c r="D1345" s="3" t="s">
        <v>77</v>
      </c>
      <c r="E1345" s="3" t="s">
        <v>78</v>
      </c>
      <c r="F1345" s="3" t="s">
        <v>33</v>
      </c>
      <c r="G1345" s="3" t="s">
        <v>54</v>
      </c>
      <c r="H1345" s="3" t="s">
        <v>2825</v>
      </c>
      <c r="I1345" s="3" t="n">
        <v>5</v>
      </c>
      <c r="J1345" s="3" t="n">
        <v>5</v>
      </c>
      <c r="K1345" s="3" t="n">
        <v>4</v>
      </c>
      <c r="L1345" s="3" t="n">
        <v>5</v>
      </c>
      <c r="M1345" s="3" t="n">
        <v>5</v>
      </c>
      <c r="N1345" s="3" t="n">
        <v>4</v>
      </c>
      <c r="O1345" s="6" t="b">
        <f aca="false">FALSE()</f>
        <v>0</v>
      </c>
      <c r="P1345" s="3"/>
      <c r="Q1345" s="5" t="n">
        <v>46268.4902777778</v>
      </c>
      <c r="R1345" s="5" t="n">
        <v>46268.6118055556</v>
      </c>
      <c r="S1345" s="3" t="s">
        <v>1699</v>
      </c>
      <c r="T1345" s="7" t="n">
        <f aca="false">ROUND(MIN(IF(OR(O1345=TRUE(),O1345="TRUE",O1345="Yes"),59,100),(I1345*Rubric!$C$2+J1345*Rubric!$C$3+K1345*Rubric!$C$4+L1345*Rubric!$C$5+M1345*Rubric!$C$6+N1345*Rubric!$C$7)/5),1)</f>
        <v>93</v>
      </c>
      <c r="U1345" s="8" t="str">
        <f aca="false">LOOKUP(T1345,Bands!$A$2:$A$6,Bands!$B$2:$B$6)</f>
        <v>Outstanding</v>
      </c>
      <c r="V1345" s="8" t="n">
        <f aca="false">IF(Q1345="","",ROUND((Q1345-B1345)*24,1))</f>
        <v>0</v>
      </c>
    </row>
    <row r="1346" customFormat="false" ht="15" hidden="false" customHeight="false" outlineLevel="0" collapsed="false">
      <c r="A1346" s="3" t="s">
        <v>2826</v>
      </c>
      <c r="B1346" s="5" t="n">
        <v>46269.3923611111</v>
      </c>
      <c r="C1346" s="3" t="s">
        <v>30</v>
      </c>
      <c r="D1346" s="3" t="s">
        <v>90</v>
      </c>
      <c r="E1346" s="3" t="s">
        <v>91</v>
      </c>
      <c r="F1346" s="3" t="s">
        <v>65</v>
      </c>
      <c r="G1346" s="3" t="s">
        <v>42</v>
      </c>
      <c r="H1346" s="3" t="s">
        <v>2827</v>
      </c>
      <c r="I1346" s="3" t="n">
        <v>4</v>
      </c>
      <c r="J1346" s="3" t="n">
        <v>4</v>
      </c>
      <c r="K1346" s="3" t="n">
        <v>5</v>
      </c>
      <c r="L1346" s="3" t="n">
        <v>4</v>
      </c>
      <c r="M1346" s="3" t="n">
        <v>4</v>
      </c>
      <c r="N1346" s="3" t="n">
        <v>4</v>
      </c>
      <c r="O1346" s="6" t="b">
        <f aca="false">FALSE()</f>
        <v>0</v>
      </c>
      <c r="P1346" s="3"/>
      <c r="Q1346" s="5" t="n">
        <v>46269.39375</v>
      </c>
      <c r="R1346" s="5" t="n">
        <v>46269.5944444445</v>
      </c>
      <c r="S1346" s="3" t="s">
        <v>1699</v>
      </c>
      <c r="T1346" s="7" t="n">
        <f aca="false">ROUND(MIN(IF(OR(O1346=TRUE(),O1346="TRUE",O1346="Yes"),59,100),(I1346*Rubric!$C$2+J1346*Rubric!$C$3+K1346*Rubric!$C$4+L1346*Rubric!$C$5+M1346*Rubric!$C$6+N1346*Rubric!$C$7)/5),1)</f>
        <v>84</v>
      </c>
      <c r="U1346" s="8" t="str">
        <f aca="false">LOOKUP(T1346,Bands!$A$2:$A$6,Bands!$B$2:$B$6)</f>
        <v>Solid Performance</v>
      </c>
      <c r="V1346" s="8" t="n">
        <f aca="false">IF(Q1346="","",ROUND((Q1346-B1346)*24,1))</f>
        <v>0</v>
      </c>
    </row>
    <row r="1347" customFormat="false" ht="15" hidden="false" customHeight="false" outlineLevel="0" collapsed="false">
      <c r="A1347" s="3" t="s">
        <v>2828</v>
      </c>
      <c r="B1347" s="5" t="n">
        <v>46269.5611111111</v>
      </c>
      <c r="C1347" s="3" t="s">
        <v>39</v>
      </c>
      <c r="D1347" s="3" t="s">
        <v>259</v>
      </c>
      <c r="E1347" s="3" t="s">
        <v>260</v>
      </c>
      <c r="F1347" s="3" t="s">
        <v>33</v>
      </c>
      <c r="G1347" s="3" t="s">
        <v>42</v>
      </c>
      <c r="H1347" s="3" t="s">
        <v>2829</v>
      </c>
      <c r="I1347" s="3" t="n">
        <v>5</v>
      </c>
      <c r="J1347" s="3" t="n">
        <v>4</v>
      </c>
      <c r="K1347" s="3" t="n">
        <v>4</v>
      </c>
      <c r="L1347" s="3" t="n">
        <v>5</v>
      </c>
      <c r="M1347" s="3" t="n">
        <v>5</v>
      </c>
      <c r="N1347" s="3" t="n">
        <v>5</v>
      </c>
      <c r="O1347" s="6" t="b">
        <f aca="false">FALSE()</f>
        <v>0</v>
      </c>
      <c r="P1347" s="3"/>
      <c r="Q1347" s="5" t="n">
        <v>46269.5618055556</v>
      </c>
      <c r="R1347" s="5" t="n">
        <v>46269.8097222222</v>
      </c>
      <c r="S1347" s="3" t="s">
        <v>1699</v>
      </c>
      <c r="T1347" s="7" t="n">
        <f aca="false">ROUND(MIN(IF(OR(O1347=TRUE(),O1347="TRUE",O1347="Yes"),59,100),(I1347*Rubric!$C$2+J1347*Rubric!$C$3+K1347*Rubric!$C$4+L1347*Rubric!$C$5+M1347*Rubric!$C$6+N1347*Rubric!$C$7)/5),1)</f>
        <v>91</v>
      </c>
      <c r="U1347" s="8" t="str">
        <f aca="false">LOOKUP(T1347,Bands!$A$2:$A$6,Bands!$B$2:$B$6)</f>
        <v>Outstanding</v>
      </c>
      <c r="V1347" s="8" t="n">
        <f aca="false">IF(Q1347="","",ROUND((Q1347-B1347)*24,1))</f>
        <v>0</v>
      </c>
    </row>
    <row r="1348" customFormat="false" ht="15" hidden="false" customHeight="false" outlineLevel="0" collapsed="false">
      <c r="A1348" s="3" t="s">
        <v>2830</v>
      </c>
      <c r="B1348" s="5" t="n">
        <v>46269.4548611111</v>
      </c>
      <c r="C1348" s="3" t="s">
        <v>68</v>
      </c>
      <c r="D1348" s="3" t="s">
        <v>96</v>
      </c>
      <c r="E1348" s="3" t="s">
        <v>97</v>
      </c>
      <c r="F1348" s="3" t="s">
        <v>33</v>
      </c>
      <c r="G1348" s="3" t="s">
        <v>34</v>
      </c>
      <c r="H1348" s="3" t="s">
        <v>2831</v>
      </c>
      <c r="I1348" s="3" t="n">
        <v>5</v>
      </c>
      <c r="J1348" s="3" t="n">
        <v>3</v>
      </c>
      <c r="K1348" s="3" t="n">
        <v>4</v>
      </c>
      <c r="L1348" s="3" t="n">
        <v>5</v>
      </c>
      <c r="M1348" s="3" t="n">
        <v>5</v>
      </c>
      <c r="N1348" s="3" t="n">
        <v>4</v>
      </c>
      <c r="O1348" s="6" t="b">
        <f aca="false">FALSE()</f>
        <v>0</v>
      </c>
      <c r="P1348" s="3"/>
      <c r="Q1348" s="5" t="n">
        <v>46269.45625</v>
      </c>
      <c r="R1348" s="5" t="n">
        <v>46269.6923611111</v>
      </c>
      <c r="S1348" s="3" t="s">
        <v>1699</v>
      </c>
      <c r="T1348" s="7" t="n">
        <f aca="false">ROUND(MIN(IF(OR(O1348=TRUE(),O1348="TRUE",O1348="Yes"),59,100),(I1348*Rubric!$C$2+J1348*Rubric!$C$3+K1348*Rubric!$C$4+L1348*Rubric!$C$5+M1348*Rubric!$C$6+N1348*Rubric!$C$7)/5),1)</f>
        <v>83</v>
      </c>
      <c r="U1348" s="8" t="str">
        <f aca="false">LOOKUP(T1348,Bands!$A$2:$A$6,Bands!$B$2:$B$6)</f>
        <v>Solid Performance</v>
      </c>
      <c r="V1348" s="8" t="n">
        <f aca="false">IF(Q1348="","",ROUND((Q1348-B1348)*24,1))</f>
        <v>0</v>
      </c>
    </row>
    <row r="1349" customFormat="false" ht="15" hidden="false" customHeight="false" outlineLevel="0" collapsed="false">
      <c r="A1349" s="3" t="s">
        <v>2832</v>
      </c>
      <c r="B1349" s="5" t="n">
        <v>46269.63125</v>
      </c>
      <c r="C1349" s="3" t="s">
        <v>68</v>
      </c>
      <c r="D1349" s="3" t="s">
        <v>198</v>
      </c>
      <c r="E1349" s="3" t="s">
        <v>199</v>
      </c>
      <c r="F1349" s="3" t="s">
        <v>33</v>
      </c>
      <c r="G1349" s="3" t="s">
        <v>54</v>
      </c>
      <c r="H1349" s="3" t="s">
        <v>2833</v>
      </c>
      <c r="I1349" s="3" t="n">
        <v>4</v>
      </c>
      <c r="J1349" s="3" t="n">
        <v>4</v>
      </c>
      <c r="K1349" s="3" t="n">
        <v>5</v>
      </c>
      <c r="L1349" s="3" t="n">
        <v>3</v>
      </c>
      <c r="M1349" s="3" t="n">
        <v>5</v>
      </c>
      <c r="N1349" s="3" t="n">
        <v>4</v>
      </c>
      <c r="O1349" s="6" t="b">
        <f aca="false">FALSE()</f>
        <v>0</v>
      </c>
      <c r="P1349" s="3"/>
      <c r="Q1349" s="5" t="n">
        <v>46269.6319444445</v>
      </c>
      <c r="R1349" s="5" t="n">
        <v>46269.9701388889</v>
      </c>
      <c r="S1349" s="3" t="s">
        <v>1699</v>
      </c>
      <c r="T1349" s="7" t="n">
        <f aca="false">ROUND(MIN(IF(OR(O1349=TRUE(),O1349="TRUE",O1349="Yes"),59,100),(I1349*Rubric!$C$2+J1349*Rubric!$C$3+K1349*Rubric!$C$4+L1349*Rubric!$C$5+M1349*Rubric!$C$6+N1349*Rubric!$C$7)/5),1)</f>
        <v>83</v>
      </c>
      <c r="U1349" s="8" t="str">
        <f aca="false">LOOKUP(T1349,Bands!$A$2:$A$6,Bands!$B$2:$B$6)</f>
        <v>Solid Performance</v>
      </c>
      <c r="V1349" s="8" t="n">
        <f aca="false">IF(Q1349="","",ROUND((Q1349-B1349)*24,1))</f>
        <v>0</v>
      </c>
    </row>
    <row r="1350" customFormat="false" ht="15" hidden="false" customHeight="false" outlineLevel="0" collapsed="false">
      <c r="A1350" s="3" t="s">
        <v>2834</v>
      </c>
      <c r="B1350" s="5" t="n">
        <v>46269.4506944444</v>
      </c>
      <c r="C1350" s="3" t="s">
        <v>30</v>
      </c>
      <c r="D1350" s="3" t="s">
        <v>155</v>
      </c>
      <c r="E1350" s="3" t="s">
        <v>156</v>
      </c>
      <c r="F1350" s="3" t="s">
        <v>65</v>
      </c>
      <c r="G1350" s="3" t="s">
        <v>42</v>
      </c>
      <c r="H1350" s="3" t="s">
        <v>2835</v>
      </c>
      <c r="I1350" s="3" t="n">
        <v>4</v>
      </c>
      <c r="J1350" s="3" t="n">
        <v>4</v>
      </c>
      <c r="K1350" s="3" t="n">
        <v>5</v>
      </c>
      <c r="L1350" s="3" t="n">
        <v>4</v>
      </c>
      <c r="M1350" s="3" t="n">
        <v>5</v>
      </c>
      <c r="N1350" s="3" t="n">
        <v>5</v>
      </c>
      <c r="O1350" s="6" t="b">
        <f aca="false">FALSE()</f>
        <v>0</v>
      </c>
      <c r="P1350" s="3"/>
      <c r="Q1350" s="5" t="n">
        <v>46269.4513888889</v>
      </c>
      <c r="R1350" s="5" t="n">
        <v>46269.4930555556</v>
      </c>
      <c r="S1350" s="3" t="s">
        <v>1699</v>
      </c>
      <c r="T1350" s="7" t="n">
        <f aca="false">ROUND(MIN(IF(OR(O1350=TRUE(),O1350="TRUE",O1350="Yes"),59,100),(I1350*Rubric!$C$2+J1350*Rubric!$C$3+K1350*Rubric!$C$4+L1350*Rubric!$C$5+M1350*Rubric!$C$6+N1350*Rubric!$C$7)/5),1)</f>
        <v>89</v>
      </c>
      <c r="U1350" s="8" t="str">
        <f aca="false">LOOKUP(T1350,Bands!$A$2:$A$6,Bands!$B$2:$B$6)</f>
        <v>Solid Performance</v>
      </c>
      <c r="V1350" s="8" t="n">
        <f aca="false">IF(Q1350="","",ROUND((Q1350-B1350)*24,1))</f>
        <v>0</v>
      </c>
    </row>
    <row r="1351" customFormat="false" ht="15" hidden="false" customHeight="false" outlineLevel="0" collapsed="false">
      <c r="A1351" s="3" t="s">
        <v>2836</v>
      </c>
      <c r="B1351" s="5" t="n">
        <v>46269.5027777778</v>
      </c>
      <c r="C1351" s="3" t="s">
        <v>68</v>
      </c>
      <c r="D1351" s="3" t="s">
        <v>100</v>
      </c>
      <c r="E1351" s="3" t="s">
        <v>101</v>
      </c>
      <c r="F1351" s="3" t="s">
        <v>33</v>
      </c>
      <c r="G1351" s="3" t="s">
        <v>54</v>
      </c>
      <c r="H1351" s="3" t="s">
        <v>2837</v>
      </c>
      <c r="I1351" s="3" t="n">
        <v>4</v>
      </c>
      <c r="J1351" s="3" t="n">
        <v>4</v>
      </c>
      <c r="K1351" s="3" t="n">
        <v>5</v>
      </c>
      <c r="L1351" s="3" t="n">
        <v>4</v>
      </c>
      <c r="M1351" s="3" t="n">
        <v>3</v>
      </c>
      <c r="N1351" s="3" t="n">
        <v>5</v>
      </c>
      <c r="O1351" s="6" t="b">
        <f aca="false">FALSE()</f>
        <v>0</v>
      </c>
      <c r="P1351" s="3"/>
      <c r="Q1351" s="5" t="n">
        <v>46269.5034722222</v>
      </c>
      <c r="R1351" s="5" t="n">
        <v>46269.8222222222</v>
      </c>
      <c r="S1351" s="3" t="s">
        <v>1699</v>
      </c>
      <c r="T1351" s="7" t="n">
        <f aca="false">ROUND(MIN(IF(OR(O1351=TRUE(),O1351="TRUE",O1351="Yes"),59,100),(I1351*Rubric!$C$2+J1351*Rubric!$C$3+K1351*Rubric!$C$4+L1351*Rubric!$C$5+M1351*Rubric!$C$6+N1351*Rubric!$C$7)/5),1)</f>
        <v>85</v>
      </c>
      <c r="U1351" s="8" t="str">
        <f aca="false">LOOKUP(T1351,Bands!$A$2:$A$6,Bands!$B$2:$B$6)</f>
        <v>Solid Performance</v>
      </c>
      <c r="V1351" s="8" t="n">
        <f aca="false">IF(Q1351="","",ROUND((Q1351-B1351)*24,1))</f>
        <v>0</v>
      </c>
    </row>
    <row r="1352" customFormat="false" ht="15" hidden="false" customHeight="false" outlineLevel="0" collapsed="false">
      <c r="A1352" s="3" t="s">
        <v>2838</v>
      </c>
      <c r="B1352" s="5" t="n">
        <v>46269.5236111111</v>
      </c>
      <c r="C1352" s="3" t="s">
        <v>30</v>
      </c>
      <c r="D1352" s="3" t="s">
        <v>46</v>
      </c>
      <c r="E1352" s="3" t="s">
        <v>47</v>
      </c>
      <c r="F1352" s="3" t="s">
        <v>33</v>
      </c>
      <c r="G1352" s="3" t="s">
        <v>42</v>
      </c>
      <c r="H1352" s="3" t="s">
        <v>2839</v>
      </c>
      <c r="I1352" s="3" t="n">
        <v>5</v>
      </c>
      <c r="J1352" s="3" t="n">
        <v>4</v>
      </c>
      <c r="K1352" s="3" t="n">
        <v>4</v>
      </c>
      <c r="L1352" s="3" t="n">
        <v>5</v>
      </c>
      <c r="M1352" s="3" t="n">
        <v>4</v>
      </c>
      <c r="N1352" s="3" t="n">
        <v>5</v>
      </c>
      <c r="O1352" s="6" t="b">
        <f aca="false">FALSE()</f>
        <v>0</v>
      </c>
      <c r="P1352" s="3"/>
      <c r="Q1352" s="5" t="n">
        <v>46269.5243055556</v>
      </c>
      <c r="R1352" s="5" t="n">
        <v>46269.6534722222</v>
      </c>
      <c r="S1352" s="3" t="s">
        <v>1699</v>
      </c>
      <c r="T1352" s="7" t="n">
        <f aca="false">ROUND(MIN(IF(OR(O1352=TRUE(),O1352="TRUE",O1352="Yes"),59,100),(I1352*Rubric!$C$2+J1352*Rubric!$C$3+K1352*Rubric!$C$4+L1352*Rubric!$C$5+M1352*Rubric!$C$6+N1352*Rubric!$C$7)/5),1)</f>
        <v>89</v>
      </c>
      <c r="U1352" s="8" t="str">
        <f aca="false">LOOKUP(T1352,Bands!$A$2:$A$6,Bands!$B$2:$B$6)</f>
        <v>Solid Performance</v>
      </c>
      <c r="V1352" s="8" t="n">
        <f aca="false">IF(Q1352="","",ROUND((Q1352-B1352)*24,1))</f>
        <v>0</v>
      </c>
    </row>
    <row r="1353" customFormat="false" ht="15" hidden="false" customHeight="false" outlineLevel="0" collapsed="false">
      <c r="A1353" s="3" t="s">
        <v>2840</v>
      </c>
      <c r="B1353" s="5" t="n">
        <v>46269.6569444445</v>
      </c>
      <c r="C1353" s="3" t="s">
        <v>39</v>
      </c>
      <c r="D1353" s="3" t="s">
        <v>77</v>
      </c>
      <c r="E1353" s="3" t="s">
        <v>78</v>
      </c>
      <c r="F1353" s="3" t="s">
        <v>33</v>
      </c>
      <c r="G1353" s="3" t="s">
        <v>42</v>
      </c>
      <c r="H1353" s="3" t="s">
        <v>2841</v>
      </c>
      <c r="I1353" s="3" t="n">
        <v>5</v>
      </c>
      <c r="J1353" s="3" t="n">
        <v>5</v>
      </c>
      <c r="K1353" s="3" t="n">
        <v>4</v>
      </c>
      <c r="L1353" s="3" t="n">
        <v>4</v>
      </c>
      <c r="M1353" s="3" t="n">
        <v>4</v>
      </c>
      <c r="N1353" s="3" t="n">
        <v>5</v>
      </c>
      <c r="O1353" s="6" t="b">
        <f aca="false">FALSE()</f>
        <v>0</v>
      </c>
      <c r="P1353" s="3"/>
      <c r="Q1353" s="5" t="n">
        <v>46269.6576388889</v>
      </c>
      <c r="R1353" s="5" t="n">
        <v>46269.8298611111</v>
      </c>
      <c r="S1353" s="3" t="s">
        <v>1699</v>
      </c>
      <c r="T1353" s="7" t="n">
        <f aca="false">ROUND(MIN(IF(OR(O1353=TRUE(),O1353="TRUE",O1353="Yes"),59,100),(I1353*Rubric!$C$2+J1353*Rubric!$C$3+K1353*Rubric!$C$4+L1353*Rubric!$C$5+M1353*Rubric!$C$6+N1353*Rubric!$C$7)/5),1)</f>
        <v>91</v>
      </c>
      <c r="U1353" s="8" t="str">
        <f aca="false">LOOKUP(T1353,Bands!$A$2:$A$6,Bands!$B$2:$B$6)</f>
        <v>Outstanding</v>
      </c>
      <c r="V1353" s="8" t="n">
        <f aca="false">IF(Q1353="","",ROUND((Q1353-B1353)*24,1))</f>
        <v>0</v>
      </c>
    </row>
    <row r="1354" customFormat="false" ht="15" hidden="false" customHeight="false" outlineLevel="0" collapsed="false">
      <c r="A1354" s="3" t="s">
        <v>2842</v>
      </c>
      <c r="B1354" s="5" t="n">
        <v>46269.4423611111</v>
      </c>
      <c r="C1354" s="3" t="s">
        <v>30</v>
      </c>
      <c r="D1354" s="3" t="s">
        <v>58</v>
      </c>
      <c r="E1354" s="3" t="s">
        <v>59</v>
      </c>
      <c r="F1354" s="3" t="s">
        <v>53</v>
      </c>
      <c r="G1354" s="3" t="s">
        <v>54</v>
      </c>
      <c r="H1354" s="3" t="s">
        <v>2843</v>
      </c>
      <c r="I1354" s="3" t="n">
        <v>4</v>
      </c>
      <c r="J1354" s="3" t="n">
        <v>2</v>
      </c>
      <c r="K1354" s="3" t="n">
        <v>4</v>
      </c>
      <c r="L1354" s="3" t="n">
        <v>4</v>
      </c>
      <c r="M1354" s="3" t="n">
        <v>4</v>
      </c>
      <c r="N1354" s="3" t="n">
        <v>3</v>
      </c>
      <c r="O1354" s="6" t="b">
        <f aca="false">FALSE()</f>
        <v>0</v>
      </c>
      <c r="P1354" s="3" t="s">
        <v>56</v>
      </c>
      <c r="Q1354" s="5" t="n">
        <v>46269.4444444445</v>
      </c>
      <c r="R1354" s="5" t="n">
        <v>46269.5652777778</v>
      </c>
      <c r="S1354" s="3" t="s">
        <v>1699</v>
      </c>
      <c r="T1354" s="7" t="n">
        <f aca="false">ROUND(MIN(IF(OR(O1354=TRUE(),O1354="TRUE",O1354="Yes"),59,100),(I1354*Rubric!$C$2+J1354*Rubric!$C$3+K1354*Rubric!$C$4+L1354*Rubric!$C$5+M1354*Rubric!$C$6+N1354*Rubric!$C$7)/5),1)</f>
        <v>67</v>
      </c>
      <c r="U1354" s="8" t="str">
        <f aca="false">LOOKUP(T1354,Bands!$A$2:$A$6,Bands!$B$2:$B$6)</f>
        <v>Needs Improvement</v>
      </c>
      <c r="V1354" s="8" t="n">
        <f aca="false">IF(Q1354="","",ROUND((Q1354-B1354)*24,1))</f>
        <v>0.1</v>
      </c>
    </row>
    <row r="1355" customFormat="false" ht="15" hidden="false" customHeight="false" outlineLevel="0" collapsed="false">
      <c r="A1355" s="3" t="s">
        <v>2844</v>
      </c>
      <c r="B1355" s="5" t="n">
        <v>46269.4881944444</v>
      </c>
      <c r="C1355" s="3" t="s">
        <v>39</v>
      </c>
      <c r="D1355" s="3" t="s">
        <v>145</v>
      </c>
      <c r="E1355" s="3" t="s">
        <v>146</v>
      </c>
      <c r="F1355" s="3" t="s">
        <v>33</v>
      </c>
      <c r="G1355" s="3" t="s">
        <v>34</v>
      </c>
      <c r="H1355" s="3" t="s">
        <v>2845</v>
      </c>
      <c r="I1355" s="3" t="n">
        <v>5</v>
      </c>
      <c r="J1355" s="3" t="n">
        <v>4</v>
      </c>
      <c r="K1355" s="3" t="n">
        <v>4</v>
      </c>
      <c r="L1355" s="3" t="n">
        <v>4</v>
      </c>
      <c r="M1355" s="3" t="n">
        <v>3</v>
      </c>
      <c r="N1355" s="3" t="n">
        <v>4</v>
      </c>
      <c r="O1355" s="6" t="b">
        <f aca="false">FALSE()</f>
        <v>0</v>
      </c>
      <c r="P1355" s="3"/>
      <c r="Q1355" s="5" t="n">
        <v>46269.4902777778</v>
      </c>
      <c r="R1355" s="5" t="n">
        <v>46269.7055555556</v>
      </c>
      <c r="S1355" s="3" t="s">
        <v>1699</v>
      </c>
      <c r="T1355" s="7" t="n">
        <f aca="false">ROUND(MIN(IF(OR(O1355=TRUE(),O1355="TRUE",O1355="Yes"),59,100),(I1355*Rubric!$C$2+J1355*Rubric!$C$3+K1355*Rubric!$C$4+L1355*Rubric!$C$5+M1355*Rubric!$C$6+N1355*Rubric!$C$7)/5),1)</f>
        <v>81</v>
      </c>
      <c r="U1355" s="8" t="str">
        <f aca="false">LOOKUP(T1355,Bands!$A$2:$A$6,Bands!$B$2:$B$6)</f>
        <v>Solid Performance</v>
      </c>
      <c r="V1355" s="8" t="n">
        <f aca="false">IF(Q1355="","",ROUND((Q1355-B1355)*24,1))</f>
        <v>0.1</v>
      </c>
    </row>
    <row r="1356" customFormat="false" ht="15" hidden="false" customHeight="false" outlineLevel="0" collapsed="false">
      <c r="A1356" s="3" t="s">
        <v>2846</v>
      </c>
      <c r="B1356" s="5" t="n">
        <v>46269.6527777778</v>
      </c>
      <c r="C1356" s="3" t="s">
        <v>39</v>
      </c>
      <c r="D1356" s="3" t="s">
        <v>293</v>
      </c>
      <c r="E1356" s="3" t="s">
        <v>294</v>
      </c>
      <c r="F1356" s="3" t="s">
        <v>65</v>
      </c>
      <c r="G1356" s="3" t="s">
        <v>42</v>
      </c>
      <c r="H1356" s="3" t="s">
        <v>2847</v>
      </c>
      <c r="I1356" s="3" t="n">
        <v>5</v>
      </c>
      <c r="J1356" s="3" t="n">
        <v>5</v>
      </c>
      <c r="K1356" s="3" t="n">
        <v>5</v>
      </c>
      <c r="L1356" s="3" t="n">
        <v>4</v>
      </c>
      <c r="M1356" s="3" t="n">
        <v>5</v>
      </c>
      <c r="N1356" s="3" t="n">
        <v>5</v>
      </c>
      <c r="O1356" s="6" t="b">
        <f aca="false">FALSE()</f>
        <v>0</v>
      </c>
      <c r="P1356" s="3"/>
      <c r="Q1356" s="5" t="n">
        <v>46269.6541666667</v>
      </c>
      <c r="R1356" s="5" t="n">
        <v>46269.6756944444</v>
      </c>
      <c r="S1356" s="3" t="s">
        <v>1699</v>
      </c>
      <c r="T1356" s="7" t="n">
        <f aca="false">ROUND(MIN(IF(OR(O1356=TRUE(),O1356="TRUE",O1356="Yes"),59,100),(I1356*Rubric!$C$2+J1356*Rubric!$C$3+K1356*Rubric!$C$4+L1356*Rubric!$C$5+M1356*Rubric!$C$6+N1356*Rubric!$C$7)/5),1)</f>
        <v>97</v>
      </c>
      <c r="U1356" s="8" t="str">
        <f aca="false">LOOKUP(T1356,Bands!$A$2:$A$6,Bands!$B$2:$B$6)</f>
        <v>Outstanding</v>
      </c>
      <c r="V1356" s="8" t="n">
        <f aca="false">IF(Q1356="","",ROUND((Q1356-B1356)*24,1))</f>
        <v>0</v>
      </c>
    </row>
    <row r="1357" customFormat="false" ht="15" hidden="false" customHeight="false" outlineLevel="0" collapsed="false">
      <c r="A1357" s="3" t="s">
        <v>2848</v>
      </c>
      <c r="B1357" s="5" t="n">
        <v>46269.4194444444</v>
      </c>
      <c r="C1357" s="3" t="s">
        <v>68</v>
      </c>
      <c r="D1357" s="3" t="s">
        <v>111</v>
      </c>
      <c r="E1357" s="3" t="s">
        <v>112</v>
      </c>
      <c r="F1357" s="3" t="s">
        <v>33</v>
      </c>
      <c r="G1357" s="3" t="s">
        <v>54</v>
      </c>
      <c r="H1357" s="3" t="s">
        <v>2849</v>
      </c>
      <c r="I1357" s="3" t="n">
        <v>3</v>
      </c>
      <c r="J1357" s="3" t="n">
        <v>4</v>
      </c>
      <c r="K1357" s="3" t="n">
        <v>3</v>
      </c>
      <c r="L1357" s="3" t="n">
        <v>5</v>
      </c>
      <c r="M1357" s="3" t="n">
        <v>5</v>
      </c>
      <c r="N1357" s="3" t="n">
        <v>5</v>
      </c>
      <c r="O1357" s="6" t="b">
        <f aca="false">FALSE()</f>
        <v>0</v>
      </c>
      <c r="P1357" s="3"/>
      <c r="Q1357" s="5" t="n">
        <v>46269.4215277778</v>
      </c>
      <c r="R1357" s="5" t="n">
        <v>46269.9229166667</v>
      </c>
      <c r="S1357" s="3" t="s">
        <v>1699</v>
      </c>
      <c r="T1357" s="7" t="n">
        <f aca="false">ROUND(MIN(IF(OR(O1357=TRUE(),O1357="TRUE",O1357="Yes"),59,100),(I1357*Rubric!$C$2+J1357*Rubric!$C$3+K1357*Rubric!$C$4+L1357*Rubric!$C$5+M1357*Rubric!$C$6+N1357*Rubric!$C$7)/5),1)</f>
        <v>81</v>
      </c>
      <c r="U1357" s="8" t="str">
        <f aca="false">LOOKUP(T1357,Bands!$A$2:$A$6,Bands!$B$2:$B$6)</f>
        <v>Solid Performance</v>
      </c>
      <c r="V1357" s="8" t="n">
        <f aca="false">IF(Q1357="","",ROUND((Q1357-B1357)*24,1))</f>
        <v>0.1</v>
      </c>
    </row>
    <row r="1358" customFormat="false" ht="15" hidden="false" customHeight="false" outlineLevel="0" collapsed="false">
      <c r="A1358" s="3" t="s">
        <v>2850</v>
      </c>
      <c r="B1358" s="5" t="n">
        <v>46272.39375</v>
      </c>
      <c r="C1358" s="3" t="s">
        <v>30</v>
      </c>
      <c r="D1358" s="3" t="s">
        <v>265</v>
      </c>
      <c r="E1358" s="3" t="s">
        <v>266</v>
      </c>
      <c r="F1358" s="3" t="s">
        <v>33</v>
      </c>
      <c r="G1358" s="3" t="s">
        <v>54</v>
      </c>
      <c r="H1358" s="3" t="s">
        <v>2851</v>
      </c>
      <c r="I1358" s="3" t="n">
        <v>3</v>
      </c>
      <c r="J1358" s="3" t="n">
        <v>3</v>
      </c>
      <c r="K1358" s="3" t="n">
        <v>4</v>
      </c>
      <c r="L1358" s="3" t="n">
        <v>4</v>
      </c>
      <c r="M1358" s="3" t="n">
        <v>4</v>
      </c>
      <c r="N1358" s="3" t="n">
        <v>3</v>
      </c>
      <c r="O1358" s="6" t="b">
        <f aca="false">FALSE()</f>
        <v>0</v>
      </c>
      <c r="P1358" s="3"/>
      <c r="Q1358" s="5" t="n">
        <v>46272.3951388889</v>
      </c>
      <c r="R1358" s="5" t="n">
        <v>46272.6104166667</v>
      </c>
      <c r="S1358" s="3" t="s">
        <v>1699</v>
      </c>
      <c r="T1358" s="7" t="n">
        <f aca="false">ROUND(MIN(IF(OR(O1358=TRUE(),O1358="TRUE",O1358="Yes"),59,100),(I1358*Rubric!$C$2+J1358*Rubric!$C$3+K1358*Rubric!$C$4+L1358*Rubric!$C$5+M1358*Rubric!$C$6+N1358*Rubric!$C$7)/5),1)</f>
        <v>69</v>
      </c>
      <c r="U1358" s="8" t="str">
        <f aca="false">LOOKUP(T1358,Bands!$A$2:$A$6,Bands!$B$2:$B$6)</f>
        <v>Needs Improvement</v>
      </c>
      <c r="V1358" s="8" t="n">
        <f aca="false">IF(Q1358="","",ROUND((Q1358-B1358)*24,1))</f>
        <v>0</v>
      </c>
    </row>
    <row r="1359" customFormat="false" ht="15" hidden="false" customHeight="false" outlineLevel="0" collapsed="false">
      <c r="A1359" s="3" t="s">
        <v>2852</v>
      </c>
      <c r="B1359" s="5" t="n">
        <v>46272.6166666667</v>
      </c>
      <c r="C1359" s="3" t="s">
        <v>30</v>
      </c>
      <c r="D1359" s="3" t="s">
        <v>145</v>
      </c>
      <c r="E1359" s="3" t="s">
        <v>146</v>
      </c>
      <c r="F1359" s="3" t="s">
        <v>33</v>
      </c>
      <c r="G1359" s="3" t="s">
        <v>54</v>
      </c>
      <c r="H1359" s="3" t="s">
        <v>2853</v>
      </c>
      <c r="I1359" s="3" t="n">
        <v>3</v>
      </c>
      <c r="J1359" s="3" t="n">
        <v>4</v>
      </c>
      <c r="K1359" s="3" t="n">
        <v>5</v>
      </c>
      <c r="L1359" s="3" t="n">
        <v>4</v>
      </c>
      <c r="M1359" s="3" t="n">
        <v>5</v>
      </c>
      <c r="N1359" s="3" t="n">
        <v>4</v>
      </c>
      <c r="O1359" s="6" t="b">
        <f aca="false">FALSE()</f>
        <v>0</v>
      </c>
      <c r="P1359" s="3"/>
      <c r="Q1359" s="5" t="n">
        <v>46272.61875</v>
      </c>
      <c r="R1359" s="5" t="n">
        <v>46272.7131944444</v>
      </c>
      <c r="S1359" s="3" t="s">
        <v>1699</v>
      </c>
      <c r="T1359" s="7" t="n">
        <f aca="false">ROUND(MIN(IF(OR(O1359=TRUE(),O1359="TRUE",O1359="Yes"),59,100),(I1359*Rubric!$C$2+J1359*Rubric!$C$3+K1359*Rubric!$C$4+L1359*Rubric!$C$5+M1359*Rubric!$C$6+N1359*Rubric!$C$7)/5),1)</f>
        <v>83</v>
      </c>
      <c r="U1359" s="8" t="str">
        <f aca="false">LOOKUP(T1359,Bands!$A$2:$A$6,Bands!$B$2:$B$6)</f>
        <v>Solid Performance</v>
      </c>
      <c r="V1359" s="8" t="n">
        <f aca="false">IF(Q1359="","",ROUND((Q1359-B1359)*24,1))</f>
        <v>0</v>
      </c>
    </row>
    <row r="1360" customFormat="false" ht="15" hidden="false" customHeight="false" outlineLevel="0" collapsed="false">
      <c r="A1360" s="3" t="s">
        <v>2854</v>
      </c>
      <c r="B1360" s="5" t="n">
        <v>46272.4347222222</v>
      </c>
      <c r="C1360" s="3" t="s">
        <v>68</v>
      </c>
      <c r="D1360" s="3" t="s">
        <v>293</v>
      </c>
      <c r="E1360" s="3" t="s">
        <v>294</v>
      </c>
      <c r="F1360" s="3" t="s">
        <v>65</v>
      </c>
      <c r="G1360" s="3" t="s">
        <v>54</v>
      </c>
      <c r="H1360" s="3" t="s">
        <v>2855</v>
      </c>
      <c r="I1360" s="3" t="n">
        <v>5</v>
      </c>
      <c r="J1360" s="3" t="n">
        <v>5</v>
      </c>
      <c r="K1360" s="3" t="n">
        <v>4</v>
      </c>
      <c r="L1360" s="3" t="n">
        <v>2</v>
      </c>
      <c r="M1360" s="3" t="n">
        <v>4</v>
      </c>
      <c r="N1360" s="3" t="n">
        <v>5</v>
      </c>
      <c r="O1360" s="6" t="b">
        <f aca="false">FALSE()</f>
        <v>0</v>
      </c>
      <c r="P1360" s="3" t="s">
        <v>44</v>
      </c>
      <c r="Q1360" s="5" t="n">
        <v>46272.4354166667</v>
      </c>
      <c r="R1360" s="5" t="n">
        <v>46272.4631944444</v>
      </c>
      <c r="S1360" s="3" t="s">
        <v>1699</v>
      </c>
      <c r="T1360" s="7" t="n">
        <f aca="false">ROUND(MIN(IF(OR(O1360=TRUE(),O1360="TRUE",O1360="Yes"),59,100),(I1360*Rubric!$C$2+J1360*Rubric!$C$3+K1360*Rubric!$C$4+L1360*Rubric!$C$5+M1360*Rubric!$C$6+N1360*Rubric!$C$7)/5),1)</f>
        <v>85</v>
      </c>
      <c r="U1360" s="8" t="str">
        <f aca="false">LOOKUP(T1360,Bands!$A$2:$A$6,Bands!$B$2:$B$6)</f>
        <v>Solid Performance</v>
      </c>
      <c r="V1360" s="8" t="n">
        <f aca="false">IF(Q1360="","",ROUND((Q1360-B1360)*24,1))</f>
        <v>0</v>
      </c>
    </row>
    <row r="1361" customFormat="false" ht="15" hidden="false" customHeight="false" outlineLevel="0" collapsed="false">
      <c r="A1361" s="3" t="s">
        <v>2856</v>
      </c>
      <c r="B1361" s="5" t="n">
        <v>46272.7013888889</v>
      </c>
      <c r="C1361" s="3" t="s">
        <v>30</v>
      </c>
      <c r="D1361" s="3" t="s">
        <v>96</v>
      </c>
      <c r="E1361" s="3" t="s">
        <v>97</v>
      </c>
      <c r="F1361" s="3" t="s">
        <v>33</v>
      </c>
      <c r="G1361" s="3" t="s">
        <v>42</v>
      </c>
      <c r="H1361" s="3" t="s">
        <v>2857</v>
      </c>
      <c r="I1361" s="3" t="n">
        <v>5</v>
      </c>
      <c r="J1361" s="3" t="n">
        <v>3</v>
      </c>
      <c r="K1361" s="3" t="n">
        <v>5</v>
      </c>
      <c r="L1361" s="3" t="n">
        <v>5</v>
      </c>
      <c r="M1361" s="3" t="n">
        <v>5</v>
      </c>
      <c r="N1361" s="3" t="n">
        <v>4</v>
      </c>
      <c r="O1361" s="6" t="b">
        <f aca="false">FALSE()</f>
        <v>0</v>
      </c>
      <c r="P1361" s="3"/>
      <c r="Q1361" s="5" t="n">
        <v>46272.7027777778</v>
      </c>
      <c r="R1361" s="5" t="n">
        <v>46273.15625</v>
      </c>
      <c r="S1361" s="3" t="s">
        <v>1699</v>
      </c>
      <c r="T1361" s="7" t="n">
        <f aca="false">ROUND(MIN(IF(OR(O1361=TRUE(),O1361="TRUE",O1361="Yes"),59,100),(I1361*Rubric!$C$2+J1361*Rubric!$C$3+K1361*Rubric!$C$4+L1361*Rubric!$C$5+M1361*Rubric!$C$6+N1361*Rubric!$C$7)/5),1)</f>
        <v>87</v>
      </c>
      <c r="U1361" s="8" t="str">
        <f aca="false">LOOKUP(T1361,Bands!$A$2:$A$6,Bands!$B$2:$B$6)</f>
        <v>Solid Performance</v>
      </c>
      <c r="V1361" s="8" t="n">
        <f aca="false">IF(Q1361="","",ROUND((Q1361-B1361)*24,1))</f>
        <v>0</v>
      </c>
    </row>
    <row r="1362" customFormat="false" ht="15" hidden="false" customHeight="false" outlineLevel="0" collapsed="false">
      <c r="A1362" s="3" t="s">
        <v>2858</v>
      </c>
      <c r="B1362" s="5" t="n">
        <v>46272.5770833333</v>
      </c>
      <c r="C1362" s="3" t="s">
        <v>68</v>
      </c>
      <c r="D1362" s="3" t="s">
        <v>125</v>
      </c>
      <c r="E1362" s="3" t="s">
        <v>126</v>
      </c>
      <c r="F1362" s="3" t="s">
        <v>53</v>
      </c>
      <c r="G1362" s="3" t="s">
        <v>42</v>
      </c>
      <c r="H1362" s="3" t="s">
        <v>2859</v>
      </c>
      <c r="I1362" s="3" t="n">
        <v>4</v>
      </c>
      <c r="J1362" s="3" t="n">
        <v>4</v>
      </c>
      <c r="K1362" s="3" t="n">
        <v>4</v>
      </c>
      <c r="L1362" s="3" t="n">
        <v>5</v>
      </c>
      <c r="M1362" s="3" t="n">
        <v>4</v>
      </c>
      <c r="N1362" s="3" t="n">
        <v>4</v>
      </c>
      <c r="O1362" s="6" t="b">
        <f aca="false">FALSE()</f>
        <v>0</v>
      </c>
      <c r="P1362" s="3"/>
      <c r="Q1362" s="5" t="n">
        <v>46272.5791666667</v>
      </c>
      <c r="R1362" s="5" t="n">
        <v>46272.9402777778</v>
      </c>
      <c r="S1362" s="3" t="s">
        <v>1699</v>
      </c>
      <c r="T1362" s="7" t="n">
        <f aca="false">ROUND(MIN(IF(OR(O1362=TRUE(),O1362="TRUE",O1362="Yes"),59,100),(I1362*Rubric!$C$2+J1362*Rubric!$C$3+K1362*Rubric!$C$4+L1362*Rubric!$C$5+M1362*Rubric!$C$6+N1362*Rubric!$C$7)/5),1)</f>
        <v>83</v>
      </c>
      <c r="U1362" s="8" t="str">
        <f aca="false">LOOKUP(T1362,Bands!$A$2:$A$6,Bands!$B$2:$B$6)</f>
        <v>Solid Performance</v>
      </c>
      <c r="V1362" s="8" t="n">
        <f aca="false">IF(Q1362="","",ROUND((Q1362-B1362)*24,1))</f>
        <v>0.1</v>
      </c>
    </row>
    <row r="1363" customFormat="false" ht="15" hidden="false" customHeight="false" outlineLevel="0" collapsed="false">
      <c r="A1363" s="3" t="s">
        <v>2860</v>
      </c>
      <c r="B1363" s="5" t="n">
        <v>46272.4736111111</v>
      </c>
      <c r="C1363" s="3" t="s">
        <v>39</v>
      </c>
      <c r="D1363" s="3" t="s">
        <v>307</v>
      </c>
      <c r="E1363" s="3" t="s">
        <v>308</v>
      </c>
      <c r="F1363" s="3" t="s">
        <v>33</v>
      </c>
      <c r="G1363" s="3" t="s">
        <v>42</v>
      </c>
      <c r="H1363" s="3" t="s">
        <v>2861</v>
      </c>
      <c r="I1363" s="3" t="n">
        <v>5</v>
      </c>
      <c r="J1363" s="3" t="n">
        <v>4</v>
      </c>
      <c r="K1363" s="3" t="n">
        <v>5</v>
      </c>
      <c r="L1363" s="3" t="n">
        <v>5</v>
      </c>
      <c r="M1363" s="3" t="n">
        <v>5</v>
      </c>
      <c r="N1363" s="3" t="n">
        <v>5</v>
      </c>
      <c r="O1363" s="6" t="b">
        <f aca="false">FALSE()</f>
        <v>0</v>
      </c>
      <c r="P1363" s="3"/>
      <c r="Q1363" s="5" t="n">
        <v>46272.4756944445</v>
      </c>
      <c r="R1363" s="5" t="n">
        <v>46272.5229166667</v>
      </c>
      <c r="S1363" s="3" t="s">
        <v>1699</v>
      </c>
      <c r="T1363" s="7" t="n">
        <f aca="false">ROUND(MIN(IF(OR(O1363=TRUE(),O1363="TRUE",O1363="Yes"),59,100),(I1363*Rubric!$C$2+J1363*Rubric!$C$3+K1363*Rubric!$C$4+L1363*Rubric!$C$5+M1363*Rubric!$C$6+N1363*Rubric!$C$7)/5),1)</f>
        <v>95</v>
      </c>
      <c r="U1363" s="8" t="str">
        <f aca="false">LOOKUP(T1363,Bands!$A$2:$A$6,Bands!$B$2:$B$6)</f>
        <v>Outstanding</v>
      </c>
      <c r="V1363" s="8" t="n">
        <f aca="false">IF(Q1363="","",ROUND((Q1363-B1363)*24,1))</f>
        <v>0.1</v>
      </c>
    </row>
    <row r="1364" customFormat="false" ht="15" hidden="false" customHeight="false" outlineLevel="0" collapsed="false">
      <c r="A1364" s="3" t="s">
        <v>2862</v>
      </c>
      <c r="B1364" s="5" t="n">
        <v>46272.6083333333</v>
      </c>
      <c r="C1364" s="3" t="s">
        <v>68</v>
      </c>
      <c r="D1364" s="3" t="s">
        <v>51</v>
      </c>
      <c r="E1364" s="3" t="s">
        <v>52</v>
      </c>
      <c r="F1364" s="3" t="s">
        <v>53</v>
      </c>
      <c r="G1364" s="3" t="s">
        <v>42</v>
      </c>
      <c r="H1364" s="3" t="s">
        <v>2863</v>
      </c>
      <c r="I1364" s="3" t="n">
        <v>4</v>
      </c>
      <c r="J1364" s="3" t="n">
        <v>3</v>
      </c>
      <c r="K1364" s="3" t="n">
        <v>4</v>
      </c>
      <c r="L1364" s="3" t="n">
        <v>4</v>
      </c>
      <c r="M1364" s="3" t="n">
        <v>4</v>
      </c>
      <c r="N1364" s="3" t="n">
        <v>4</v>
      </c>
      <c r="O1364" s="6" t="b">
        <f aca="false">FALSE()</f>
        <v>0</v>
      </c>
      <c r="P1364" s="3"/>
      <c r="Q1364" s="5" t="n">
        <v>46272.6104166667</v>
      </c>
      <c r="R1364" s="5" t="n">
        <v>46273.0875</v>
      </c>
      <c r="S1364" s="3" t="s">
        <v>1699</v>
      </c>
      <c r="T1364" s="7" t="n">
        <f aca="false">ROUND(MIN(IF(OR(O1364=TRUE(),O1364="TRUE",O1364="Yes"),59,100),(I1364*Rubric!$C$2+J1364*Rubric!$C$3+K1364*Rubric!$C$4+L1364*Rubric!$C$5+M1364*Rubric!$C$6+N1364*Rubric!$C$7)/5),1)</f>
        <v>75</v>
      </c>
      <c r="U1364" s="8" t="str">
        <f aca="false">LOOKUP(T1364,Bands!$A$2:$A$6,Bands!$B$2:$B$6)</f>
        <v>Meets Expectations</v>
      </c>
      <c r="V1364" s="8" t="n">
        <f aca="false">IF(Q1364="","",ROUND((Q1364-B1364)*24,1))</f>
        <v>0.1</v>
      </c>
    </row>
    <row r="1365" customFormat="false" ht="15" hidden="false" customHeight="false" outlineLevel="0" collapsed="false">
      <c r="A1365" s="3" t="s">
        <v>2864</v>
      </c>
      <c r="B1365" s="5" t="n">
        <v>46272.3979166667</v>
      </c>
      <c r="C1365" s="3" t="s">
        <v>39</v>
      </c>
      <c r="D1365" s="3" t="s">
        <v>212</v>
      </c>
      <c r="E1365" s="3" t="s">
        <v>213</v>
      </c>
      <c r="F1365" s="3" t="s">
        <v>33</v>
      </c>
      <c r="G1365" s="3" t="s">
        <v>54</v>
      </c>
      <c r="H1365" s="3" t="s">
        <v>2865</v>
      </c>
      <c r="I1365" s="3" t="n">
        <v>3</v>
      </c>
      <c r="J1365" s="3" t="n">
        <v>3</v>
      </c>
      <c r="K1365" s="3" t="n">
        <v>1</v>
      </c>
      <c r="L1365" s="3" t="n">
        <v>4</v>
      </c>
      <c r="M1365" s="3" t="n">
        <v>3</v>
      </c>
      <c r="N1365" s="3" t="n">
        <v>4</v>
      </c>
      <c r="O1365" s="6" t="b">
        <f aca="false">FALSE()</f>
        <v>0</v>
      </c>
      <c r="P1365" s="3" t="s">
        <v>49</v>
      </c>
      <c r="Q1365" s="5" t="n">
        <v>46272.4</v>
      </c>
      <c r="R1365" s="5" t="n">
        <v>46272.7555555556</v>
      </c>
      <c r="S1365" s="3" t="s">
        <v>1699</v>
      </c>
      <c r="T1365" s="7" t="n">
        <f aca="false">ROUND(MIN(IF(OR(O1365=TRUE(),O1365="TRUE",O1365="Yes"),59,100),(I1365*Rubric!$C$2+J1365*Rubric!$C$3+K1365*Rubric!$C$4+L1365*Rubric!$C$5+M1365*Rubric!$C$6+N1365*Rubric!$C$7)/5),1)</f>
        <v>58</v>
      </c>
      <c r="U1365" s="8" t="str">
        <f aca="false">LOOKUP(T1365,Bands!$A$2:$A$6,Bands!$B$2:$B$6)</f>
        <v>Critical</v>
      </c>
      <c r="V1365" s="8" t="n">
        <f aca="false">IF(Q1365="","",ROUND((Q1365-B1365)*24,1))</f>
        <v>0</v>
      </c>
    </row>
    <row r="1366" customFormat="false" ht="15" hidden="false" customHeight="false" outlineLevel="0" collapsed="false">
      <c r="A1366" s="3" t="s">
        <v>2866</v>
      </c>
      <c r="B1366" s="5" t="n">
        <v>46272.4701388889</v>
      </c>
      <c r="C1366" s="3" t="s">
        <v>68</v>
      </c>
      <c r="D1366" s="3" t="s">
        <v>100</v>
      </c>
      <c r="E1366" s="3" t="s">
        <v>101</v>
      </c>
      <c r="F1366" s="3" t="s">
        <v>33</v>
      </c>
      <c r="G1366" s="3" t="s">
        <v>54</v>
      </c>
      <c r="H1366" s="3" t="s">
        <v>2867</v>
      </c>
      <c r="I1366" s="3" t="n">
        <v>5</v>
      </c>
      <c r="J1366" s="3" t="n">
        <v>5</v>
      </c>
      <c r="K1366" s="3" t="n">
        <v>5</v>
      </c>
      <c r="L1366" s="3" t="n">
        <v>5</v>
      </c>
      <c r="M1366" s="3" t="n">
        <v>3</v>
      </c>
      <c r="N1366" s="3" t="n">
        <v>5</v>
      </c>
      <c r="O1366" s="6" t="b">
        <f aca="false">FALSE()</f>
        <v>0</v>
      </c>
      <c r="P1366" s="3"/>
      <c r="Q1366" s="5" t="n">
        <v>46272.4715277778</v>
      </c>
      <c r="R1366" s="5" t="n">
        <v>46272.8027777778</v>
      </c>
      <c r="S1366" s="3" t="s">
        <v>1699</v>
      </c>
      <c r="T1366" s="7" t="n">
        <f aca="false">ROUND(MIN(IF(OR(O1366=TRUE(),O1366="TRUE",O1366="Yes"),59,100),(I1366*Rubric!$C$2+J1366*Rubric!$C$3+K1366*Rubric!$C$4+L1366*Rubric!$C$5+M1366*Rubric!$C$6+N1366*Rubric!$C$7)/5),1)</f>
        <v>96</v>
      </c>
      <c r="U1366" s="8" t="str">
        <f aca="false">LOOKUP(T1366,Bands!$A$2:$A$6,Bands!$B$2:$B$6)</f>
        <v>Outstanding</v>
      </c>
      <c r="V1366" s="8" t="n">
        <f aca="false">IF(Q1366="","",ROUND((Q1366-B1366)*24,1))</f>
        <v>0</v>
      </c>
    </row>
    <row r="1367" customFormat="false" ht="15" hidden="false" customHeight="false" outlineLevel="0" collapsed="false">
      <c r="A1367" s="3" t="s">
        <v>2868</v>
      </c>
      <c r="B1367" s="5" t="n">
        <v>46272.4319444444</v>
      </c>
      <c r="C1367" s="3" t="s">
        <v>68</v>
      </c>
      <c r="D1367" s="3" t="s">
        <v>222</v>
      </c>
      <c r="E1367" s="3" t="s">
        <v>223</v>
      </c>
      <c r="F1367" s="3" t="s">
        <v>53</v>
      </c>
      <c r="G1367" s="3" t="s">
        <v>54</v>
      </c>
      <c r="H1367" s="3" t="s">
        <v>2869</v>
      </c>
      <c r="I1367" s="3" t="n">
        <v>5</v>
      </c>
      <c r="J1367" s="3" t="n">
        <v>5</v>
      </c>
      <c r="K1367" s="3" t="n">
        <v>4</v>
      </c>
      <c r="L1367" s="3" t="n">
        <v>4</v>
      </c>
      <c r="M1367" s="3" t="n">
        <v>5</v>
      </c>
      <c r="N1367" s="3" t="n">
        <v>3</v>
      </c>
      <c r="O1367" s="6" t="b">
        <f aca="false">FALSE()</f>
        <v>0</v>
      </c>
      <c r="P1367" s="3"/>
      <c r="Q1367" s="5" t="n">
        <v>46272.4340277778</v>
      </c>
      <c r="R1367" s="5" t="n">
        <v>46272.4597222222</v>
      </c>
      <c r="S1367" s="3" t="s">
        <v>1699</v>
      </c>
      <c r="T1367" s="7" t="n">
        <f aca="false">ROUND(MIN(IF(OR(O1367=TRUE(),O1367="TRUE",O1367="Yes"),59,100),(I1367*Rubric!$C$2+J1367*Rubric!$C$3+K1367*Rubric!$C$4+L1367*Rubric!$C$5+M1367*Rubric!$C$6+N1367*Rubric!$C$7)/5),1)</f>
        <v>87</v>
      </c>
      <c r="U1367" s="8" t="str">
        <f aca="false">LOOKUP(T1367,Bands!$A$2:$A$6,Bands!$B$2:$B$6)</f>
        <v>Solid Performance</v>
      </c>
      <c r="V1367" s="8" t="n">
        <f aca="false">IF(Q1367="","",ROUND((Q1367-B1367)*24,1))</f>
        <v>0.1</v>
      </c>
    </row>
    <row r="1368" customFormat="false" ht="15" hidden="false" customHeight="false" outlineLevel="0" collapsed="false">
      <c r="A1368" s="3" t="s">
        <v>2870</v>
      </c>
      <c r="B1368" s="5" t="n">
        <v>46272.6840277778</v>
      </c>
      <c r="C1368" s="3" t="s">
        <v>39</v>
      </c>
      <c r="D1368" s="3" t="s">
        <v>137</v>
      </c>
      <c r="E1368" s="3" t="s">
        <v>138</v>
      </c>
      <c r="F1368" s="3" t="s">
        <v>65</v>
      </c>
      <c r="G1368" s="3" t="s">
        <v>42</v>
      </c>
      <c r="H1368" s="3" t="s">
        <v>2871</v>
      </c>
      <c r="I1368" s="3" t="n">
        <v>5</v>
      </c>
      <c r="J1368" s="3" t="n">
        <v>4</v>
      </c>
      <c r="K1368" s="3" t="n">
        <v>5</v>
      </c>
      <c r="L1368" s="3" t="n">
        <v>4</v>
      </c>
      <c r="M1368" s="3" t="n">
        <v>4</v>
      </c>
      <c r="N1368" s="3" t="n">
        <v>5</v>
      </c>
      <c r="O1368" s="6" t="b">
        <f aca="false">FALSE()</f>
        <v>0</v>
      </c>
      <c r="P1368" s="3"/>
      <c r="Q1368" s="5" t="n">
        <v>46272.6854166667</v>
      </c>
      <c r="R1368" s="5" t="n">
        <v>46272.8979166667</v>
      </c>
      <c r="S1368" s="3" t="s">
        <v>1699</v>
      </c>
      <c r="T1368" s="7" t="n">
        <f aca="false">ROUND(MIN(IF(OR(O1368=TRUE(),O1368="TRUE",O1368="Yes"),59,100),(I1368*Rubric!$C$2+J1368*Rubric!$C$3+K1368*Rubric!$C$4+L1368*Rubric!$C$5+M1368*Rubric!$C$6+N1368*Rubric!$C$7)/5),1)</f>
        <v>90</v>
      </c>
      <c r="U1368" s="8" t="str">
        <f aca="false">LOOKUP(T1368,Bands!$A$2:$A$6,Bands!$B$2:$B$6)</f>
        <v>Outstanding</v>
      </c>
      <c r="V1368" s="8" t="n">
        <f aca="false">IF(Q1368="","",ROUND((Q1368-B1368)*24,1))</f>
        <v>0</v>
      </c>
    </row>
    <row r="1369" customFormat="false" ht="15" hidden="false" customHeight="false" outlineLevel="0" collapsed="false">
      <c r="A1369" s="3" t="s">
        <v>2872</v>
      </c>
      <c r="B1369" s="5" t="n">
        <v>46272.3881944444</v>
      </c>
      <c r="C1369" s="3" t="s">
        <v>39</v>
      </c>
      <c r="D1369" s="3" t="s">
        <v>251</v>
      </c>
      <c r="E1369" s="3" t="s">
        <v>252</v>
      </c>
      <c r="F1369" s="3" t="s">
        <v>53</v>
      </c>
      <c r="G1369" s="3" t="s">
        <v>54</v>
      </c>
      <c r="H1369" s="3" t="s">
        <v>2873</v>
      </c>
      <c r="I1369" s="3" t="n">
        <v>4</v>
      </c>
      <c r="J1369" s="3" t="n">
        <v>4</v>
      </c>
      <c r="K1369" s="3" t="n">
        <v>4</v>
      </c>
      <c r="L1369" s="3" t="n">
        <v>4</v>
      </c>
      <c r="M1369" s="3" t="n">
        <v>4</v>
      </c>
      <c r="N1369" s="3" t="n">
        <v>4</v>
      </c>
      <c r="O1369" s="6" t="b">
        <f aca="false">FALSE()</f>
        <v>0</v>
      </c>
      <c r="P1369" s="3"/>
      <c r="Q1369" s="5" t="n">
        <v>46272.3888888889</v>
      </c>
      <c r="R1369" s="5" t="n">
        <v>46272.4215277778</v>
      </c>
      <c r="S1369" s="3" t="s">
        <v>1699</v>
      </c>
      <c r="T1369" s="7" t="n">
        <f aca="false">ROUND(MIN(IF(OR(O1369=TRUE(),O1369="TRUE",O1369="Yes"),59,100),(I1369*Rubric!$C$2+J1369*Rubric!$C$3+K1369*Rubric!$C$4+L1369*Rubric!$C$5+M1369*Rubric!$C$6+N1369*Rubric!$C$7)/5),1)</f>
        <v>80</v>
      </c>
      <c r="U1369" s="8" t="str">
        <f aca="false">LOOKUP(T1369,Bands!$A$2:$A$6,Bands!$B$2:$B$6)</f>
        <v>Solid Performance</v>
      </c>
      <c r="V1369" s="8" t="n">
        <f aca="false">IF(Q1369="","",ROUND((Q1369-B1369)*24,1))</f>
        <v>0</v>
      </c>
    </row>
    <row r="1370" customFormat="false" ht="15" hidden="false" customHeight="false" outlineLevel="0" collapsed="false">
      <c r="A1370" s="3" t="s">
        <v>2874</v>
      </c>
      <c r="B1370" s="5" t="n">
        <v>46273.625</v>
      </c>
      <c r="C1370" s="3" t="s">
        <v>39</v>
      </c>
      <c r="D1370" s="3" t="s">
        <v>251</v>
      </c>
      <c r="E1370" s="3" t="s">
        <v>252</v>
      </c>
      <c r="F1370" s="3" t="s">
        <v>53</v>
      </c>
      <c r="G1370" s="3" t="s">
        <v>34</v>
      </c>
      <c r="H1370" s="3" t="s">
        <v>2875</v>
      </c>
      <c r="I1370" s="3" t="n">
        <v>5</v>
      </c>
      <c r="J1370" s="3" t="n">
        <v>4</v>
      </c>
      <c r="K1370" s="3" t="n">
        <v>5</v>
      </c>
      <c r="L1370" s="3" t="n">
        <v>5</v>
      </c>
      <c r="M1370" s="3" t="n">
        <v>4</v>
      </c>
      <c r="N1370" s="3" t="n">
        <v>4</v>
      </c>
      <c r="O1370" s="6" t="b">
        <f aca="false">FALSE()</f>
        <v>0</v>
      </c>
      <c r="P1370" s="3"/>
      <c r="Q1370" s="5" t="n">
        <v>46273.6263888889</v>
      </c>
      <c r="R1370" s="5" t="n">
        <v>46273.6993055556</v>
      </c>
      <c r="S1370" s="3" t="s">
        <v>1699</v>
      </c>
      <c r="T1370" s="7" t="n">
        <f aca="false">ROUND(MIN(IF(OR(O1370=TRUE(),O1370="TRUE",O1370="Yes"),59,100),(I1370*Rubric!$C$2+J1370*Rubric!$C$3+K1370*Rubric!$C$4+L1370*Rubric!$C$5+M1370*Rubric!$C$6+N1370*Rubric!$C$7)/5),1)</f>
        <v>90</v>
      </c>
      <c r="U1370" s="8" t="str">
        <f aca="false">LOOKUP(T1370,Bands!$A$2:$A$6,Bands!$B$2:$B$6)</f>
        <v>Outstanding</v>
      </c>
      <c r="V1370" s="8" t="n">
        <f aca="false">IF(Q1370="","",ROUND((Q1370-B1370)*24,1))</f>
        <v>0</v>
      </c>
    </row>
    <row r="1371" customFormat="false" ht="15" hidden="false" customHeight="false" outlineLevel="0" collapsed="false">
      <c r="A1371" s="3" t="s">
        <v>2876</v>
      </c>
      <c r="B1371" s="5" t="n">
        <v>46273.6451388889</v>
      </c>
      <c r="C1371" s="3" t="s">
        <v>68</v>
      </c>
      <c r="D1371" s="3" t="s">
        <v>119</v>
      </c>
      <c r="E1371" s="3" t="s">
        <v>120</v>
      </c>
      <c r="F1371" s="3" t="s">
        <v>33</v>
      </c>
      <c r="G1371" s="3" t="s">
        <v>42</v>
      </c>
      <c r="H1371" s="3" t="s">
        <v>2877</v>
      </c>
      <c r="I1371" s="3" t="n">
        <v>4</v>
      </c>
      <c r="J1371" s="3" t="n">
        <v>3</v>
      </c>
      <c r="K1371" s="3" t="n">
        <v>4</v>
      </c>
      <c r="L1371" s="3" t="n">
        <v>4</v>
      </c>
      <c r="M1371" s="3" t="n">
        <v>4</v>
      </c>
      <c r="N1371" s="3" t="n">
        <v>0</v>
      </c>
      <c r="O1371" s="6" t="b">
        <f aca="false">TRUE()</f>
        <v>1</v>
      </c>
      <c r="P1371" s="3" t="s">
        <v>36</v>
      </c>
      <c r="Q1371" s="5" t="n">
        <v>46273.6465277778</v>
      </c>
      <c r="R1371" s="5" t="n">
        <v>46273.8590277778</v>
      </c>
      <c r="S1371" s="3" t="s">
        <v>1699</v>
      </c>
      <c r="T1371" s="7" t="n">
        <f aca="false">ROUND(MIN(IF(OR(O1371=TRUE(),O1371="TRUE",O1371="Yes"),59,100),(I1371*Rubric!$C$2+J1371*Rubric!$C$3+K1371*Rubric!$C$4+L1371*Rubric!$C$5+M1371*Rubric!$C$6+N1371*Rubric!$C$7)/5),1)</f>
        <v>59</v>
      </c>
      <c r="U1371" s="8" t="str">
        <f aca="false">LOOKUP(T1371,Bands!$A$2:$A$6,Bands!$B$2:$B$6)</f>
        <v>Critical</v>
      </c>
      <c r="V1371" s="8" t="n">
        <f aca="false">IF(Q1371="","",ROUND((Q1371-B1371)*24,1))</f>
        <v>0</v>
      </c>
    </row>
    <row r="1372" customFormat="false" ht="15" hidden="false" customHeight="false" outlineLevel="0" collapsed="false">
      <c r="A1372" s="3" t="s">
        <v>2878</v>
      </c>
      <c r="B1372" s="5" t="n">
        <v>46273.64375</v>
      </c>
      <c r="C1372" s="3" t="s">
        <v>39</v>
      </c>
      <c r="D1372" s="3" t="s">
        <v>238</v>
      </c>
      <c r="E1372" s="3" t="s">
        <v>239</v>
      </c>
      <c r="F1372" s="3" t="s">
        <v>33</v>
      </c>
      <c r="G1372" s="3" t="s">
        <v>54</v>
      </c>
      <c r="H1372" s="3" t="s">
        <v>2879</v>
      </c>
      <c r="I1372" s="3" t="n">
        <v>4</v>
      </c>
      <c r="J1372" s="3" t="n">
        <v>4</v>
      </c>
      <c r="K1372" s="3" t="n">
        <v>4</v>
      </c>
      <c r="L1372" s="3" t="n">
        <v>4</v>
      </c>
      <c r="M1372" s="3" t="n">
        <v>4</v>
      </c>
      <c r="N1372" s="3" t="n">
        <v>3</v>
      </c>
      <c r="O1372" s="6" t="b">
        <f aca="false">FALSE()</f>
        <v>0</v>
      </c>
      <c r="P1372" s="3"/>
      <c r="Q1372" s="5" t="n">
        <v>46273.6458333333</v>
      </c>
      <c r="R1372" s="5" t="n">
        <v>46273.6597222222</v>
      </c>
      <c r="S1372" s="3" t="s">
        <v>1699</v>
      </c>
      <c r="T1372" s="7" t="n">
        <f aca="false">ROUND(MIN(IF(OR(O1372=TRUE(),O1372="TRUE",O1372="Yes"),59,100),(I1372*Rubric!$C$2+J1372*Rubric!$C$3+K1372*Rubric!$C$4+L1372*Rubric!$C$5+M1372*Rubric!$C$6+N1372*Rubric!$C$7)/5),1)</f>
        <v>77</v>
      </c>
      <c r="U1372" s="8" t="str">
        <f aca="false">LOOKUP(T1372,Bands!$A$2:$A$6,Bands!$B$2:$B$6)</f>
        <v>Meets Expectations</v>
      </c>
      <c r="V1372" s="8" t="n">
        <f aca="false">IF(Q1372="","",ROUND((Q1372-B1372)*24,1))</f>
        <v>0</v>
      </c>
    </row>
    <row r="1373" customFormat="false" ht="15" hidden="false" customHeight="false" outlineLevel="0" collapsed="false">
      <c r="A1373" s="3" t="s">
        <v>2880</v>
      </c>
      <c r="B1373" s="5" t="n">
        <v>46273.5041666667</v>
      </c>
      <c r="C1373" s="3" t="s">
        <v>68</v>
      </c>
      <c r="D1373" s="3" t="s">
        <v>212</v>
      </c>
      <c r="E1373" s="3" t="s">
        <v>213</v>
      </c>
      <c r="F1373" s="3" t="s">
        <v>33</v>
      </c>
      <c r="G1373" s="3" t="s">
        <v>54</v>
      </c>
      <c r="H1373" s="3" t="s">
        <v>2881</v>
      </c>
      <c r="I1373" s="3" t="n">
        <v>3</v>
      </c>
      <c r="J1373" s="3" t="n">
        <v>3</v>
      </c>
      <c r="K1373" s="3" t="n">
        <v>3</v>
      </c>
      <c r="L1373" s="3" t="n">
        <v>4</v>
      </c>
      <c r="M1373" s="3" t="n">
        <v>3</v>
      </c>
      <c r="N1373" s="3" t="n">
        <v>3</v>
      </c>
      <c r="O1373" s="6" t="b">
        <f aca="false">FALSE()</f>
        <v>0</v>
      </c>
      <c r="P1373" s="3"/>
      <c r="Q1373" s="5" t="n">
        <v>46273.5055555556</v>
      </c>
      <c r="R1373" s="5" t="n">
        <v>46273.575</v>
      </c>
      <c r="S1373" s="3" t="s">
        <v>1699</v>
      </c>
      <c r="T1373" s="7" t="n">
        <f aca="false">ROUND(MIN(IF(OR(O1373=TRUE(),O1373="TRUE",O1373="Yes"),59,100),(I1373*Rubric!$C$2+J1373*Rubric!$C$3+K1373*Rubric!$C$4+L1373*Rubric!$C$5+M1373*Rubric!$C$6+N1373*Rubric!$C$7)/5),1)</f>
        <v>63</v>
      </c>
      <c r="U1373" s="8" t="str">
        <f aca="false">LOOKUP(T1373,Bands!$A$2:$A$6,Bands!$B$2:$B$6)</f>
        <v>Needs Improvement</v>
      </c>
      <c r="V1373" s="8" t="n">
        <f aca="false">IF(Q1373="","",ROUND((Q1373-B1373)*24,1))</f>
        <v>0</v>
      </c>
    </row>
    <row r="1374" customFormat="false" ht="15" hidden="false" customHeight="false" outlineLevel="0" collapsed="false">
      <c r="A1374" s="3" t="s">
        <v>2882</v>
      </c>
      <c r="B1374" s="5" t="n">
        <v>46273.5</v>
      </c>
      <c r="C1374" s="3" t="s">
        <v>30</v>
      </c>
      <c r="D1374" s="3" t="s">
        <v>151</v>
      </c>
      <c r="E1374" s="3" t="s">
        <v>152</v>
      </c>
      <c r="F1374" s="3" t="s">
        <v>33</v>
      </c>
      <c r="G1374" s="3" t="s">
        <v>42</v>
      </c>
      <c r="H1374" s="3" t="s">
        <v>2883</v>
      </c>
      <c r="I1374" s="3" t="n">
        <v>4</v>
      </c>
      <c r="J1374" s="3" t="n">
        <v>4</v>
      </c>
      <c r="K1374" s="3" t="n">
        <v>5</v>
      </c>
      <c r="L1374" s="3" t="n">
        <v>4</v>
      </c>
      <c r="M1374" s="3" t="n">
        <v>5</v>
      </c>
      <c r="N1374" s="3" t="n">
        <v>4</v>
      </c>
      <c r="O1374" s="6" t="b">
        <f aca="false">FALSE()</f>
        <v>0</v>
      </c>
      <c r="P1374" s="3"/>
      <c r="Q1374" s="5" t="n">
        <v>46273.5013888889</v>
      </c>
      <c r="R1374" s="5" t="n">
        <v>46273.6159722222</v>
      </c>
      <c r="S1374" s="3" t="s">
        <v>1699</v>
      </c>
      <c r="T1374" s="7" t="n">
        <f aca="false">ROUND(MIN(IF(OR(O1374=TRUE(),O1374="TRUE",O1374="Yes"),59,100),(I1374*Rubric!$C$2+J1374*Rubric!$C$3+K1374*Rubric!$C$4+L1374*Rubric!$C$5+M1374*Rubric!$C$6+N1374*Rubric!$C$7)/5),1)</f>
        <v>86</v>
      </c>
      <c r="U1374" s="8" t="str">
        <f aca="false">LOOKUP(T1374,Bands!$A$2:$A$6,Bands!$B$2:$B$6)</f>
        <v>Solid Performance</v>
      </c>
      <c r="V1374" s="8" t="n">
        <f aca="false">IF(Q1374="","",ROUND((Q1374-B1374)*24,1))</f>
        <v>0</v>
      </c>
    </row>
    <row r="1375" customFormat="false" ht="15" hidden="false" customHeight="false" outlineLevel="0" collapsed="false">
      <c r="A1375" s="3" t="s">
        <v>2884</v>
      </c>
      <c r="B1375" s="5" t="n">
        <v>46273.6770833333</v>
      </c>
      <c r="C1375" s="3" t="s">
        <v>39</v>
      </c>
      <c r="D1375" s="3" t="s">
        <v>307</v>
      </c>
      <c r="E1375" s="3" t="s">
        <v>308</v>
      </c>
      <c r="F1375" s="3" t="s">
        <v>33</v>
      </c>
      <c r="G1375" s="3" t="s">
        <v>42</v>
      </c>
      <c r="H1375" s="3" t="s">
        <v>2885</v>
      </c>
      <c r="I1375" s="3" t="n">
        <v>4</v>
      </c>
      <c r="J1375" s="3" t="n">
        <v>5</v>
      </c>
      <c r="K1375" s="3" t="n">
        <v>5</v>
      </c>
      <c r="L1375" s="3" t="n">
        <v>5</v>
      </c>
      <c r="M1375" s="3" t="n">
        <v>4</v>
      </c>
      <c r="N1375" s="3" t="n">
        <v>4</v>
      </c>
      <c r="O1375" s="6" t="b">
        <f aca="false">FALSE()</f>
        <v>0</v>
      </c>
      <c r="P1375" s="3"/>
      <c r="Q1375" s="5" t="n">
        <v>46273.6791666667</v>
      </c>
      <c r="R1375" s="5" t="n">
        <v>46273.7375</v>
      </c>
      <c r="S1375" s="3" t="s">
        <v>1699</v>
      </c>
      <c r="T1375" s="7" t="n">
        <f aca="false">ROUND(MIN(IF(OR(O1375=TRUE(),O1375="TRUE",O1375="Yes"),59,100),(I1375*Rubric!$C$2+J1375*Rubric!$C$3+K1375*Rubric!$C$4+L1375*Rubric!$C$5+M1375*Rubric!$C$6+N1375*Rubric!$C$7)/5),1)</f>
        <v>92</v>
      </c>
      <c r="U1375" s="8" t="str">
        <f aca="false">LOOKUP(T1375,Bands!$A$2:$A$6,Bands!$B$2:$B$6)</f>
        <v>Outstanding</v>
      </c>
      <c r="V1375" s="8" t="n">
        <f aca="false">IF(Q1375="","",ROUND((Q1375-B1375)*24,1))</f>
        <v>0.1</v>
      </c>
    </row>
    <row r="1376" customFormat="false" ht="15" hidden="false" customHeight="false" outlineLevel="0" collapsed="false">
      <c r="A1376" s="3" t="s">
        <v>2886</v>
      </c>
      <c r="B1376" s="5" t="n">
        <v>46273.4305555556</v>
      </c>
      <c r="C1376" s="3" t="s">
        <v>30</v>
      </c>
      <c r="D1376" s="3" t="s">
        <v>40</v>
      </c>
      <c r="E1376" s="3" t="s">
        <v>41</v>
      </c>
      <c r="F1376" s="3" t="s">
        <v>33</v>
      </c>
      <c r="G1376" s="3" t="s">
        <v>54</v>
      </c>
      <c r="H1376" s="3" t="s">
        <v>2887</v>
      </c>
      <c r="I1376" s="3" t="n">
        <v>5</v>
      </c>
      <c r="J1376" s="3" t="n">
        <v>3</v>
      </c>
      <c r="K1376" s="3" t="n">
        <v>3</v>
      </c>
      <c r="L1376" s="3" t="n">
        <v>4</v>
      </c>
      <c r="M1376" s="3" t="n">
        <v>4</v>
      </c>
      <c r="N1376" s="3" t="n">
        <v>5</v>
      </c>
      <c r="O1376" s="6" t="b">
        <f aca="false">FALSE()</f>
        <v>0</v>
      </c>
      <c r="P1376" s="3"/>
      <c r="Q1376" s="5" t="n">
        <v>46273.43125</v>
      </c>
      <c r="R1376" s="5" t="n">
        <v>46273.6326388889</v>
      </c>
      <c r="S1376" s="3" t="s">
        <v>1699</v>
      </c>
      <c r="T1376" s="7" t="n">
        <f aca="false">ROUND(MIN(IF(OR(O1376=TRUE(),O1376="TRUE",O1376="Yes"),59,100),(I1376*Rubric!$C$2+J1376*Rubric!$C$3+K1376*Rubric!$C$4+L1376*Rubric!$C$5+M1376*Rubric!$C$6+N1376*Rubric!$C$7)/5),1)</f>
        <v>77</v>
      </c>
      <c r="U1376" s="8" t="str">
        <f aca="false">LOOKUP(T1376,Bands!$A$2:$A$6,Bands!$B$2:$B$6)</f>
        <v>Meets Expectations</v>
      </c>
      <c r="V1376" s="8" t="n">
        <f aca="false">IF(Q1376="","",ROUND((Q1376-B1376)*24,1))</f>
        <v>0</v>
      </c>
    </row>
    <row r="1377" customFormat="false" ht="15" hidden="false" customHeight="false" outlineLevel="0" collapsed="false">
      <c r="A1377" s="3" t="s">
        <v>2888</v>
      </c>
      <c r="B1377" s="5" t="n">
        <v>46273.6881944445</v>
      </c>
      <c r="C1377" s="3" t="s">
        <v>30</v>
      </c>
      <c r="D1377" s="3" t="s">
        <v>96</v>
      </c>
      <c r="E1377" s="3" t="s">
        <v>97</v>
      </c>
      <c r="F1377" s="3" t="s">
        <v>33</v>
      </c>
      <c r="G1377" s="3" t="s">
        <v>42</v>
      </c>
      <c r="H1377" s="3" t="s">
        <v>2889</v>
      </c>
      <c r="I1377" s="3" t="n">
        <v>4</v>
      </c>
      <c r="J1377" s="3" t="n">
        <v>3</v>
      </c>
      <c r="K1377" s="3" t="n">
        <v>4</v>
      </c>
      <c r="L1377" s="3" t="n">
        <v>5</v>
      </c>
      <c r="M1377" s="3" t="n">
        <v>5</v>
      </c>
      <c r="N1377" s="3" t="n">
        <v>5</v>
      </c>
      <c r="O1377" s="6" t="b">
        <f aca="false">FALSE()</f>
        <v>0</v>
      </c>
      <c r="P1377" s="3"/>
      <c r="Q1377" s="5" t="n">
        <v>46273.6902777778</v>
      </c>
      <c r="R1377" s="5" t="n">
        <v>46273.8631944444</v>
      </c>
      <c r="S1377" s="3" t="s">
        <v>1699</v>
      </c>
      <c r="T1377" s="7" t="n">
        <f aca="false">ROUND(MIN(IF(OR(O1377=TRUE(),O1377="TRUE",O1377="Yes"),59,100),(I1377*Rubric!$C$2+J1377*Rubric!$C$3+K1377*Rubric!$C$4+L1377*Rubric!$C$5+M1377*Rubric!$C$6+N1377*Rubric!$C$7)/5),1)</f>
        <v>83</v>
      </c>
      <c r="U1377" s="8" t="str">
        <f aca="false">LOOKUP(T1377,Bands!$A$2:$A$6,Bands!$B$2:$B$6)</f>
        <v>Solid Performance</v>
      </c>
      <c r="V1377" s="8" t="n">
        <f aca="false">IF(Q1377="","",ROUND((Q1377-B1377)*24,1))</f>
        <v>0</v>
      </c>
    </row>
    <row r="1378" customFormat="false" ht="15" hidden="false" customHeight="false" outlineLevel="0" collapsed="false">
      <c r="A1378" s="3" t="s">
        <v>2890</v>
      </c>
      <c r="B1378" s="5" t="n">
        <v>46273.7013888889</v>
      </c>
      <c r="C1378" s="3" t="s">
        <v>30</v>
      </c>
      <c r="D1378" s="3" t="s">
        <v>202</v>
      </c>
      <c r="E1378" s="3" t="s">
        <v>203</v>
      </c>
      <c r="F1378" s="3" t="s">
        <v>53</v>
      </c>
      <c r="G1378" s="3" t="s">
        <v>54</v>
      </c>
      <c r="H1378" s="3" t="s">
        <v>2891</v>
      </c>
      <c r="I1378" s="3" t="n">
        <v>4</v>
      </c>
      <c r="J1378" s="3" t="n">
        <v>4</v>
      </c>
      <c r="K1378" s="3" t="n">
        <v>4</v>
      </c>
      <c r="L1378" s="3" t="n">
        <v>3</v>
      </c>
      <c r="M1378" s="3" t="n">
        <v>3</v>
      </c>
      <c r="N1378" s="3" t="n">
        <v>3</v>
      </c>
      <c r="O1378" s="6" t="b">
        <f aca="false">FALSE()</f>
        <v>0</v>
      </c>
      <c r="P1378" s="3"/>
      <c r="Q1378" s="5" t="n">
        <v>46273.7027777778</v>
      </c>
      <c r="R1378" s="5" t="n">
        <v>46273.7097222222</v>
      </c>
      <c r="S1378" s="3" t="s">
        <v>1699</v>
      </c>
      <c r="T1378" s="7" t="n">
        <f aca="false">ROUND(MIN(IF(OR(O1378=TRUE(),O1378="TRUE",O1378="Yes"),59,100),(I1378*Rubric!$C$2+J1378*Rubric!$C$3+K1378*Rubric!$C$4+L1378*Rubric!$C$5+M1378*Rubric!$C$6+N1378*Rubric!$C$7)/5),1)</f>
        <v>72</v>
      </c>
      <c r="U1378" s="8" t="str">
        <f aca="false">LOOKUP(T1378,Bands!$A$2:$A$6,Bands!$B$2:$B$6)</f>
        <v>Meets Expectations</v>
      </c>
      <c r="V1378" s="8" t="n">
        <f aca="false">IF(Q1378="","",ROUND((Q1378-B1378)*24,1))</f>
        <v>0</v>
      </c>
    </row>
    <row r="1379" customFormat="false" ht="15" hidden="false" customHeight="false" outlineLevel="0" collapsed="false">
      <c r="A1379" s="3" t="s">
        <v>2892</v>
      </c>
      <c r="B1379" s="5" t="n">
        <v>46273.675</v>
      </c>
      <c r="C1379" s="3" t="s">
        <v>39</v>
      </c>
      <c r="D1379" s="3" t="s">
        <v>133</v>
      </c>
      <c r="E1379" s="3" t="s">
        <v>134</v>
      </c>
      <c r="F1379" s="3" t="s">
        <v>33</v>
      </c>
      <c r="G1379" s="3" t="s">
        <v>54</v>
      </c>
      <c r="H1379" s="3" t="s">
        <v>2893</v>
      </c>
      <c r="I1379" s="3" t="n">
        <v>5</v>
      </c>
      <c r="J1379" s="3" t="n">
        <v>4</v>
      </c>
      <c r="K1379" s="3" t="n">
        <v>4</v>
      </c>
      <c r="L1379" s="3" t="n">
        <v>4</v>
      </c>
      <c r="M1379" s="3" t="n">
        <v>5</v>
      </c>
      <c r="N1379" s="3" t="n">
        <v>4</v>
      </c>
      <c r="O1379" s="6" t="b">
        <f aca="false">FALSE()</f>
        <v>0</v>
      </c>
      <c r="P1379" s="3"/>
      <c r="Q1379" s="5" t="n">
        <v>46273.6770833333</v>
      </c>
      <c r="R1379" s="5" t="n">
        <v>46273.7048611111</v>
      </c>
      <c r="S1379" s="3" t="s">
        <v>1699</v>
      </c>
      <c r="T1379" s="7" t="n">
        <f aca="false">ROUND(MIN(IF(OR(O1379=TRUE(),O1379="TRUE",O1379="Yes"),59,100),(I1379*Rubric!$C$2+J1379*Rubric!$C$3+K1379*Rubric!$C$4+L1379*Rubric!$C$5+M1379*Rubric!$C$6+N1379*Rubric!$C$7)/5),1)</f>
        <v>85</v>
      </c>
      <c r="U1379" s="8" t="str">
        <f aca="false">LOOKUP(T1379,Bands!$A$2:$A$6,Bands!$B$2:$B$6)</f>
        <v>Solid Performance</v>
      </c>
      <c r="V1379" s="8" t="n">
        <f aca="false">IF(Q1379="","",ROUND((Q1379-B1379)*24,1))</f>
        <v>0</v>
      </c>
    </row>
    <row r="1380" customFormat="false" ht="15" hidden="false" customHeight="false" outlineLevel="0" collapsed="false">
      <c r="A1380" s="3" t="s">
        <v>2894</v>
      </c>
      <c r="B1380" s="5" t="n">
        <v>46273.6333333333</v>
      </c>
      <c r="C1380" s="3" t="s">
        <v>68</v>
      </c>
      <c r="D1380" s="3" t="s">
        <v>31</v>
      </c>
      <c r="E1380" s="3" t="s">
        <v>32</v>
      </c>
      <c r="F1380" s="3" t="s">
        <v>33</v>
      </c>
      <c r="G1380" s="3" t="s">
        <v>42</v>
      </c>
      <c r="H1380" s="3" t="s">
        <v>2895</v>
      </c>
      <c r="I1380" s="3" t="n">
        <v>5</v>
      </c>
      <c r="J1380" s="3" t="n">
        <v>4</v>
      </c>
      <c r="K1380" s="3" t="n">
        <v>4</v>
      </c>
      <c r="L1380" s="3" t="n">
        <v>4</v>
      </c>
      <c r="M1380" s="3" t="n">
        <v>4</v>
      </c>
      <c r="N1380" s="3" t="n">
        <v>4</v>
      </c>
      <c r="O1380" s="6" t="b">
        <f aca="false">FALSE()</f>
        <v>0</v>
      </c>
      <c r="P1380" s="3"/>
      <c r="Q1380" s="5" t="n">
        <v>46273.6347222222</v>
      </c>
      <c r="R1380" s="5" t="n">
        <v>46273.7930555556</v>
      </c>
      <c r="S1380" s="3" t="s">
        <v>1699</v>
      </c>
      <c r="T1380" s="7" t="n">
        <f aca="false">ROUND(MIN(IF(OR(O1380=TRUE(),O1380="TRUE",O1380="Yes"),59,100),(I1380*Rubric!$C$2+J1380*Rubric!$C$3+K1380*Rubric!$C$4+L1380*Rubric!$C$5+M1380*Rubric!$C$6+N1380*Rubric!$C$7)/5),1)</f>
        <v>83</v>
      </c>
      <c r="U1380" s="8" t="str">
        <f aca="false">LOOKUP(T1380,Bands!$A$2:$A$6,Bands!$B$2:$B$6)</f>
        <v>Solid Performance</v>
      </c>
      <c r="V1380" s="8" t="n">
        <f aca="false">IF(Q1380="","",ROUND((Q1380-B1380)*24,1))</f>
        <v>0</v>
      </c>
    </row>
    <row r="1381" customFormat="false" ht="15" hidden="false" customHeight="false" outlineLevel="0" collapsed="false">
      <c r="A1381" s="3" t="s">
        <v>2896</v>
      </c>
      <c r="B1381" s="5" t="n">
        <v>46273.5722222222</v>
      </c>
      <c r="C1381" s="3" t="s">
        <v>39</v>
      </c>
      <c r="D1381" s="3" t="s">
        <v>77</v>
      </c>
      <c r="E1381" s="3" t="s">
        <v>78</v>
      </c>
      <c r="F1381" s="3" t="s">
        <v>33</v>
      </c>
      <c r="G1381" s="3" t="s">
        <v>42</v>
      </c>
      <c r="H1381" s="3" t="s">
        <v>2897</v>
      </c>
      <c r="I1381" s="3" t="n">
        <v>5</v>
      </c>
      <c r="J1381" s="3" t="n">
        <v>4</v>
      </c>
      <c r="K1381" s="3" t="n">
        <v>4</v>
      </c>
      <c r="L1381" s="3" t="n">
        <v>5</v>
      </c>
      <c r="M1381" s="3" t="n">
        <v>5</v>
      </c>
      <c r="N1381" s="3" t="n">
        <v>4</v>
      </c>
      <c r="O1381" s="6" t="b">
        <f aca="false">FALSE()</f>
        <v>0</v>
      </c>
      <c r="P1381" s="3"/>
      <c r="Q1381" s="5" t="n">
        <v>46273.5743055556</v>
      </c>
      <c r="R1381" s="5" t="n">
        <v>46273.8847222222</v>
      </c>
      <c r="S1381" s="3" t="s">
        <v>1699</v>
      </c>
      <c r="T1381" s="7" t="n">
        <f aca="false">ROUND(MIN(IF(OR(O1381=TRUE(),O1381="TRUE",O1381="Yes"),59,100),(I1381*Rubric!$C$2+J1381*Rubric!$C$3+K1381*Rubric!$C$4+L1381*Rubric!$C$5+M1381*Rubric!$C$6+N1381*Rubric!$C$7)/5),1)</f>
        <v>88</v>
      </c>
      <c r="U1381" s="8" t="str">
        <f aca="false">LOOKUP(T1381,Bands!$A$2:$A$6,Bands!$B$2:$B$6)</f>
        <v>Solid Performance</v>
      </c>
      <c r="V1381" s="8" t="n">
        <f aca="false">IF(Q1381="","",ROUND((Q1381-B1381)*24,1))</f>
        <v>0.1</v>
      </c>
    </row>
    <row r="1382" customFormat="false" ht="15" hidden="false" customHeight="false" outlineLevel="0" collapsed="false">
      <c r="A1382" s="3" t="s">
        <v>2898</v>
      </c>
      <c r="B1382" s="5" t="n">
        <v>46274.3993055556</v>
      </c>
      <c r="C1382" s="3" t="s">
        <v>68</v>
      </c>
      <c r="D1382" s="3" t="s">
        <v>119</v>
      </c>
      <c r="E1382" s="3" t="s">
        <v>120</v>
      </c>
      <c r="F1382" s="3" t="s">
        <v>33</v>
      </c>
      <c r="G1382" s="3" t="s">
        <v>54</v>
      </c>
      <c r="H1382" s="3" t="s">
        <v>2899</v>
      </c>
      <c r="I1382" s="3" t="n">
        <v>4</v>
      </c>
      <c r="J1382" s="3" t="n">
        <v>3</v>
      </c>
      <c r="K1382" s="3" t="n">
        <v>4</v>
      </c>
      <c r="L1382" s="3" t="n">
        <v>4</v>
      </c>
      <c r="M1382" s="3" t="n">
        <v>4</v>
      </c>
      <c r="N1382" s="3" t="n">
        <v>4</v>
      </c>
      <c r="O1382" s="6" t="b">
        <f aca="false">FALSE()</f>
        <v>0</v>
      </c>
      <c r="P1382" s="3"/>
      <c r="Q1382" s="5" t="n">
        <v>46274.4013888889</v>
      </c>
      <c r="R1382" s="5" t="n">
        <v>46274.6291666667</v>
      </c>
      <c r="S1382" s="3" t="s">
        <v>1699</v>
      </c>
      <c r="T1382" s="7" t="n">
        <f aca="false">ROUND(MIN(IF(OR(O1382=TRUE(),O1382="TRUE",O1382="Yes"),59,100),(I1382*Rubric!$C$2+J1382*Rubric!$C$3+K1382*Rubric!$C$4+L1382*Rubric!$C$5+M1382*Rubric!$C$6+N1382*Rubric!$C$7)/5),1)</f>
        <v>75</v>
      </c>
      <c r="U1382" s="8" t="str">
        <f aca="false">LOOKUP(T1382,Bands!$A$2:$A$6,Bands!$B$2:$B$6)</f>
        <v>Meets Expectations</v>
      </c>
      <c r="V1382" s="8" t="n">
        <f aca="false">IF(Q1382="","",ROUND((Q1382-B1382)*24,1))</f>
        <v>0</v>
      </c>
    </row>
    <row r="1383" customFormat="false" ht="15" hidden="false" customHeight="false" outlineLevel="0" collapsed="false">
      <c r="A1383" s="3" t="s">
        <v>2900</v>
      </c>
      <c r="B1383" s="5" t="n">
        <v>46274.6756944444</v>
      </c>
      <c r="C1383" s="3" t="s">
        <v>30</v>
      </c>
      <c r="D1383" s="3" t="s">
        <v>51</v>
      </c>
      <c r="E1383" s="3" t="s">
        <v>52</v>
      </c>
      <c r="F1383" s="3" t="s">
        <v>53</v>
      </c>
      <c r="G1383" s="3" t="s">
        <v>34</v>
      </c>
      <c r="H1383" s="3" t="s">
        <v>2901</v>
      </c>
      <c r="I1383" s="3" t="n">
        <v>5</v>
      </c>
      <c r="J1383" s="3" t="n">
        <v>3</v>
      </c>
      <c r="K1383" s="3" t="n">
        <v>4</v>
      </c>
      <c r="L1383" s="3" t="n">
        <v>5</v>
      </c>
      <c r="M1383" s="3" t="n">
        <v>4</v>
      </c>
      <c r="N1383" s="3" t="n">
        <v>4</v>
      </c>
      <c r="O1383" s="6" t="b">
        <f aca="false">FALSE()</f>
        <v>0</v>
      </c>
      <c r="P1383" s="3"/>
      <c r="Q1383" s="5" t="n">
        <v>46274.6770833333</v>
      </c>
      <c r="R1383" s="5" t="n">
        <v>46274.7131944444</v>
      </c>
      <c r="S1383" s="3" t="s">
        <v>1699</v>
      </c>
      <c r="T1383" s="7" t="n">
        <f aca="false">ROUND(MIN(IF(OR(O1383=TRUE(),O1383="TRUE",O1383="Yes"),59,100),(I1383*Rubric!$C$2+J1383*Rubric!$C$3+K1383*Rubric!$C$4+L1383*Rubric!$C$5+M1383*Rubric!$C$6+N1383*Rubric!$C$7)/5),1)</f>
        <v>81</v>
      </c>
      <c r="U1383" s="8" t="str">
        <f aca="false">LOOKUP(T1383,Bands!$A$2:$A$6,Bands!$B$2:$B$6)</f>
        <v>Solid Performance</v>
      </c>
      <c r="V1383" s="8" t="n">
        <f aca="false">IF(Q1383="","",ROUND((Q1383-B1383)*24,1))</f>
        <v>0</v>
      </c>
    </row>
    <row r="1384" customFormat="false" ht="15" hidden="false" customHeight="false" outlineLevel="0" collapsed="false">
      <c r="A1384" s="3" t="s">
        <v>2902</v>
      </c>
      <c r="B1384" s="5" t="n">
        <v>46274.6826388889</v>
      </c>
      <c r="C1384" s="3" t="s">
        <v>68</v>
      </c>
      <c r="D1384" s="3" t="s">
        <v>145</v>
      </c>
      <c r="E1384" s="3" t="s">
        <v>146</v>
      </c>
      <c r="F1384" s="3" t="s">
        <v>33</v>
      </c>
      <c r="G1384" s="3" t="s">
        <v>42</v>
      </c>
      <c r="H1384" s="3" t="s">
        <v>2903</v>
      </c>
      <c r="I1384" s="3" t="n">
        <v>5</v>
      </c>
      <c r="J1384" s="3" t="n">
        <v>5</v>
      </c>
      <c r="K1384" s="3" t="n">
        <v>4</v>
      </c>
      <c r="L1384" s="3" t="n">
        <v>4</v>
      </c>
      <c r="M1384" s="3" t="n">
        <v>5</v>
      </c>
      <c r="N1384" s="3" t="n">
        <v>4</v>
      </c>
      <c r="O1384" s="6" t="b">
        <f aca="false">FALSE()</f>
        <v>0</v>
      </c>
      <c r="P1384" s="3"/>
      <c r="Q1384" s="5" t="n">
        <v>46274.6847222222</v>
      </c>
      <c r="R1384" s="5" t="n">
        <v>46274.7055555556</v>
      </c>
      <c r="S1384" s="3" t="s">
        <v>1699</v>
      </c>
      <c r="T1384" s="7" t="n">
        <f aca="false">ROUND(MIN(IF(OR(O1384=TRUE(),O1384="TRUE",O1384="Yes"),59,100),(I1384*Rubric!$C$2+J1384*Rubric!$C$3+K1384*Rubric!$C$4+L1384*Rubric!$C$5+M1384*Rubric!$C$6+N1384*Rubric!$C$7)/5),1)</f>
        <v>90</v>
      </c>
      <c r="U1384" s="8" t="str">
        <f aca="false">LOOKUP(T1384,Bands!$A$2:$A$6,Bands!$B$2:$B$6)</f>
        <v>Outstanding</v>
      </c>
      <c r="V1384" s="8" t="n">
        <f aca="false">IF(Q1384="","",ROUND((Q1384-B1384)*24,1))</f>
        <v>0</v>
      </c>
    </row>
    <row r="1385" customFormat="false" ht="15" hidden="false" customHeight="false" outlineLevel="0" collapsed="false">
      <c r="A1385" s="3" t="s">
        <v>2904</v>
      </c>
      <c r="B1385" s="5" t="n">
        <v>46274.6680555556</v>
      </c>
      <c r="C1385" s="3" t="s">
        <v>30</v>
      </c>
      <c r="D1385" s="3" t="s">
        <v>115</v>
      </c>
      <c r="E1385" s="3" t="s">
        <v>116</v>
      </c>
      <c r="F1385" s="3" t="s">
        <v>33</v>
      </c>
      <c r="G1385" s="3" t="s">
        <v>54</v>
      </c>
      <c r="H1385" s="3" t="s">
        <v>2905</v>
      </c>
      <c r="I1385" s="3" t="n">
        <v>4</v>
      </c>
      <c r="J1385" s="3" t="n">
        <v>4</v>
      </c>
      <c r="K1385" s="3" t="n">
        <v>4</v>
      </c>
      <c r="L1385" s="3" t="n">
        <v>4</v>
      </c>
      <c r="M1385" s="3" t="n">
        <v>4</v>
      </c>
      <c r="N1385" s="3" t="n">
        <v>4</v>
      </c>
      <c r="O1385" s="6" t="b">
        <f aca="false">FALSE()</f>
        <v>0</v>
      </c>
      <c r="P1385" s="3"/>
      <c r="Q1385" s="5" t="n">
        <v>46274.6701388889</v>
      </c>
      <c r="R1385" s="5" t="n">
        <v>46274.7347222222</v>
      </c>
      <c r="S1385" s="3" t="s">
        <v>1699</v>
      </c>
      <c r="T1385" s="7" t="n">
        <f aca="false">ROUND(MIN(IF(OR(O1385=TRUE(),O1385="TRUE",O1385="Yes"),59,100),(I1385*Rubric!$C$2+J1385*Rubric!$C$3+K1385*Rubric!$C$4+L1385*Rubric!$C$5+M1385*Rubric!$C$6+N1385*Rubric!$C$7)/5),1)</f>
        <v>80</v>
      </c>
      <c r="U1385" s="8" t="str">
        <f aca="false">LOOKUP(T1385,Bands!$A$2:$A$6,Bands!$B$2:$B$6)</f>
        <v>Solid Performance</v>
      </c>
      <c r="V1385" s="8" t="n">
        <f aca="false">IF(Q1385="","",ROUND((Q1385-B1385)*24,1))</f>
        <v>0</v>
      </c>
    </row>
    <row r="1386" customFormat="false" ht="15" hidden="false" customHeight="false" outlineLevel="0" collapsed="false">
      <c r="A1386" s="3" t="s">
        <v>2906</v>
      </c>
      <c r="B1386" s="5" t="n">
        <v>46274.5888888889</v>
      </c>
      <c r="C1386" s="3" t="s">
        <v>30</v>
      </c>
      <c r="D1386" s="3" t="s">
        <v>81</v>
      </c>
      <c r="E1386" s="3" t="s">
        <v>82</v>
      </c>
      <c r="F1386" s="3" t="s">
        <v>65</v>
      </c>
      <c r="G1386" s="3" t="s">
        <v>42</v>
      </c>
      <c r="H1386" s="3" t="s">
        <v>2907</v>
      </c>
      <c r="I1386" s="3" t="n">
        <v>3</v>
      </c>
      <c r="J1386" s="3" t="n">
        <v>3</v>
      </c>
      <c r="K1386" s="3" t="n">
        <v>5</v>
      </c>
      <c r="L1386" s="3" t="n">
        <v>4</v>
      </c>
      <c r="M1386" s="3" t="n">
        <v>4</v>
      </c>
      <c r="N1386" s="3" t="n">
        <v>0</v>
      </c>
      <c r="O1386" s="6" t="b">
        <f aca="false">TRUE()</f>
        <v>1</v>
      </c>
      <c r="P1386" s="3" t="s">
        <v>36</v>
      </c>
      <c r="Q1386" s="5" t="n">
        <v>46274.5902777778</v>
      </c>
      <c r="R1386" s="5" t="n">
        <v>46274.7368055556</v>
      </c>
      <c r="S1386" s="3" t="s">
        <v>1699</v>
      </c>
      <c r="T1386" s="7" t="n">
        <f aca="false">ROUND(MIN(IF(OR(O1386=TRUE(),O1386="TRUE",O1386="Yes"),59,100),(I1386*Rubric!$C$2+J1386*Rubric!$C$3+K1386*Rubric!$C$4+L1386*Rubric!$C$5+M1386*Rubric!$C$6+N1386*Rubric!$C$7)/5),1)</f>
        <v>59</v>
      </c>
      <c r="U1386" s="8" t="str">
        <f aca="false">LOOKUP(T1386,Bands!$A$2:$A$6,Bands!$B$2:$B$6)</f>
        <v>Critical</v>
      </c>
      <c r="V1386" s="8" t="n">
        <f aca="false">IF(Q1386="","",ROUND((Q1386-B1386)*24,1))</f>
        <v>0</v>
      </c>
    </row>
    <row r="1387" customFormat="false" ht="15" hidden="false" customHeight="false" outlineLevel="0" collapsed="false">
      <c r="A1387" s="3" t="s">
        <v>2908</v>
      </c>
      <c r="B1387" s="5" t="n">
        <v>46274.6618055556</v>
      </c>
      <c r="C1387" s="3" t="s">
        <v>30</v>
      </c>
      <c r="D1387" s="3" t="s">
        <v>105</v>
      </c>
      <c r="E1387" s="3" t="s">
        <v>106</v>
      </c>
      <c r="F1387" s="3" t="s">
        <v>65</v>
      </c>
      <c r="G1387" s="3" t="s">
        <v>42</v>
      </c>
      <c r="H1387" s="3" t="s">
        <v>2909</v>
      </c>
      <c r="I1387" s="3" t="n">
        <v>5</v>
      </c>
      <c r="J1387" s="3" t="n">
        <v>3</v>
      </c>
      <c r="K1387" s="3" t="n">
        <v>4</v>
      </c>
      <c r="L1387" s="3" t="n">
        <v>5</v>
      </c>
      <c r="M1387" s="3" t="n">
        <v>4</v>
      </c>
      <c r="N1387" s="3" t="n">
        <v>5</v>
      </c>
      <c r="O1387" s="6" t="b">
        <f aca="false">FALSE()</f>
        <v>0</v>
      </c>
      <c r="P1387" s="3"/>
      <c r="Q1387" s="5" t="n">
        <v>46274.6625</v>
      </c>
      <c r="R1387" s="5" t="n">
        <v>46274.8423611111</v>
      </c>
      <c r="S1387" s="3" t="s">
        <v>1699</v>
      </c>
      <c r="T1387" s="7" t="n">
        <f aca="false">ROUND(MIN(IF(OR(O1387=TRUE(),O1387="TRUE",O1387="Yes"),59,100),(I1387*Rubric!$C$2+J1387*Rubric!$C$3+K1387*Rubric!$C$4+L1387*Rubric!$C$5+M1387*Rubric!$C$6+N1387*Rubric!$C$7)/5),1)</f>
        <v>84</v>
      </c>
      <c r="U1387" s="8" t="str">
        <f aca="false">LOOKUP(T1387,Bands!$A$2:$A$6,Bands!$B$2:$B$6)</f>
        <v>Solid Performance</v>
      </c>
      <c r="V1387" s="8" t="n">
        <f aca="false">IF(Q1387="","",ROUND((Q1387-B1387)*24,1))</f>
        <v>0</v>
      </c>
    </row>
    <row r="1388" customFormat="false" ht="15" hidden="false" customHeight="false" outlineLevel="0" collapsed="false">
      <c r="A1388" s="3" t="s">
        <v>2910</v>
      </c>
      <c r="B1388" s="5" t="n">
        <v>46274.5305555556</v>
      </c>
      <c r="C1388" s="3" t="s">
        <v>39</v>
      </c>
      <c r="D1388" s="3" t="s">
        <v>307</v>
      </c>
      <c r="E1388" s="3" t="s">
        <v>308</v>
      </c>
      <c r="F1388" s="3" t="s">
        <v>33</v>
      </c>
      <c r="G1388" s="3" t="s">
        <v>34</v>
      </c>
      <c r="H1388" s="3" t="s">
        <v>2911</v>
      </c>
      <c r="I1388" s="3" t="n">
        <v>5</v>
      </c>
      <c r="J1388" s="3" t="n">
        <v>3</v>
      </c>
      <c r="K1388" s="3" t="n">
        <v>5</v>
      </c>
      <c r="L1388" s="3" t="n">
        <v>5</v>
      </c>
      <c r="M1388" s="3" t="n">
        <v>5</v>
      </c>
      <c r="N1388" s="3" t="n">
        <v>1</v>
      </c>
      <c r="O1388" s="6" t="b">
        <f aca="false">TRUE()</f>
        <v>1</v>
      </c>
      <c r="P1388" s="3" t="s">
        <v>36</v>
      </c>
      <c r="Q1388" s="5" t="n">
        <v>46274.5319444445</v>
      </c>
      <c r="R1388" s="5" t="n">
        <v>46274.9076388889</v>
      </c>
      <c r="S1388" s="3" t="s">
        <v>1699</v>
      </c>
      <c r="T1388" s="7" t="n">
        <f aca="false">ROUND(MIN(IF(OR(O1388=TRUE(),O1388="TRUE",O1388="Yes"),59,100),(I1388*Rubric!$C$2+J1388*Rubric!$C$3+K1388*Rubric!$C$4+L1388*Rubric!$C$5+M1388*Rubric!$C$6+N1388*Rubric!$C$7)/5),1)</f>
        <v>59</v>
      </c>
      <c r="U1388" s="8" t="str">
        <f aca="false">LOOKUP(T1388,Bands!$A$2:$A$6,Bands!$B$2:$B$6)</f>
        <v>Critical</v>
      </c>
      <c r="V1388" s="8" t="n">
        <f aca="false">IF(Q1388="","",ROUND((Q1388-B1388)*24,1))</f>
        <v>0</v>
      </c>
    </row>
    <row r="1389" customFormat="false" ht="15" hidden="false" customHeight="false" outlineLevel="0" collapsed="false">
      <c r="A1389" s="3" t="s">
        <v>2912</v>
      </c>
      <c r="B1389" s="5" t="n">
        <v>46274.5125</v>
      </c>
      <c r="C1389" s="3" t="s">
        <v>30</v>
      </c>
      <c r="D1389" s="3" t="s">
        <v>77</v>
      </c>
      <c r="E1389" s="3" t="s">
        <v>78</v>
      </c>
      <c r="F1389" s="3" t="s">
        <v>33</v>
      </c>
      <c r="G1389" s="3" t="s">
        <v>54</v>
      </c>
      <c r="H1389" s="3" t="s">
        <v>2913</v>
      </c>
      <c r="I1389" s="3" t="n">
        <v>5</v>
      </c>
      <c r="J1389" s="3" t="n">
        <v>5</v>
      </c>
      <c r="K1389" s="3" t="n">
        <v>3</v>
      </c>
      <c r="L1389" s="3" t="n">
        <v>5</v>
      </c>
      <c r="M1389" s="3" t="n">
        <v>5</v>
      </c>
      <c r="N1389" s="3" t="n">
        <v>5</v>
      </c>
      <c r="O1389" s="6" t="b">
        <f aca="false">FALSE()</f>
        <v>0</v>
      </c>
      <c r="P1389" s="3"/>
      <c r="Q1389" s="5" t="n">
        <v>46274.5138888889</v>
      </c>
      <c r="R1389" s="5" t="n">
        <v>46274.8291666667</v>
      </c>
      <c r="S1389" s="3" t="s">
        <v>1699</v>
      </c>
      <c r="T1389" s="7" t="n">
        <f aca="false">ROUND(MIN(IF(OR(O1389=TRUE(),O1389="TRUE",O1389="Yes"),59,100),(I1389*Rubric!$C$2+J1389*Rubric!$C$3+K1389*Rubric!$C$4+L1389*Rubric!$C$5+M1389*Rubric!$C$6+N1389*Rubric!$C$7)/5),1)</f>
        <v>92</v>
      </c>
      <c r="U1389" s="8" t="str">
        <f aca="false">LOOKUP(T1389,Bands!$A$2:$A$6,Bands!$B$2:$B$6)</f>
        <v>Outstanding</v>
      </c>
      <c r="V1389" s="8" t="n">
        <f aca="false">IF(Q1389="","",ROUND((Q1389-B1389)*24,1))</f>
        <v>0</v>
      </c>
    </row>
    <row r="1390" customFormat="false" ht="15" hidden="false" customHeight="false" outlineLevel="0" collapsed="false">
      <c r="A1390" s="3" t="s">
        <v>2914</v>
      </c>
      <c r="B1390" s="5" t="n">
        <v>46274.3833333333</v>
      </c>
      <c r="C1390" s="3" t="s">
        <v>68</v>
      </c>
      <c r="D1390" s="3" t="s">
        <v>194</v>
      </c>
      <c r="E1390" s="3" t="s">
        <v>195</v>
      </c>
      <c r="F1390" s="3" t="s">
        <v>53</v>
      </c>
      <c r="G1390" s="3" t="s">
        <v>54</v>
      </c>
      <c r="H1390" s="3" t="s">
        <v>2915</v>
      </c>
      <c r="I1390" s="3" t="n">
        <v>4</v>
      </c>
      <c r="J1390" s="3" t="n">
        <v>4</v>
      </c>
      <c r="K1390" s="3" t="n">
        <v>4</v>
      </c>
      <c r="L1390" s="3" t="n">
        <v>3</v>
      </c>
      <c r="M1390" s="3" t="n">
        <v>5</v>
      </c>
      <c r="N1390" s="3" t="n">
        <v>4</v>
      </c>
      <c r="O1390" s="6" t="b">
        <f aca="false">FALSE()</f>
        <v>0</v>
      </c>
      <c r="P1390" s="3"/>
      <c r="Q1390" s="5" t="n">
        <v>46274.3840277778</v>
      </c>
      <c r="R1390" s="5" t="n">
        <v>46274.4819444444</v>
      </c>
      <c r="S1390" s="3" t="s">
        <v>1699</v>
      </c>
      <c r="T1390" s="7" t="n">
        <f aca="false">ROUND(MIN(IF(OR(O1390=TRUE(),O1390="TRUE",O1390="Yes"),59,100),(I1390*Rubric!$C$2+J1390*Rubric!$C$3+K1390*Rubric!$C$4+L1390*Rubric!$C$5+M1390*Rubric!$C$6+N1390*Rubric!$C$7)/5),1)</f>
        <v>79</v>
      </c>
      <c r="U1390" s="8" t="str">
        <f aca="false">LOOKUP(T1390,Bands!$A$2:$A$6,Bands!$B$2:$B$6)</f>
        <v>Meets Expectations</v>
      </c>
      <c r="V1390" s="8" t="n">
        <f aca="false">IF(Q1390="","",ROUND((Q1390-B1390)*24,1))</f>
        <v>0</v>
      </c>
    </row>
    <row r="1391" customFormat="false" ht="15" hidden="false" customHeight="false" outlineLevel="0" collapsed="false">
      <c r="A1391" s="3" t="s">
        <v>2916</v>
      </c>
      <c r="B1391" s="5" t="n">
        <v>46274.6930555556</v>
      </c>
      <c r="C1391" s="3" t="s">
        <v>30</v>
      </c>
      <c r="D1391" s="3" t="s">
        <v>366</v>
      </c>
      <c r="E1391" s="3" t="s">
        <v>367</v>
      </c>
      <c r="F1391" s="3" t="s">
        <v>53</v>
      </c>
      <c r="G1391" s="3" t="s">
        <v>42</v>
      </c>
      <c r="H1391" s="3" t="s">
        <v>2917</v>
      </c>
      <c r="I1391" s="3" t="n">
        <v>4</v>
      </c>
      <c r="J1391" s="3" t="n">
        <v>4</v>
      </c>
      <c r="K1391" s="3" t="n">
        <v>4</v>
      </c>
      <c r="L1391" s="3" t="n">
        <v>4</v>
      </c>
      <c r="M1391" s="3" t="n">
        <v>4</v>
      </c>
      <c r="N1391" s="3" t="n">
        <v>4</v>
      </c>
      <c r="O1391" s="6" t="b">
        <f aca="false">FALSE()</f>
        <v>0</v>
      </c>
      <c r="P1391" s="3"/>
      <c r="Q1391" s="5" t="n">
        <v>46274.6944444445</v>
      </c>
      <c r="R1391" s="5" t="n">
        <v>46274.7652777778</v>
      </c>
      <c r="S1391" s="3" t="s">
        <v>1699</v>
      </c>
      <c r="T1391" s="7" t="n">
        <f aca="false">ROUND(MIN(IF(OR(O1391=TRUE(),O1391="TRUE",O1391="Yes"),59,100),(I1391*Rubric!$C$2+J1391*Rubric!$C$3+K1391*Rubric!$C$4+L1391*Rubric!$C$5+M1391*Rubric!$C$6+N1391*Rubric!$C$7)/5),1)</f>
        <v>80</v>
      </c>
      <c r="U1391" s="8" t="str">
        <f aca="false">LOOKUP(T1391,Bands!$A$2:$A$6,Bands!$B$2:$B$6)</f>
        <v>Solid Performance</v>
      </c>
      <c r="V1391" s="8" t="n">
        <f aca="false">IF(Q1391="","",ROUND((Q1391-B1391)*24,1))</f>
        <v>0</v>
      </c>
    </row>
    <row r="1392" customFormat="false" ht="15" hidden="false" customHeight="false" outlineLevel="0" collapsed="false">
      <c r="A1392" s="3" t="s">
        <v>2918</v>
      </c>
      <c r="B1392" s="5" t="n">
        <v>46274.5597222222</v>
      </c>
      <c r="C1392" s="3" t="s">
        <v>30</v>
      </c>
      <c r="D1392" s="3" t="s">
        <v>161</v>
      </c>
      <c r="E1392" s="3" t="s">
        <v>162</v>
      </c>
      <c r="F1392" s="3" t="s">
        <v>33</v>
      </c>
      <c r="G1392" s="3" t="s">
        <v>54</v>
      </c>
      <c r="H1392" s="3" t="s">
        <v>2919</v>
      </c>
      <c r="I1392" s="3" t="n">
        <v>4</v>
      </c>
      <c r="J1392" s="3" t="n">
        <v>5</v>
      </c>
      <c r="K1392" s="3" t="n">
        <v>4</v>
      </c>
      <c r="L1392" s="3" t="n">
        <v>4</v>
      </c>
      <c r="M1392" s="3" t="n">
        <v>4</v>
      </c>
      <c r="N1392" s="3" t="n">
        <v>4</v>
      </c>
      <c r="O1392" s="6" t="b">
        <f aca="false">FALSE()</f>
        <v>0</v>
      </c>
      <c r="P1392" s="3"/>
      <c r="Q1392" s="5" t="n">
        <v>46274.5618055556</v>
      </c>
      <c r="R1392" s="5" t="n">
        <v>46274.6798611111</v>
      </c>
      <c r="S1392" s="3" t="s">
        <v>1699</v>
      </c>
      <c r="T1392" s="7" t="n">
        <f aca="false">ROUND(MIN(IF(OR(O1392=TRUE(),O1392="TRUE",O1392="Yes"),59,100),(I1392*Rubric!$C$2+J1392*Rubric!$C$3+K1392*Rubric!$C$4+L1392*Rubric!$C$5+M1392*Rubric!$C$6+N1392*Rubric!$C$7)/5),1)</f>
        <v>85</v>
      </c>
      <c r="U1392" s="8" t="str">
        <f aca="false">LOOKUP(T1392,Bands!$A$2:$A$6,Bands!$B$2:$B$6)</f>
        <v>Solid Performance</v>
      </c>
      <c r="V1392" s="8" t="n">
        <f aca="false">IF(Q1392="","",ROUND((Q1392-B1392)*24,1))</f>
        <v>0.1</v>
      </c>
    </row>
    <row r="1393" customFormat="false" ht="15" hidden="false" customHeight="false" outlineLevel="0" collapsed="false">
      <c r="A1393" s="3" t="s">
        <v>2920</v>
      </c>
      <c r="B1393" s="5" t="n">
        <v>46274.4152777778</v>
      </c>
      <c r="C1393" s="3" t="s">
        <v>68</v>
      </c>
      <c r="D1393" s="3" t="s">
        <v>155</v>
      </c>
      <c r="E1393" s="3" t="s">
        <v>156</v>
      </c>
      <c r="F1393" s="3" t="s">
        <v>65</v>
      </c>
      <c r="G1393" s="3" t="s">
        <v>54</v>
      </c>
      <c r="H1393" s="3" t="s">
        <v>2921</v>
      </c>
      <c r="I1393" s="3" t="n">
        <v>4</v>
      </c>
      <c r="J1393" s="3" t="n">
        <v>4</v>
      </c>
      <c r="K1393" s="3" t="n">
        <v>5</v>
      </c>
      <c r="L1393" s="3" t="n">
        <v>4</v>
      </c>
      <c r="M1393" s="3" t="n">
        <v>4</v>
      </c>
      <c r="N1393" s="3" t="n">
        <v>4</v>
      </c>
      <c r="O1393" s="6" t="b">
        <f aca="false">FALSE()</f>
        <v>0</v>
      </c>
      <c r="P1393" s="3"/>
      <c r="Q1393" s="5" t="n">
        <v>46274.4173611111</v>
      </c>
      <c r="R1393" s="5" t="n">
        <v>46274.5284722222</v>
      </c>
      <c r="S1393" s="3" t="s">
        <v>1699</v>
      </c>
      <c r="T1393" s="7" t="n">
        <f aca="false">ROUND(MIN(IF(OR(O1393=TRUE(),O1393="TRUE",O1393="Yes"),59,100),(I1393*Rubric!$C$2+J1393*Rubric!$C$3+K1393*Rubric!$C$4+L1393*Rubric!$C$5+M1393*Rubric!$C$6+N1393*Rubric!$C$7)/5),1)</f>
        <v>84</v>
      </c>
      <c r="U1393" s="8" t="str">
        <f aca="false">LOOKUP(T1393,Bands!$A$2:$A$6,Bands!$B$2:$B$6)</f>
        <v>Solid Performance</v>
      </c>
      <c r="V1393" s="8" t="n">
        <f aca="false">IF(Q1393="","",ROUND((Q1393-B1393)*24,1))</f>
        <v>0</v>
      </c>
    </row>
    <row r="1394" customFormat="false" ht="15" hidden="false" customHeight="false" outlineLevel="0" collapsed="false">
      <c r="A1394" s="3" t="s">
        <v>2922</v>
      </c>
      <c r="B1394" s="5" t="n">
        <v>46275.4097222222</v>
      </c>
      <c r="C1394" s="3" t="s">
        <v>30</v>
      </c>
      <c r="D1394" s="3" t="s">
        <v>145</v>
      </c>
      <c r="E1394" s="3" t="s">
        <v>146</v>
      </c>
      <c r="F1394" s="3" t="s">
        <v>33</v>
      </c>
      <c r="G1394" s="3" t="s">
        <v>34</v>
      </c>
      <c r="H1394" s="3" t="s">
        <v>2923</v>
      </c>
      <c r="I1394" s="3" t="n">
        <v>4</v>
      </c>
      <c r="J1394" s="3" t="n">
        <v>5</v>
      </c>
      <c r="K1394" s="3" t="n">
        <v>5</v>
      </c>
      <c r="L1394" s="3" t="n">
        <v>4</v>
      </c>
      <c r="M1394" s="3" t="n">
        <v>4</v>
      </c>
      <c r="N1394" s="3" t="n">
        <v>1</v>
      </c>
      <c r="O1394" s="6" t="b">
        <f aca="false">TRUE()</f>
        <v>1</v>
      </c>
      <c r="P1394" s="3" t="s">
        <v>36</v>
      </c>
      <c r="Q1394" s="5" t="n">
        <v>46275.4118055556</v>
      </c>
      <c r="R1394" s="5" t="n">
        <v>46275.4395833333</v>
      </c>
      <c r="S1394" s="3" t="s">
        <v>1699</v>
      </c>
      <c r="T1394" s="7" t="n">
        <f aca="false">ROUND(MIN(IF(OR(O1394=TRUE(),O1394="TRUE",O1394="Yes"),59,100),(I1394*Rubric!$C$2+J1394*Rubric!$C$3+K1394*Rubric!$C$4+L1394*Rubric!$C$5+M1394*Rubric!$C$6+N1394*Rubric!$C$7)/5),1)</f>
        <v>59</v>
      </c>
      <c r="U1394" s="8" t="str">
        <f aca="false">LOOKUP(T1394,Bands!$A$2:$A$6,Bands!$B$2:$B$6)</f>
        <v>Critical</v>
      </c>
      <c r="V1394" s="8" t="n">
        <f aca="false">IF(Q1394="","",ROUND((Q1394-B1394)*24,1))</f>
        <v>0.1</v>
      </c>
    </row>
    <row r="1395" customFormat="false" ht="15" hidden="false" customHeight="false" outlineLevel="0" collapsed="false">
      <c r="A1395" s="3" t="s">
        <v>2924</v>
      </c>
      <c r="B1395" s="5" t="n">
        <v>46275.5909722222</v>
      </c>
      <c r="C1395" s="3" t="s">
        <v>30</v>
      </c>
      <c r="D1395" s="3" t="s">
        <v>194</v>
      </c>
      <c r="E1395" s="3" t="s">
        <v>195</v>
      </c>
      <c r="F1395" s="3" t="s">
        <v>53</v>
      </c>
      <c r="G1395" s="3" t="s">
        <v>42</v>
      </c>
      <c r="H1395" s="3" t="s">
        <v>2925</v>
      </c>
      <c r="I1395" s="3" t="n">
        <v>4</v>
      </c>
      <c r="J1395" s="3" t="n">
        <v>4</v>
      </c>
      <c r="K1395" s="3" t="n">
        <v>4</v>
      </c>
      <c r="L1395" s="3" t="n">
        <v>4</v>
      </c>
      <c r="M1395" s="3" t="n">
        <v>5</v>
      </c>
      <c r="N1395" s="3" t="n">
        <v>4</v>
      </c>
      <c r="O1395" s="6" t="b">
        <f aca="false">FALSE()</f>
        <v>0</v>
      </c>
      <c r="P1395" s="3"/>
      <c r="Q1395" s="5" t="n">
        <v>46275.5930555556</v>
      </c>
      <c r="R1395" s="5" t="n">
        <v>46276.0180555556</v>
      </c>
      <c r="S1395" s="3" t="s">
        <v>1699</v>
      </c>
      <c r="T1395" s="7" t="n">
        <f aca="false">ROUND(MIN(IF(OR(O1395=TRUE(),O1395="TRUE",O1395="Yes"),59,100),(I1395*Rubric!$C$2+J1395*Rubric!$C$3+K1395*Rubric!$C$4+L1395*Rubric!$C$5+M1395*Rubric!$C$6+N1395*Rubric!$C$7)/5),1)</f>
        <v>82</v>
      </c>
      <c r="U1395" s="8" t="str">
        <f aca="false">LOOKUP(T1395,Bands!$A$2:$A$6,Bands!$B$2:$B$6)</f>
        <v>Solid Performance</v>
      </c>
      <c r="V1395" s="8" t="n">
        <f aca="false">IF(Q1395="","",ROUND((Q1395-B1395)*24,1))</f>
        <v>0.1</v>
      </c>
    </row>
    <row r="1396" customFormat="false" ht="15" hidden="false" customHeight="false" outlineLevel="0" collapsed="false">
      <c r="A1396" s="3" t="s">
        <v>2926</v>
      </c>
      <c r="B1396" s="5" t="n">
        <v>46275.5083333333</v>
      </c>
      <c r="C1396" s="3" t="s">
        <v>30</v>
      </c>
      <c r="D1396" s="3" t="s">
        <v>46</v>
      </c>
      <c r="E1396" s="3" t="s">
        <v>47</v>
      </c>
      <c r="F1396" s="3" t="s">
        <v>33</v>
      </c>
      <c r="G1396" s="3" t="s">
        <v>54</v>
      </c>
      <c r="H1396" s="3" t="s">
        <v>2927</v>
      </c>
      <c r="I1396" s="3" t="n">
        <v>4</v>
      </c>
      <c r="J1396" s="3" t="n">
        <v>4</v>
      </c>
      <c r="K1396" s="3" t="n">
        <v>3</v>
      </c>
      <c r="L1396" s="3" t="n">
        <v>5</v>
      </c>
      <c r="M1396" s="3" t="n">
        <v>5</v>
      </c>
      <c r="N1396" s="3" t="n">
        <v>5</v>
      </c>
      <c r="O1396" s="6" t="b">
        <f aca="false">FALSE()</f>
        <v>0</v>
      </c>
      <c r="P1396" s="3"/>
      <c r="Q1396" s="5" t="n">
        <v>46275.5090277778</v>
      </c>
      <c r="R1396" s="5" t="n">
        <v>46275.5416666667</v>
      </c>
      <c r="S1396" s="3" t="s">
        <v>1699</v>
      </c>
      <c r="T1396" s="7" t="n">
        <f aca="false">ROUND(MIN(IF(OR(O1396=TRUE(),O1396="TRUE",O1396="Yes"),59,100),(I1396*Rubric!$C$2+J1396*Rubric!$C$3+K1396*Rubric!$C$4+L1396*Rubric!$C$5+M1396*Rubric!$C$6+N1396*Rubric!$C$7)/5),1)</f>
        <v>84</v>
      </c>
      <c r="U1396" s="8" t="str">
        <f aca="false">LOOKUP(T1396,Bands!$A$2:$A$6,Bands!$B$2:$B$6)</f>
        <v>Solid Performance</v>
      </c>
      <c r="V1396" s="8" t="n">
        <f aca="false">IF(Q1396="","",ROUND((Q1396-B1396)*24,1))</f>
        <v>0</v>
      </c>
    </row>
    <row r="1397" customFormat="false" ht="15" hidden="false" customHeight="false" outlineLevel="0" collapsed="false">
      <c r="A1397" s="3" t="s">
        <v>2928</v>
      </c>
      <c r="B1397" s="5" t="n">
        <v>46275.5548611111</v>
      </c>
      <c r="C1397" s="3" t="s">
        <v>30</v>
      </c>
      <c r="D1397" s="3" t="s">
        <v>212</v>
      </c>
      <c r="E1397" s="3" t="s">
        <v>213</v>
      </c>
      <c r="F1397" s="3" t="s">
        <v>33</v>
      </c>
      <c r="G1397" s="3" t="s">
        <v>54</v>
      </c>
      <c r="H1397" s="3" t="s">
        <v>2929</v>
      </c>
      <c r="I1397" s="3" t="n">
        <v>5</v>
      </c>
      <c r="J1397" s="3" t="n">
        <v>4</v>
      </c>
      <c r="K1397" s="3" t="n">
        <v>4</v>
      </c>
      <c r="L1397" s="3" t="n">
        <v>4</v>
      </c>
      <c r="M1397" s="3" t="n">
        <v>3</v>
      </c>
      <c r="N1397" s="3" t="n">
        <v>3</v>
      </c>
      <c r="O1397" s="6" t="b">
        <f aca="false">FALSE()</f>
        <v>0</v>
      </c>
      <c r="P1397" s="3"/>
      <c r="Q1397" s="5" t="n">
        <v>46275.5555555556</v>
      </c>
      <c r="R1397" s="5" t="n">
        <v>46275.7888888889</v>
      </c>
      <c r="S1397" s="3" t="s">
        <v>1699</v>
      </c>
      <c r="T1397" s="7" t="n">
        <f aca="false">ROUND(MIN(IF(OR(O1397=TRUE(),O1397="TRUE",O1397="Yes"),59,100),(I1397*Rubric!$C$2+J1397*Rubric!$C$3+K1397*Rubric!$C$4+L1397*Rubric!$C$5+M1397*Rubric!$C$6+N1397*Rubric!$C$7)/5),1)</f>
        <v>78</v>
      </c>
      <c r="U1397" s="8" t="str">
        <f aca="false">LOOKUP(T1397,Bands!$A$2:$A$6,Bands!$B$2:$B$6)</f>
        <v>Meets Expectations</v>
      </c>
      <c r="V1397" s="8" t="n">
        <f aca="false">IF(Q1397="","",ROUND((Q1397-B1397)*24,1))</f>
        <v>0</v>
      </c>
    </row>
    <row r="1398" customFormat="false" ht="15" hidden="false" customHeight="false" outlineLevel="0" collapsed="false">
      <c r="A1398" s="3" t="s">
        <v>2930</v>
      </c>
      <c r="B1398" s="5" t="n">
        <v>46275.5069444445</v>
      </c>
      <c r="C1398" s="3" t="s">
        <v>68</v>
      </c>
      <c r="D1398" s="3" t="s">
        <v>100</v>
      </c>
      <c r="E1398" s="3" t="s">
        <v>101</v>
      </c>
      <c r="F1398" s="3" t="s">
        <v>33</v>
      </c>
      <c r="G1398" s="3" t="s">
        <v>42</v>
      </c>
      <c r="H1398" s="3" t="s">
        <v>2931</v>
      </c>
      <c r="I1398" s="3" t="n">
        <v>5</v>
      </c>
      <c r="J1398" s="3" t="n">
        <v>5</v>
      </c>
      <c r="K1398" s="3" t="n">
        <v>4</v>
      </c>
      <c r="L1398" s="3" t="n">
        <v>3</v>
      </c>
      <c r="M1398" s="3" t="n">
        <v>4</v>
      </c>
      <c r="N1398" s="3" t="n">
        <v>4</v>
      </c>
      <c r="O1398" s="6" t="b">
        <f aca="false">FALSE()</f>
        <v>0</v>
      </c>
      <c r="P1398" s="3"/>
      <c r="Q1398" s="5" t="n">
        <v>46275.5076388889</v>
      </c>
      <c r="R1398" s="5" t="n">
        <v>46276.09375</v>
      </c>
      <c r="S1398" s="3" t="s">
        <v>1699</v>
      </c>
      <c r="T1398" s="7" t="n">
        <f aca="false">ROUND(MIN(IF(OR(O1398=TRUE(),O1398="TRUE",O1398="Yes"),59,100),(I1398*Rubric!$C$2+J1398*Rubric!$C$3+K1398*Rubric!$C$4+L1398*Rubric!$C$5+M1398*Rubric!$C$6+N1398*Rubric!$C$7)/5),1)</f>
        <v>85</v>
      </c>
      <c r="U1398" s="8" t="str">
        <f aca="false">LOOKUP(T1398,Bands!$A$2:$A$6,Bands!$B$2:$B$6)</f>
        <v>Solid Performance</v>
      </c>
      <c r="V1398" s="8" t="n">
        <f aca="false">IF(Q1398="","",ROUND((Q1398-B1398)*24,1))</f>
        <v>0</v>
      </c>
    </row>
    <row r="1399" customFormat="false" ht="15" hidden="false" customHeight="false" outlineLevel="0" collapsed="false">
      <c r="A1399" s="3" t="s">
        <v>2932</v>
      </c>
      <c r="B1399" s="5" t="n">
        <v>46275.6236111111</v>
      </c>
      <c r="C1399" s="3" t="s">
        <v>68</v>
      </c>
      <c r="D1399" s="3" t="s">
        <v>151</v>
      </c>
      <c r="E1399" s="3" t="s">
        <v>152</v>
      </c>
      <c r="F1399" s="3" t="s">
        <v>33</v>
      </c>
      <c r="G1399" s="3" t="s">
        <v>54</v>
      </c>
      <c r="H1399" s="3" t="s">
        <v>2933</v>
      </c>
      <c r="I1399" s="3" t="n">
        <v>4</v>
      </c>
      <c r="J1399" s="3" t="n">
        <v>5</v>
      </c>
      <c r="K1399" s="3" t="n">
        <v>5</v>
      </c>
      <c r="L1399" s="3" t="n">
        <v>5</v>
      </c>
      <c r="M1399" s="3" t="n">
        <v>4</v>
      </c>
      <c r="N1399" s="3" t="n">
        <v>5</v>
      </c>
      <c r="O1399" s="6" t="b">
        <f aca="false">FALSE()</f>
        <v>0</v>
      </c>
      <c r="P1399" s="3"/>
      <c r="Q1399" s="5" t="n">
        <v>46275.625</v>
      </c>
      <c r="R1399" s="5" t="n">
        <v>46275.9222222222</v>
      </c>
      <c r="S1399" s="3" t="s">
        <v>1699</v>
      </c>
      <c r="T1399" s="7" t="n">
        <f aca="false">ROUND(MIN(IF(OR(O1399=TRUE(),O1399="TRUE",O1399="Yes"),59,100),(I1399*Rubric!$C$2+J1399*Rubric!$C$3+K1399*Rubric!$C$4+L1399*Rubric!$C$5+M1399*Rubric!$C$6+N1399*Rubric!$C$7)/5),1)</f>
        <v>95</v>
      </c>
      <c r="U1399" s="8" t="str">
        <f aca="false">LOOKUP(T1399,Bands!$A$2:$A$6,Bands!$B$2:$B$6)</f>
        <v>Outstanding</v>
      </c>
      <c r="V1399" s="8" t="n">
        <f aca="false">IF(Q1399="","",ROUND((Q1399-B1399)*24,1))</f>
        <v>0</v>
      </c>
    </row>
    <row r="1400" customFormat="false" ht="15" hidden="false" customHeight="false" outlineLevel="0" collapsed="false">
      <c r="A1400" s="3" t="s">
        <v>2934</v>
      </c>
      <c r="B1400" s="5" t="n">
        <v>46275.3868055556</v>
      </c>
      <c r="C1400" s="3" t="s">
        <v>39</v>
      </c>
      <c r="D1400" s="3" t="s">
        <v>198</v>
      </c>
      <c r="E1400" s="3" t="s">
        <v>199</v>
      </c>
      <c r="F1400" s="3" t="s">
        <v>33</v>
      </c>
      <c r="G1400" s="3" t="s">
        <v>34</v>
      </c>
      <c r="H1400" s="3" t="s">
        <v>2935</v>
      </c>
      <c r="I1400" s="3" t="n">
        <v>4</v>
      </c>
      <c r="J1400" s="3" t="n">
        <v>3</v>
      </c>
      <c r="K1400" s="3" t="n">
        <v>4</v>
      </c>
      <c r="L1400" s="3" t="n">
        <v>4</v>
      </c>
      <c r="M1400" s="3" t="n">
        <v>4</v>
      </c>
      <c r="N1400" s="3" t="n">
        <v>5</v>
      </c>
      <c r="O1400" s="6" t="b">
        <f aca="false">FALSE()</f>
        <v>0</v>
      </c>
      <c r="P1400" s="3"/>
      <c r="Q1400" s="5" t="n">
        <v>46275.3881944444</v>
      </c>
      <c r="R1400" s="5" t="n">
        <v>46275.6541666667</v>
      </c>
      <c r="S1400" s="3" t="s">
        <v>1699</v>
      </c>
      <c r="T1400" s="7" t="n">
        <f aca="false">ROUND(MIN(IF(OR(O1400=TRUE(),O1400="TRUE",O1400="Yes"),59,100),(I1400*Rubric!$C$2+J1400*Rubric!$C$3+K1400*Rubric!$C$4+L1400*Rubric!$C$5+M1400*Rubric!$C$6+N1400*Rubric!$C$7)/5),1)</f>
        <v>78</v>
      </c>
      <c r="U1400" s="8" t="str">
        <f aca="false">LOOKUP(T1400,Bands!$A$2:$A$6,Bands!$B$2:$B$6)</f>
        <v>Meets Expectations</v>
      </c>
      <c r="V1400" s="8" t="n">
        <f aca="false">IF(Q1400="","",ROUND((Q1400-B1400)*24,1))</f>
        <v>0</v>
      </c>
    </row>
    <row r="1401" customFormat="false" ht="15" hidden="false" customHeight="false" outlineLevel="0" collapsed="false">
      <c r="A1401" s="3" t="s">
        <v>2936</v>
      </c>
      <c r="B1401" s="5" t="n">
        <v>46275.3930555556</v>
      </c>
      <c r="C1401" s="3" t="s">
        <v>39</v>
      </c>
      <c r="D1401" s="3" t="s">
        <v>58</v>
      </c>
      <c r="E1401" s="3" t="s">
        <v>59</v>
      </c>
      <c r="F1401" s="3" t="s">
        <v>53</v>
      </c>
      <c r="G1401" s="3" t="s">
        <v>42</v>
      </c>
      <c r="H1401" s="3" t="s">
        <v>2937</v>
      </c>
      <c r="I1401" s="3" t="n">
        <v>4</v>
      </c>
      <c r="J1401" s="3" t="n">
        <v>3</v>
      </c>
      <c r="K1401" s="3" t="n">
        <v>4</v>
      </c>
      <c r="L1401" s="3" t="n">
        <v>3</v>
      </c>
      <c r="M1401" s="3" t="n">
        <v>4</v>
      </c>
      <c r="N1401" s="3" t="n">
        <v>3</v>
      </c>
      <c r="O1401" s="6" t="b">
        <f aca="false">FALSE()</f>
        <v>0</v>
      </c>
      <c r="P1401" s="3"/>
      <c r="Q1401" s="5" t="n">
        <v>46275.39375</v>
      </c>
      <c r="R1401" s="5" t="n">
        <v>46275.4201388889</v>
      </c>
      <c r="S1401" s="3" t="s">
        <v>1699</v>
      </c>
      <c r="T1401" s="7" t="n">
        <f aca="false">ROUND(MIN(IF(OR(O1401=TRUE(),O1401="TRUE",O1401="Yes"),59,100),(I1401*Rubric!$C$2+J1401*Rubric!$C$3+K1401*Rubric!$C$4+L1401*Rubric!$C$5+M1401*Rubric!$C$6+N1401*Rubric!$C$7)/5),1)</f>
        <v>69</v>
      </c>
      <c r="U1401" s="8" t="str">
        <f aca="false">LOOKUP(T1401,Bands!$A$2:$A$6,Bands!$B$2:$B$6)</f>
        <v>Needs Improvement</v>
      </c>
      <c r="V1401" s="8" t="n">
        <f aca="false">IF(Q1401="","",ROUND((Q1401-B1401)*24,1))</f>
        <v>0</v>
      </c>
    </row>
    <row r="1402" customFormat="false" ht="15" hidden="false" customHeight="false" outlineLevel="0" collapsed="false">
      <c r="A1402" s="3" t="s">
        <v>2938</v>
      </c>
      <c r="B1402" s="5" t="n">
        <v>46275.6923611111</v>
      </c>
      <c r="C1402" s="3" t="s">
        <v>30</v>
      </c>
      <c r="D1402" s="3" t="s">
        <v>81</v>
      </c>
      <c r="E1402" s="3" t="s">
        <v>82</v>
      </c>
      <c r="F1402" s="3" t="s">
        <v>65</v>
      </c>
      <c r="G1402" s="3" t="s">
        <v>54</v>
      </c>
      <c r="H1402" s="3" t="s">
        <v>2939</v>
      </c>
      <c r="I1402" s="3" t="n">
        <v>4</v>
      </c>
      <c r="J1402" s="3" t="n">
        <v>3</v>
      </c>
      <c r="K1402" s="3" t="n">
        <v>4</v>
      </c>
      <c r="L1402" s="3" t="n">
        <v>4</v>
      </c>
      <c r="M1402" s="3" t="n">
        <v>5</v>
      </c>
      <c r="N1402" s="3" t="n">
        <v>5</v>
      </c>
      <c r="O1402" s="6" t="b">
        <f aca="false">FALSE()</f>
        <v>0</v>
      </c>
      <c r="P1402" s="3"/>
      <c r="Q1402" s="5" t="n">
        <v>46275.6930555556</v>
      </c>
      <c r="R1402" s="5" t="n">
        <v>46275.7493055556</v>
      </c>
      <c r="S1402" s="3" t="s">
        <v>1699</v>
      </c>
      <c r="T1402" s="7" t="n">
        <f aca="false">ROUND(MIN(IF(OR(O1402=TRUE(),O1402="TRUE",O1402="Yes"),59,100),(I1402*Rubric!$C$2+J1402*Rubric!$C$3+K1402*Rubric!$C$4+L1402*Rubric!$C$5+M1402*Rubric!$C$6+N1402*Rubric!$C$7)/5),1)</f>
        <v>80</v>
      </c>
      <c r="U1402" s="8" t="str">
        <f aca="false">LOOKUP(T1402,Bands!$A$2:$A$6,Bands!$B$2:$B$6)</f>
        <v>Solid Performance</v>
      </c>
      <c r="V1402" s="8" t="n">
        <f aca="false">IF(Q1402="","",ROUND((Q1402-B1402)*24,1))</f>
        <v>0</v>
      </c>
    </row>
    <row r="1403" customFormat="false" ht="15" hidden="false" customHeight="false" outlineLevel="0" collapsed="false">
      <c r="A1403" s="3" t="s">
        <v>2940</v>
      </c>
      <c r="B1403" s="5" t="n">
        <v>46275.5138888889</v>
      </c>
      <c r="C1403" s="3" t="s">
        <v>30</v>
      </c>
      <c r="D1403" s="3" t="s">
        <v>40</v>
      </c>
      <c r="E1403" s="3" t="s">
        <v>41</v>
      </c>
      <c r="F1403" s="3" t="s">
        <v>33</v>
      </c>
      <c r="G1403" s="3" t="s">
        <v>54</v>
      </c>
      <c r="H1403" s="3" t="s">
        <v>2941</v>
      </c>
      <c r="I1403" s="3" t="n">
        <v>5</v>
      </c>
      <c r="J1403" s="3" t="n">
        <v>5</v>
      </c>
      <c r="K1403" s="3" t="n">
        <v>4</v>
      </c>
      <c r="L1403" s="3" t="n">
        <v>3</v>
      </c>
      <c r="M1403" s="3" t="n">
        <v>5</v>
      </c>
      <c r="N1403" s="3" t="n">
        <v>4</v>
      </c>
      <c r="O1403" s="6" t="b">
        <f aca="false">FALSE()</f>
        <v>0</v>
      </c>
      <c r="P1403" s="3"/>
      <c r="Q1403" s="5" t="n">
        <v>46275.5152777778</v>
      </c>
      <c r="R1403" s="5" t="n">
        <v>46275.6756944444</v>
      </c>
      <c r="S1403" s="3" t="s">
        <v>1699</v>
      </c>
      <c r="T1403" s="7" t="n">
        <f aca="false">ROUND(MIN(IF(OR(O1403=TRUE(),O1403="TRUE",O1403="Yes"),59,100),(I1403*Rubric!$C$2+J1403*Rubric!$C$3+K1403*Rubric!$C$4+L1403*Rubric!$C$5+M1403*Rubric!$C$6+N1403*Rubric!$C$7)/5),1)</f>
        <v>87</v>
      </c>
      <c r="U1403" s="8" t="str">
        <f aca="false">LOOKUP(T1403,Bands!$A$2:$A$6,Bands!$B$2:$B$6)</f>
        <v>Solid Performance</v>
      </c>
      <c r="V1403" s="8" t="n">
        <f aca="false">IF(Q1403="","",ROUND((Q1403-B1403)*24,1))</f>
        <v>0</v>
      </c>
    </row>
    <row r="1404" customFormat="false" ht="15" hidden="false" customHeight="false" outlineLevel="0" collapsed="false">
      <c r="A1404" s="3" t="s">
        <v>2942</v>
      </c>
      <c r="B1404" s="5" t="n">
        <v>46275.4034722222</v>
      </c>
      <c r="C1404" s="3" t="s">
        <v>39</v>
      </c>
      <c r="D1404" s="3" t="s">
        <v>155</v>
      </c>
      <c r="E1404" s="3" t="s">
        <v>156</v>
      </c>
      <c r="F1404" s="3" t="s">
        <v>65</v>
      </c>
      <c r="G1404" s="3" t="s">
        <v>42</v>
      </c>
      <c r="H1404" s="3" t="s">
        <v>2943</v>
      </c>
      <c r="I1404" s="3" t="n">
        <v>3</v>
      </c>
      <c r="J1404" s="3" t="n">
        <v>5</v>
      </c>
      <c r="K1404" s="3" t="n">
        <v>4</v>
      </c>
      <c r="L1404" s="3" t="n">
        <v>5</v>
      </c>
      <c r="M1404" s="3" t="n">
        <v>4</v>
      </c>
      <c r="N1404" s="3" t="n">
        <v>4</v>
      </c>
      <c r="O1404" s="6" t="b">
        <f aca="false">FALSE()</f>
        <v>0</v>
      </c>
      <c r="P1404" s="3"/>
      <c r="Q1404" s="5" t="n">
        <v>46275.4048611111</v>
      </c>
      <c r="R1404" s="5" t="n">
        <v>46275.4243055556</v>
      </c>
      <c r="S1404" s="3" t="s">
        <v>1699</v>
      </c>
      <c r="T1404" s="7" t="n">
        <f aca="false">ROUND(MIN(IF(OR(O1404=TRUE(),O1404="TRUE",O1404="Yes"),59,100),(I1404*Rubric!$C$2+J1404*Rubric!$C$3+K1404*Rubric!$C$4+L1404*Rubric!$C$5+M1404*Rubric!$C$6+N1404*Rubric!$C$7)/5),1)</f>
        <v>85</v>
      </c>
      <c r="U1404" s="8" t="str">
        <f aca="false">LOOKUP(T1404,Bands!$A$2:$A$6,Bands!$B$2:$B$6)</f>
        <v>Solid Performance</v>
      </c>
      <c r="V1404" s="8" t="n">
        <f aca="false">IF(Q1404="","",ROUND((Q1404-B1404)*24,1))</f>
        <v>0</v>
      </c>
    </row>
    <row r="1405" customFormat="false" ht="15" hidden="false" customHeight="false" outlineLevel="0" collapsed="false">
      <c r="A1405" s="3" t="s">
        <v>2944</v>
      </c>
      <c r="B1405" s="5" t="n">
        <v>46275.5152777778</v>
      </c>
      <c r="C1405" s="3" t="s">
        <v>39</v>
      </c>
      <c r="D1405" s="3" t="s">
        <v>77</v>
      </c>
      <c r="E1405" s="3" t="s">
        <v>78</v>
      </c>
      <c r="F1405" s="3" t="s">
        <v>33</v>
      </c>
      <c r="G1405" s="3" t="s">
        <v>54</v>
      </c>
      <c r="H1405" s="3" t="s">
        <v>2945</v>
      </c>
      <c r="I1405" s="3" t="n">
        <v>5</v>
      </c>
      <c r="J1405" s="3" t="n">
        <v>5</v>
      </c>
      <c r="K1405" s="3" t="n">
        <v>5</v>
      </c>
      <c r="L1405" s="3" t="n">
        <v>5</v>
      </c>
      <c r="M1405" s="3" t="n">
        <v>5</v>
      </c>
      <c r="N1405" s="3" t="n">
        <v>5</v>
      </c>
      <c r="O1405" s="6" t="b">
        <f aca="false">FALSE()</f>
        <v>0</v>
      </c>
      <c r="P1405" s="3"/>
      <c r="Q1405" s="5" t="n">
        <v>46275.5173611111</v>
      </c>
      <c r="R1405" s="5" t="n">
        <v>46275.7493055556</v>
      </c>
      <c r="S1405" s="3" t="s">
        <v>1699</v>
      </c>
      <c r="T1405" s="7" t="n">
        <f aca="false">ROUND(MIN(IF(OR(O1405=TRUE(),O1405="TRUE",O1405="Yes"),59,100),(I1405*Rubric!$C$2+J1405*Rubric!$C$3+K1405*Rubric!$C$4+L1405*Rubric!$C$5+M1405*Rubric!$C$6+N1405*Rubric!$C$7)/5),1)</f>
        <v>100</v>
      </c>
      <c r="U1405" s="8" t="str">
        <f aca="false">LOOKUP(T1405,Bands!$A$2:$A$6,Bands!$B$2:$B$6)</f>
        <v>Outstanding</v>
      </c>
      <c r="V1405" s="8" t="n">
        <f aca="false">IF(Q1405="","",ROUND((Q1405-B1405)*24,1))</f>
        <v>0</v>
      </c>
    </row>
    <row r="1406" customFormat="false" ht="15" hidden="false" customHeight="false" outlineLevel="0" collapsed="false">
      <c r="A1406" s="3" t="s">
        <v>2946</v>
      </c>
      <c r="B1406" s="5" t="n">
        <v>46276.6840277778</v>
      </c>
      <c r="C1406" s="3" t="s">
        <v>39</v>
      </c>
      <c r="D1406" s="3" t="s">
        <v>31</v>
      </c>
      <c r="E1406" s="3" t="s">
        <v>32</v>
      </c>
      <c r="F1406" s="3" t="s">
        <v>33</v>
      </c>
      <c r="G1406" s="3" t="s">
        <v>42</v>
      </c>
      <c r="H1406" s="3" t="s">
        <v>2947</v>
      </c>
      <c r="I1406" s="3" t="n">
        <v>4</v>
      </c>
      <c r="J1406" s="3" t="n">
        <v>4</v>
      </c>
      <c r="K1406" s="3" t="n">
        <v>4</v>
      </c>
      <c r="L1406" s="3" t="n">
        <v>4</v>
      </c>
      <c r="M1406" s="3" t="n">
        <v>4</v>
      </c>
      <c r="N1406" s="3" t="n">
        <v>5</v>
      </c>
      <c r="O1406" s="6" t="b">
        <f aca="false">FALSE()</f>
        <v>0</v>
      </c>
      <c r="P1406" s="3"/>
      <c r="Q1406" s="5" t="n">
        <v>46276.6847222222</v>
      </c>
      <c r="R1406" s="5" t="n">
        <v>46276.8604166667</v>
      </c>
      <c r="S1406" s="3" t="s">
        <v>1699</v>
      </c>
      <c r="T1406" s="7" t="n">
        <f aca="false">ROUND(MIN(IF(OR(O1406=TRUE(),O1406="TRUE",O1406="Yes"),59,100),(I1406*Rubric!$C$2+J1406*Rubric!$C$3+K1406*Rubric!$C$4+L1406*Rubric!$C$5+M1406*Rubric!$C$6+N1406*Rubric!$C$7)/5),1)</f>
        <v>83</v>
      </c>
      <c r="U1406" s="8" t="str">
        <f aca="false">LOOKUP(T1406,Bands!$A$2:$A$6,Bands!$B$2:$B$6)</f>
        <v>Solid Performance</v>
      </c>
      <c r="V1406" s="8" t="n">
        <f aca="false">IF(Q1406="","",ROUND((Q1406-B1406)*24,1))</f>
        <v>0</v>
      </c>
    </row>
    <row r="1407" customFormat="false" ht="15" hidden="false" customHeight="false" outlineLevel="0" collapsed="false">
      <c r="A1407" s="3" t="s">
        <v>2948</v>
      </c>
      <c r="B1407" s="5" t="n">
        <v>46276.5930555556</v>
      </c>
      <c r="C1407" s="3" t="s">
        <v>68</v>
      </c>
      <c r="D1407" s="3" t="s">
        <v>194</v>
      </c>
      <c r="E1407" s="3" t="s">
        <v>195</v>
      </c>
      <c r="F1407" s="3" t="s">
        <v>53</v>
      </c>
      <c r="G1407" s="3" t="s">
        <v>54</v>
      </c>
      <c r="H1407" s="3" t="s">
        <v>2949</v>
      </c>
      <c r="I1407" s="3" t="n">
        <v>4</v>
      </c>
      <c r="J1407" s="3" t="n">
        <v>4</v>
      </c>
      <c r="K1407" s="3" t="n">
        <v>4</v>
      </c>
      <c r="L1407" s="3" t="n">
        <v>4</v>
      </c>
      <c r="M1407" s="3" t="n">
        <v>4</v>
      </c>
      <c r="N1407" s="3" t="n">
        <v>3</v>
      </c>
      <c r="O1407" s="6" t="b">
        <f aca="false">FALSE()</f>
        <v>0</v>
      </c>
      <c r="P1407" s="3"/>
      <c r="Q1407" s="5" t="n">
        <v>46276.59375</v>
      </c>
      <c r="R1407" s="5" t="n">
        <v>46276.6097222222</v>
      </c>
      <c r="S1407" s="3" t="s">
        <v>1699</v>
      </c>
      <c r="T1407" s="7" t="n">
        <f aca="false">ROUND(MIN(IF(OR(O1407=TRUE(),O1407="TRUE",O1407="Yes"),59,100),(I1407*Rubric!$C$2+J1407*Rubric!$C$3+K1407*Rubric!$C$4+L1407*Rubric!$C$5+M1407*Rubric!$C$6+N1407*Rubric!$C$7)/5),1)</f>
        <v>77</v>
      </c>
      <c r="U1407" s="8" t="str">
        <f aca="false">LOOKUP(T1407,Bands!$A$2:$A$6,Bands!$B$2:$B$6)</f>
        <v>Meets Expectations</v>
      </c>
      <c r="V1407" s="8" t="n">
        <f aca="false">IF(Q1407="","",ROUND((Q1407-B1407)*24,1))</f>
        <v>0</v>
      </c>
    </row>
    <row r="1408" customFormat="false" ht="15" hidden="false" customHeight="false" outlineLevel="0" collapsed="false">
      <c r="A1408" s="3" t="s">
        <v>2950</v>
      </c>
      <c r="B1408" s="5" t="n">
        <v>46276.6847222222</v>
      </c>
      <c r="C1408" s="3" t="s">
        <v>30</v>
      </c>
      <c r="D1408" s="3" t="s">
        <v>155</v>
      </c>
      <c r="E1408" s="3" t="s">
        <v>156</v>
      </c>
      <c r="F1408" s="3" t="s">
        <v>65</v>
      </c>
      <c r="G1408" s="3" t="s">
        <v>42</v>
      </c>
      <c r="H1408" s="3" t="s">
        <v>2951</v>
      </c>
      <c r="I1408" s="3" t="n">
        <v>4</v>
      </c>
      <c r="J1408" s="3" t="n">
        <v>5</v>
      </c>
      <c r="K1408" s="3" t="n">
        <v>4</v>
      </c>
      <c r="L1408" s="3" t="n">
        <v>5</v>
      </c>
      <c r="M1408" s="3" t="n">
        <v>5</v>
      </c>
      <c r="N1408" s="3" t="n">
        <v>4</v>
      </c>
      <c r="O1408" s="6" t="b">
        <f aca="false">FALSE()</f>
        <v>0</v>
      </c>
      <c r="P1408" s="3"/>
      <c r="Q1408" s="5" t="n">
        <v>46276.6854166667</v>
      </c>
      <c r="R1408" s="5" t="n">
        <v>46277.1430555556</v>
      </c>
      <c r="S1408" s="3" t="s">
        <v>1699</v>
      </c>
      <c r="T1408" s="7" t="n">
        <f aca="false">ROUND(MIN(IF(OR(O1408=TRUE(),O1408="TRUE",O1408="Yes"),59,100),(I1408*Rubric!$C$2+J1408*Rubric!$C$3+K1408*Rubric!$C$4+L1408*Rubric!$C$5+M1408*Rubric!$C$6+N1408*Rubric!$C$7)/5),1)</f>
        <v>90</v>
      </c>
      <c r="U1408" s="8" t="str">
        <f aca="false">LOOKUP(T1408,Bands!$A$2:$A$6,Bands!$B$2:$B$6)</f>
        <v>Outstanding</v>
      </c>
      <c r="V1408" s="8" t="n">
        <f aca="false">IF(Q1408="","",ROUND((Q1408-B1408)*24,1))</f>
        <v>0</v>
      </c>
    </row>
    <row r="1409" customFormat="false" ht="15" hidden="false" customHeight="false" outlineLevel="0" collapsed="false">
      <c r="A1409" s="3" t="s">
        <v>2952</v>
      </c>
      <c r="B1409" s="5" t="n">
        <v>46276.6694444444</v>
      </c>
      <c r="C1409" s="3" t="s">
        <v>39</v>
      </c>
      <c r="D1409" s="3" t="s">
        <v>293</v>
      </c>
      <c r="E1409" s="3" t="s">
        <v>294</v>
      </c>
      <c r="F1409" s="3" t="s">
        <v>65</v>
      </c>
      <c r="G1409" s="3" t="s">
        <v>54</v>
      </c>
      <c r="H1409" s="3" t="s">
        <v>2953</v>
      </c>
      <c r="I1409" s="3" t="n">
        <v>5</v>
      </c>
      <c r="J1409" s="3" t="n">
        <v>5</v>
      </c>
      <c r="K1409" s="3" t="n">
        <v>5</v>
      </c>
      <c r="L1409" s="3" t="n">
        <v>4</v>
      </c>
      <c r="M1409" s="3" t="n">
        <v>5</v>
      </c>
      <c r="N1409" s="3" t="n">
        <v>5</v>
      </c>
      <c r="O1409" s="6" t="b">
        <f aca="false">FALSE()</f>
        <v>0</v>
      </c>
      <c r="P1409" s="3"/>
      <c r="Q1409" s="5" t="n">
        <v>46276.6701388889</v>
      </c>
      <c r="R1409" s="5" t="n">
        <v>46276.9958333333</v>
      </c>
      <c r="S1409" s="3" t="s">
        <v>1699</v>
      </c>
      <c r="T1409" s="7" t="n">
        <f aca="false">ROUND(MIN(IF(OR(O1409=TRUE(),O1409="TRUE",O1409="Yes"),59,100),(I1409*Rubric!$C$2+J1409*Rubric!$C$3+K1409*Rubric!$C$4+L1409*Rubric!$C$5+M1409*Rubric!$C$6+N1409*Rubric!$C$7)/5),1)</f>
        <v>97</v>
      </c>
      <c r="U1409" s="8" t="str">
        <f aca="false">LOOKUP(T1409,Bands!$A$2:$A$6,Bands!$B$2:$B$6)</f>
        <v>Outstanding</v>
      </c>
      <c r="V1409" s="8" t="n">
        <f aca="false">IF(Q1409="","",ROUND((Q1409-B1409)*24,1))</f>
        <v>0</v>
      </c>
    </row>
    <row r="1410" customFormat="false" ht="15" hidden="false" customHeight="false" outlineLevel="0" collapsed="false">
      <c r="A1410" s="3" t="s">
        <v>2954</v>
      </c>
      <c r="B1410" s="5" t="n">
        <v>46276.4625</v>
      </c>
      <c r="C1410" s="3" t="s">
        <v>68</v>
      </c>
      <c r="D1410" s="3" t="s">
        <v>63</v>
      </c>
      <c r="E1410" s="3" t="s">
        <v>64</v>
      </c>
      <c r="F1410" s="3" t="s">
        <v>65</v>
      </c>
      <c r="G1410" s="3" t="s">
        <v>42</v>
      </c>
      <c r="H1410" s="3" t="s">
        <v>2955</v>
      </c>
      <c r="I1410" s="3" t="n">
        <v>5</v>
      </c>
      <c r="J1410" s="3" t="n">
        <v>4</v>
      </c>
      <c r="K1410" s="3" t="n">
        <v>3</v>
      </c>
      <c r="L1410" s="3" t="n">
        <v>4</v>
      </c>
      <c r="M1410" s="3" t="n">
        <v>4</v>
      </c>
      <c r="N1410" s="3" t="n">
        <v>4</v>
      </c>
      <c r="O1410" s="6" t="b">
        <f aca="false">FALSE()</f>
        <v>0</v>
      </c>
      <c r="P1410" s="3"/>
      <c r="Q1410" s="5" t="n">
        <v>46276.4638888889</v>
      </c>
      <c r="R1410" s="5" t="n">
        <v>46276.6270833333</v>
      </c>
      <c r="S1410" s="3" t="s">
        <v>1699</v>
      </c>
      <c r="T1410" s="7" t="n">
        <f aca="false">ROUND(MIN(IF(OR(O1410=TRUE(),O1410="TRUE",O1410="Yes"),59,100),(I1410*Rubric!$C$2+J1410*Rubric!$C$3+K1410*Rubric!$C$4+L1410*Rubric!$C$5+M1410*Rubric!$C$6+N1410*Rubric!$C$7)/5),1)</f>
        <v>79</v>
      </c>
      <c r="U1410" s="8" t="str">
        <f aca="false">LOOKUP(T1410,Bands!$A$2:$A$6,Bands!$B$2:$B$6)</f>
        <v>Meets Expectations</v>
      </c>
      <c r="V1410" s="8" t="n">
        <f aca="false">IF(Q1410="","",ROUND((Q1410-B1410)*24,1))</f>
        <v>0</v>
      </c>
    </row>
    <row r="1411" customFormat="false" ht="15" hidden="false" customHeight="false" outlineLevel="0" collapsed="false">
      <c r="A1411" s="3" t="s">
        <v>2956</v>
      </c>
      <c r="B1411" s="5" t="n">
        <v>46276.5138888889</v>
      </c>
      <c r="C1411" s="3" t="s">
        <v>30</v>
      </c>
      <c r="D1411" s="3" t="s">
        <v>119</v>
      </c>
      <c r="E1411" s="3" t="s">
        <v>120</v>
      </c>
      <c r="F1411" s="3" t="s">
        <v>33</v>
      </c>
      <c r="G1411" s="3" t="s">
        <v>54</v>
      </c>
      <c r="H1411" s="3" t="s">
        <v>2957</v>
      </c>
      <c r="I1411" s="3" t="n">
        <v>3</v>
      </c>
      <c r="J1411" s="3" t="n">
        <v>5</v>
      </c>
      <c r="K1411" s="3" t="n">
        <v>4</v>
      </c>
      <c r="L1411" s="3" t="n">
        <v>4</v>
      </c>
      <c r="M1411" s="3" t="n">
        <v>3</v>
      </c>
      <c r="N1411" s="3" t="n">
        <v>4</v>
      </c>
      <c r="O1411" s="6" t="b">
        <f aca="false">FALSE()</f>
        <v>0</v>
      </c>
      <c r="P1411" s="3"/>
      <c r="Q1411" s="5" t="n">
        <v>46276.5152777778</v>
      </c>
      <c r="R1411" s="5" t="n">
        <v>46276.5236111111</v>
      </c>
      <c r="S1411" s="3" t="s">
        <v>1699</v>
      </c>
      <c r="T1411" s="7" t="n">
        <f aca="false">ROUND(MIN(IF(OR(O1411=TRUE(),O1411="TRUE",O1411="Yes"),59,100),(I1411*Rubric!$C$2+J1411*Rubric!$C$3+K1411*Rubric!$C$4+L1411*Rubric!$C$5+M1411*Rubric!$C$6+N1411*Rubric!$C$7)/5),1)</f>
        <v>80</v>
      </c>
      <c r="U1411" s="8" t="str">
        <f aca="false">LOOKUP(T1411,Bands!$A$2:$A$6,Bands!$B$2:$B$6)</f>
        <v>Solid Performance</v>
      </c>
      <c r="V1411" s="8" t="n">
        <f aca="false">IF(Q1411="","",ROUND((Q1411-B1411)*24,1))</f>
        <v>0</v>
      </c>
    </row>
    <row r="1412" customFormat="false" ht="15" hidden="false" customHeight="false" outlineLevel="0" collapsed="false">
      <c r="A1412" s="3" t="s">
        <v>2958</v>
      </c>
      <c r="B1412" s="5" t="n">
        <v>46276.4659722222</v>
      </c>
      <c r="C1412" s="3" t="s">
        <v>30</v>
      </c>
      <c r="D1412" s="3" t="s">
        <v>307</v>
      </c>
      <c r="E1412" s="3" t="s">
        <v>308</v>
      </c>
      <c r="F1412" s="3" t="s">
        <v>33</v>
      </c>
      <c r="G1412" s="3" t="s">
        <v>54</v>
      </c>
      <c r="H1412" s="3" t="s">
        <v>2959</v>
      </c>
      <c r="I1412" s="3" t="n">
        <v>5</v>
      </c>
      <c r="J1412" s="3" t="n">
        <v>4</v>
      </c>
      <c r="K1412" s="3" t="n">
        <v>5</v>
      </c>
      <c r="L1412" s="3" t="n">
        <v>5</v>
      </c>
      <c r="M1412" s="3" t="n">
        <v>5</v>
      </c>
      <c r="N1412" s="3" t="n">
        <v>5</v>
      </c>
      <c r="O1412" s="6" t="b">
        <f aca="false">FALSE()</f>
        <v>0</v>
      </c>
      <c r="P1412" s="3"/>
      <c r="Q1412" s="5" t="n">
        <v>46276.4673611111</v>
      </c>
      <c r="R1412" s="5" t="n">
        <v>46276.98125</v>
      </c>
      <c r="S1412" s="3" t="s">
        <v>1699</v>
      </c>
      <c r="T1412" s="7" t="n">
        <f aca="false">ROUND(MIN(IF(OR(O1412=TRUE(),O1412="TRUE",O1412="Yes"),59,100),(I1412*Rubric!$C$2+J1412*Rubric!$C$3+K1412*Rubric!$C$4+L1412*Rubric!$C$5+M1412*Rubric!$C$6+N1412*Rubric!$C$7)/5),1)</f>
        <v>95</v>
      </c>
      <c r="U1412" s="8" t="str">
        <f aca="false">LOOKUP(T1412,Bands!$A$2:$A$6,Bands!$B$2:$B$6)</f>
        <v>Outstanding</v>
      </c>
      <c r="V1412" s="8" t="n">
        <f aca="false">IF(Q1412="","",ROUND((Q1412-B1412)*24,1))</f>
        <v>0</v>
      </c>
    </row>
    <row r="1413" customFormat="false" ht="15" hidden="false" customHeight="false" outlineLevel="0" collapsed="false">
      <c r="A1413" s="3" t="s">
        <v>2960</v>
      </c>
      <c r="B1413" s="5" t="n">
        <v>46276.6104166667</v>
      </c>
      <c r="C1413" s="3" t="s">
        <v>30</v>
      </c>
      <c r="D1413" s="3" t="s">
        <v>85</v>
      </c>
      <c r="E1413" s="3" t="s">
        <v>86</v>
      </c>
      <c r="F1413" s="3" t="s">
        <v>33</v>
      </c>
      <c r="G1413" s="3" t="s">
        <v>42</v>
      </c>
      <c r="H1413" s="3" t="s">
        <v>2961</v>
      </c>
      <c r="I1413" s="3" t="n">
        <v>3</v>
      </c>
      <c r="J1413" s="3" t="n">
        <v>5</v>
      </c>
      <c r="K1413" s="3" t="n">
        <v>4</v>
      </c>
      <c r="L1413" s="3" t="n">
        <v>4</v>
      </c>
      <c r="M1413" s="3" t="n">
        <v>4</v>
      </c>
      <c r="N1413" s="3" t="n">
        <v>3</v>
      </c>
      <c r="O1413" s="6" t="b">
        <f aca="false">FALSE()</f>
        <v>0</v>
      </c>
      <c r="P1413" s="3"/>
      <c r="Q1413" s="5" t="n">
        <v>46276.6125</v>
      </c>
      <c r="R1413" s="5" t="n">
        <v>46276.9645833333</v>
      </c>
      <c r="S1413" s="3" t="s">
        <v>1699</v>
      </c>
      <c r="T1413" s="7" t="n">
        <f aca="false">ROUND(MIN(IF(OR(O1413=TRUE(),O1413="TRUE",O1413="Yes"),59,100),(I1413*Rubric!$C$2+J1413*Rubric!$C$3+K1413*Rubric!$C$4+L1413*Rubric!$C$5+M1413*Rubric!$C$6+N1413*Rubric!$C$7)/5),1)</f>
        <v>79</v>
      </c>
      <c r="U1413" s="8" t="str">
        <f aca="false">LOOKUP(T1413,Bands!$A$2:$A$6,Bands!$B$2:$B$6)</f>
        <v>Meets Expectations</v>
      </c>
      <c r="V1413" s="8" t="n">
        <f aca="false">IF(Q1413="","",ROUND((Q1413-B1413)*24,1))</f>
        <v>0</v>
      </c>
    </row>
    <row r="1414" customFormat="false" ht="15" hidden="false" customHeight="false" outlineLevel="0" collapsed="false">
      <c r="A1414" s="3" t="s">
        <v>2962</v>
      </c>
      <c r="B1414" s="5" t="n">
        <v>46276.4326388889</v>
      </c>
      <c r="C1414" s="3" t="s">
        <v>68</v>
      </c>
      <c r="D1414" s="3" t="s">
        <v>145</v>
      </c>
      <c r="E1414" s="3" t="s">
        <v>146</v>
      </c>
      <c r="F1414" s="3" t="s">
        <v>33</v>
      </c>
      <c r="G1414" s="3" t="s">
        <v>34</v>
      </c>
      <c r="H1414" s="3" t="s">
        <v>2963</v>
      </c>
      <c r="I1414" s="3" t="n">
        <v>4</v>
      </c>
      <c r="J1414" s="3" t="n">
        <v>4</v>
      </c>
      <c r="K1414" s="3" t="n">
        <v>4</v>
      </c>
      <c r="L1414" s="3" t="n">
        <v>4</v>
      </c>
      <c r="M1414" s="3" t="n">
        <v>4</v>
      </c>
      <c r="N1414" s="3" t="n">
        <v>4</v>
      </c>
      <c r="O1414" s="6" t="b">
        <f aca="false">FALSE()</f>
        <v>0</v>
      </c>
      <c r="P1414" s="3"/>
      <c r="Q1414" s="5" t="n">
        <v>46276.4347222222</v>
      </c>
      <c r="R1414" s="5" t="n">
        <v>46276.5729166667</v>
      </c>
      <c r="S1414" s="3" t="s">
        <v>1699</v>
      </c>
      <c r="T1414" s="7" t="n">
        <f aca="false">ROUND(MIN(IF(OR(O1414=TRUE(),O1414="TRUE",O1414="Yes"),59,100),(I1414*Rubric!$C$2+J1414*Rubric!$C$3+K1414*Rubric!$C$4+L1414*Rubric!$C$5+M1414*Rubric!$C$6+N1414*Rubric!$C$7)/5),1)</f>
        <v>80</v>
      </c>
      <c r="U1414" s="8" t="str">
        <f aca="false">LOOKUP(T1414,Bands!$A$2:$A$6,Bands!$B$2:$B$6)</f>
        <v>Solid Performance</v>
      </c>
      <c r="V1414" s="8" t="n">
        <f aca="false">IF(Q1414="","",ROUND((Q1414-B1414)*24,1))</f>
        <v>0</v>
      </c>
    </row>
    <row r="1415" customFormat="false" ht="15" hidden="false" customHeight="false" outlineLevel="0" collapsed="false">
      <c r="A1415" s="3" t="s">
        <v>2964</v>
      </c>
      <c r="B1415" s="5" t="n">
        <v>46276.4520833333</v>
      </c>
      <c r="C1415" s="3" t="s">
        <v>68</v>
      </c>
      <c r="D1415" s="3" t="s">
        <v>115</v>
      </c>
      <c r="E1415" s="3" t="s">
        <v>116</v>
      </c>
      <c r="F1415" s="3" t="s">
        <v>33</v>
      </c>
      <c r="G1415" s="3" t="s">
        <v>54</v>
      </c>
      <c r="H1415" s="3" t="s">
        <v>2965</v>
      </c>
      <c r="I1415" s="3" t="n">
        <v>4</v>
      </c>
      <c r="J1415" s="3" t="n">
        <v>5</v>
      </c>
      <c r="K1415" s="3" t="n">
        <v>4</v>
      </c>
      <c r="L1415" s="3" t="n">
        <v>5</v>
      </c>
      <c r="M1415" s="3" t="n">
        <v>4</v>
      </c>
      <c r="N1415" s="3" t="n">
        <v>4</v>
      </c>
      <c r="O1415" s="6" t="b">
        <f aca="false">FALSE()</f>
        <v>0</v>
      </c>
      <c r="P1415" s="3"/>
      <c r="Q1415" s="5" t="n">
        <v>46276.4534722222</v>
      </c>
      <c r="R1415" s="5" t="n">
        <v>46277.0493055556</v>
      </c>
      <c r="S1415" s="3" t="s">
        <v>1699</v>
      </c>
      <c r="T1415" s="7" t="n">
        <f aca="false">ROUND(MIN(IF(OR(O1415=TRUE(),O1415="TRUE",O1415="Yes"),59,100),(I1415*Rubric!$C$2+J1415*Rubric!$C$3+K1415*Rubric!$C$4+L1415*Rubric!$C$5+M1415*Rubric!$C$6+N1415*Rubric!$C$7)/5),1)</f>
        <v>88</v>
      </c>
      <c r="U1415" s="8" t="str">
        <f aca="false">LOOKUP(T1415,Bands!$A$2:$A$6,Bands!$B$2:$B$6)</f>
        <v>Solid Performance</v>
      </c>
      <c r="V1415" s="8" t="n">
        <f aca="false">IF(Q1415="","",ROUND((Q1415-B1415)*24,1))</f>
        <v>0</v>
      </c>
    </row>
    <row r="1416" customFormat="false" ht="15" hidden="false" customHeight="false" outlineLevel="0" collapsed="false">
      <c r="A1416" s="3" t="s">
        <v>2966</v>
      </c>
      <c r="B1416" s="5" t="n">
        <v>46276.5770833333</v>
      </c>
      <c r="C1416" s="3" t="s">
        <v>30</v>
      </c>
      <c r="D1416" s="3" t="s">
        <v>167</v>
      </c>
      <c r="E1416" s="3" t="s">
        <v>168</v>
      </c>
      <c r="F1416" s="3" t="s">
        <v>33</v>
      </c>
      <c r="G1416" s="3" t="s">
        <v>34</v>
      </c>
      <c r="H1416" s="3" t="s">
        <v>2967</v>
      </c>
      <c r="I1416" s="3" t="n">
        <v>3</v>
      </c>
      <c r="J1416" s="3" t="n">
        <v>4</v>
      </c>
      <c r="K1416" s="3" t="n">
        <v>4</v>
      </c>
      <c r="L1416" s="3" t="n">
        <v>4</v>
      </c>
      <c r="M1416" s="3" t="n">
        <v>3</v>
      </c>
      <c r="N1416" s="3" t="n">
        <v>3</v>
      </c>
      <c r="O1416" s="6" t="b">
        <f aca="false">FALSE()</f>
        <v>0</v>
      </c>
      <c r="P1416" s="3"/>
      <c r="Q1416" s="5" t="n">
        <v>46276.5791666667</v>
      </c>
      <c r="R1416" s="5" t="n">
        <v>46276.63125</v>
      </c>
      <c r="S1416" s="3" t="s">
        <v>1699</v>
      </c>
      <c r="T1416" s="7" t="n">
        <f aca="false">ROUND(MIN(IF(OR(O1416=TRUE(),O1416="TRUE",O1416="Yes"),59,100),(I1416*Rubric!$C$2+J1416*Rubric!$C$3+K1416*Rubric!$C$4+L1416*Rubric!$C$5+M1416*Rubric!$C$6+N1416*Rubric!$C$7)/5),1)</f>
        <v>72</v>
      </c>
      <c r="U1416" s="8" t="str">
        <f aca="false">LOOKUP(T1416,Bands!$A$2:$A$6,Bands!$B$2:$B$6)</f>
        <v>Meets Expectations</v>
      </c>
      <c r="V1416" s="8" t="n">
        <f aca="false">IF(Q1416="","",ROUND((Q1416-B1416)*24,1))</f>
        <v>0.1</v>
      </c>
    </row>
    <row r="1417" customFormat="false" ht="15" hidden="false" customHeight="false" outlineLevel="0" collapsed="false">
      <c r="A1417" s="3" t="s">
        <v>2968</v>
      </c>
      <c r="B1417" s="5" t="n">
        <v>46276.4076388889</v>
      </c>
      <c r="C1417" s="3" t="s">
        <v>39</v>
      </c>
      <c r="D1417" s="3" t="s">
        <v>222</v>
      </c>
      <c r="E1417" s="3" t="s">
        <v>223</v>
      </c>
      <c r="F1417" s="3" t="s">
        <v>53</v>
      </c>
      <c r="G1417" s="3" t="s">
        <v>54</v>
      </c>
      <c r="H1417" s="3" t="s">
        <v>2969</v>
      </c>
      <c r="I1417" s="3" t="n">
        <v>5</v>
      </c>
      <c r="J1417" s="3" t="n">
        <v>4</v>
      </c>
      <c r="K1417" s="3" t="n">
        <v>4</v>
      </c>
      <c r="L1417" s="3" t="n">
        <v>5</v>
      </c>
      <c r="M1417" s="3" t="n">
        <v>5</v>
      </c>
      <c r="N1417" s="3" t="n">
        <v>3</v>
      </c>
      <c r="O1417" s="6" t="b">
        <f aca="false">FALSE()</f>
        <v>0</v>
      </c>
      <c r="P1417" s="3"/>
      <c r="Q1417" s="5" t="n">
        <v>46276.4097222222</v>
      </c>
      <c r="R1417" s="5" t="n">
        <v>46276.4777777778</v>
      </c>
      <c r="S1417" s="3" t="s">
        <v>1699</v>
      </c>
      <c r="T1417" s="7" t="n">
        <f aca="false">ROUND(MIN(IF(OR(O1417=TRUE(),O1417="TRUE",O1417="Yes"),59,100),(I1417*Rubric!$C$2+J1417*Rubric!$C$3+K1417*Rubric!$C$4+L1417*Rubric!$C$5+M1417*Rubric!$C$6+N1417*Rubric!$C$7)/5),1)</f>
        <v>85</v>
      </c>
      <c r="U1417" s="8" t="str">
        <f aca="false">LOOKUP(T1417,Bands!$A$2:$A$6,Bands!$B$2:$B$6)</f>
        <v>Solid Performance</v>
      </c>
      <c r="V1417" s="8" t="n">
        <f aca="false">IF(Q1417="","",ROUND((Q1417-B1417)*24,1))</f>
        <v>0</v>
      </c>
    </row>
    <row r="1418" customFormat="false" ht="15" hidden="false" customHeight="false" outlineLevel="0" collapsed="false">
      <c r="A1418" s="3" t="s">
        <v>2970</v>
      </c>
      <c r="B1418" s="5" t="n">
        <v>46279.5319444445</v>
      </c>
      <c r="C1418" s="3" t="s">
        <v>68</v>
      </c>
      <c r="D1418" s="3" t="s">
        <v>161</v>
      </c>
      <c r="E1418" s="3" t="s">
        <v>162</v>
      </c>
      <c r="F1418" s="3" t="s">
        <v>33</v>
      </c>
      <c r="G1418" s="3" t="s">
        <v>54</v>
      </c>
      <c r="H1418" s="3" t="s">
        <v>2971</v>
      </c>
      <c r="I1418" s="3" t="n">
        <v>4</v>
      </c>
      <c r="J1418" s="3" t="n">
        <v>3</v>
      </c>
      <c r="K1418" s="3" t="n">
        <v>5</v>
      </c>
      <c r="L1418" s="3" t="n">
        <v>4</v>
      </c>
      <c r="M1418" s="3" t="n">
        <v>3</v>
      </c>
      <c r="N1418" s="3" t="n">
        <v>4</v>
      </c>
      <c r="O1418" s="6" t="b">
        <f aca="false">FALSE()</f>
        <v>0</v>
      </c>
      <c r="P1418" s="3"/>
      <c r="Q1418" s="5" t="n">
        <v>46279.5326388889</v>
      </c>
      <c r="R1418" s="5" t="n">
        <v>46279.61875</v>
      </c>
      <c r="S1418" s="3" t="s">
        <v>1699</v>
      </c>
      <c r="T1418" s="7" t="n">
        <f aca="false">ROUND(MIN(IF(OR(O1418=TRUE(),O1418="TRUE",O1418="Yes"),59,100),(I1418*Rubric!$C$2+J1418*Rubric!$C$3+K1418*Rubric!$C$4+L1418*Rubric!$C$5+M1418*Rubric!$C$6+N1418*Rubric!$C$7)/5),1)</f>
        <v>77</v>
      </c>
      <c r="U1418" s="8" t="str">
        <f aca="false">LOOKUP(T1418,Bands!$A$2:$A$6,Bands!$B$2:$B$6)</f>
        <v>Meets Expectations</v>
      </c>
      <c r="V1418" s="8" t="n">
        <f aca="false">IF(Q1418="","",ROUND((Q1418-B1418)*24,1))</f>
        <v>0</v>
      </c>
    </row>
    <row r="1419" customFormat="false" ht="15" hidden="false" customHeight="false" outlineLevel="0" collapsed="false">
      <c r="A1419" s="3" t="s">
        <v>2972</v>
      </c>
      <c r="B1419" s="5" t="n">
        <v>46279.6145833333</v>
      </c>
      <c r="C1419" s="3" t="s">
        <v>39</v>
      </c>
      <c r="D1419" s="3" t="s">
        <v>155</v>
      </c>
      <c r="E1419" s="3" t="s">
        <v>156</v>
      </c>
      <c r="F1419" s="3" t="s">
        <v>65</v>
      </c>
      <c r="G1419" s="3" t="s">
        <v>42</v>
      </c>
      <c r="H1419" s="3" t="s">
        <v>2973</v>
      </c>
      <c r="I1419" s="3" t="n">
        <v>3</v>
      </c>
      <c r="J1419" s="3" t="n">
        <v>4</v>
      </c>
      <c r="K1419" s="3" t="n">
        <v>4</v>
      </c>
      <c r="L1419" s="3" t="n">
        <v>4</v>
      </c>
      <c r="M1419" s="3" t="n">
        <v>4</v>
      </c>
      <c r="N1419" s="3" t="n">
        <v>5</v>
      </c>
      <c r="O1419" s="6" t="b">
        <f aca="false">FALSE()</f>
        <v>0</v>
      </c>
      <c r="P1419" s="3"/>
      <c r="Q1419" s="5" t="n">
        <v>46279.6152777778</v>
      </c>
      <c r="R1419" s="5" t="n">
        <v>46280.4486111111</v>
      </c>
      <c r="S1419" s="3" t="s">
        <v>1699</v>
      </c>
      <c r="T1419" s="7" t="n">
        <f aca="false">ROUND(MIN(IF(OR(O1419=TRUE(),O1419="TRUE",O1419="Yes"),59,100),(I1419*Rubric!$C$2+J1419*Rubric!$C$3+K1419*Rubric!$C$4+L1419*Rubric!$C$5+M1419*Rubric!$C$6+N1419*Rubric!$C$7)/5),1)</f>
        <v>80</v>
      </c>
      <c r="U1419" s="8" t="str">
        <f aca="false">LOOKUP(T1419,Bands!$A$2:$A$6,Bands!$B$2:$B$6)</f>
        <v>Solid Performance</v>
      </c>
      <c r="V1419" s="8" t="n">
        <f aca="false">IF(Q1419="","",ROUND((Q1419-B1419)*24,1))</f>
        <v>0</v>
      </c>
    </row>
    <row r="1420" customFormat="false" ht="15" hidden="false" customHeight="false" outlineLevel="0" collapsed="false">
      <c r="A1420" s="3" t="s">
        <v>2974</v>
      </c>
      <c r="B1420" s="5" t="n">
        <v>46279.6104166667</v>
      </c>
      <c r="C1420" s="3" t="s">
        <v>68</v>
      </c>
      <c r="D1420" s="3" t="s">
        <v>202</v>
      </c>
      <c r="E1420" s="3" t="s">
        <v>203</v>
      </c>
      <c r="F1420" s="3" t="s">
        <v>53</v>
      </c>
      <c r="G1420" s="3" t="s">
        <v>54</v>
      </c>
      <c r="H1420" s="3" t="s">
        <v>2975</v>
      </c>
      <c r="I1420" s="3" t="n">
        <v>3</v>
      </c>
      <c r="J1420" s="3" t="n">
        <v>4</v>
      </c>
      <c r="K1420" s="3" t="n">
        <v>4</v>
      </c>
      <c r="L1420" s="3" t="n">
        <v>3</v>
      </c>
      <c r="M1420" s="3" t="n">
        <v>3</v>
      </c>
      <c r="N1420" s="3" t="n">
        <v>4</v>
      </c>
      <c r="O1420" s="6" t="b">
        <f aca="false">FALSE()</f>
        <v>0</v>
      </c>
      <c r="P1420" s="3"/>
      <c r="Q1420" s="5" t="n">
        <v>46279.6118055556</v>
      </c>
      <c r="R1420" s="5" t="n">
        <v>46279.7979166667</v>
      </c>
      <c r="S1420" s="3" t="s">
        <v>1699</v>
      </c>
      <c r="T1420" s="7" t="n">
        <f aca="false">ROUND(MIN(IF(OR(O1420=TRUE(),O1420="TRUE",O1420="Yes"),59,100),(I1420*Rubric!$C$2+J1420*Rubric!$C$3+K1420*Rubric!$C$4+L1420*Rubric!$C$5+M1420*Rubric!$C$6+N1420*Rubric!$C$7)/5),1)</f>
        <v>72</v>
      </c>
      <c r="U1420" s="8" t="str">
        <f aca="false">LOOKUP(T1420,Bands!$A$2:$A$6,Bands!$B$2:$B$6)</f>
        <v>Meets Expectations</v>
      </c>
      <c r="V1420" s="8" t="n">
        <f aca="false">IF(Q1420="","",ROUND((Q1420-B1420)*24,1))</f>
        <v>0</v>
      </c>
    </row>
    <row r="1421" customFormat="false" ht="15" hidden="false" customHeight="false" outlineLevel="0" collapsed="false">
      <c r="A1421" s="3" t="s">
        <v>2976</v>
      </c>
      <c r="B1421" s="5" t="n">
        <v>46279.5180555556</v>
      </c>
      <c r="C1421" s="3" t="s">
        <v>39</v>
      </c>
      <c r="D1421" s="3" t="s">
        <v>222</v>
      </c>
      <c r="E1421" s="3" t="s">
        <v>223</v>
      </c>
      <c r="F1421" s="3" t="s">
        <v>53</v>
      </c>
      <c r="G1421" s="3" t="s">
        <v>42</v>
      </c>
      <c r="H1421" s="3" t="s">
        <v>2977</v>
      </c>
      <c r="I1421" s="3" t="n">
        <v>4</v>
      </c>
      <c r="J1421" s="3" t="n">
        <v>4</v>
      </c>
      <c r="K1421" s="3" t="n">
        <v>3</v>
      </c>
      <c r="L1421" s="3" t="n">
        <v>4</v>
      </c>
      <c r="M1421" s="3" t="n">
        <v>3</v>
      </c>
      <c r="N1421" s="3" t="n">
        <v>3</v>
      </c>
      <c r="O1421" s="6" t="b">
        <f aca="false">FALSE()</f>
        <v>0</v>
      </c>
      <c r="P1421" s="3"/>
      <c r="Q1421" s="5" t="n">
        <v>46279.5194444444</v>
      </c>
      <c r="R1421" s="5" t="n">
        <v>46279.5868055556</v>
      </c>
      <c r="S1421" s="3" t="s">
        <v>1699</v>
      </c>
      <c r="T1421" s="7" t="n">
        <f aca="false">ROUND(MIN(IF(OR(O1421=TRUE(),O1421="TRUE",O1421="Yes"),59,100),(I1421*Rubric!$C$2+J1421*Rubric!$C$3+K1421*Rubric!$C$4+L1421*Rubric!$C$5+M1421*Rubric!$C$6+N1421*Rubric!$C$7)/5),1)</f>
        <v>71</v>
      </c>
      <c r="U1421" s="8" t="str">
        <f aca="false">LOOKUP(T1421,Bands!$A$2:$A$6,Bands!$B$2:$B$6)</f>
        <v>Meets Expectations</v>
      </c>
      <c r="V1421" s="8" t="n">
        <f aca="false">IF(Q1421="","",ROUND((Q1421-B1421)*24,1))</f>
        <v>0</v>
      </c>
    </row>
    <row r="1422" customFormat="false" ht="15" hidden="false" customHeight="false" outlineLevel="0" collapsed="false">
      <c r="A1422" s="3" t="s">
        <v>2978</v>
      </c>
      <c r="B1422" s="5" t="n">
        <v>46279.5159722222</v>
      </c>
      <c r="C1422" s="3" t="s">
        <v>30</v>
      </c>
      <c r="D1422" s="3" t="s">
        <v>137</v>
      </c>
      <c r="E1422" s="3" t="s">
        <v>138</v>
      </c>
      <c r="F1422" s="3" t="s">
        <v>65</v>
      </c>
      <c r="G1422" s="3" t="s">
        <v>42</v>
      </c>
      <c r="H1422" s="3" t="s">
        <v>2979</v>
      </c>
      <c r="I1422" s="3" t="n">
        <v>2</v>
      </c>
      <c r="J1422" s="3" t="n">
        <v>5</v>
      </c>
      <c r="K1422" s="3" t="n">
        <v>5</v>
      </c>
      <c r="L1422" s="3" t="n">
        <v>4</v>
      </c>
      <c r="M1422" s="3" t="n">
        <v>5</v>
      </c>
      <c r="N1422" s="3" t="n">
        <v>5</v>
      </c>
      <c r="O1422" s="6" t="b">
        <f aca="false">FALSE()</f>
        <v>0</v>
      </c>
      <c r="P1422" s="3" t="s">
        <v>88</v>
      </c>
      <c r="Q1422" s="5" t="n">
        <v>46279.5166666667</v>
      </c>
      <c r="R1422" s="5" t="n">
        <v>46280.0263888889</v>
      </c>
      <c r="S1422" s="3" t="s">
        <v>1699</v>
      </c>
      <c r="T1422" s="7" t="n">
        <f aca="false">ROUND(MIN(IF(OR(O1422=TRUE(),O1422="TRUE",O1422="Yes"),59,100),(I1422*Rubric!$C$2+J1422*Rubric!$C$3+K1422*Rubric!$C$4+L1422*Rubric!$C$5+M1422*Rubric!$C$6+N1422*Rubric!$C$7)/5),1)</f>
        <v>88</v>
      </c>
      <c r="U1422" s="8" t="str">
        <f aca="false">LOOKUP(T1422,Bands!$A$2:$A$6,Bands!$B$2:$B$6)</f>
        <v>Solid Performance</v>
      </c>
      <c r="V1422" s="8" t="n">
        <f aca="false">IF(Q1422="","",ROUND((Q1422-B1422)*24,1))</f>
        <v>0</v>
      </c>
    </row>
    <row r="1423" customFormat="false" ht="15" hidden="false" customHeight="false" outlineLevel="0" collapsed="false">
      <c r="A1423" s="3" t="s">
        <v>2980</v>
      </c>
      <c r="B1423" s="5" t="n">
        <v>46279.5770833333</v>
      </c>
      <c r="C1423" s="3" t="s">
        <v>68</v>
      </c>
      <c r="D1423" s="3" t="s">
        <v>151</v>
      </c>
      <c r="E1423" s="3" t="s">
        <v>152</v>
      </c>
      <c r="F1423" s="3" t="s">
        <v>33</v>
      </c>
      <c r="G1423" s="3" t="s">
        <v>54</v>
      </c>
      <c r="H1423" s="3" t="s">
        <v>2981</v>
      </c>
      <c r="I1423" s="3" t="n">
        <v>5</v>
      </c>
      <c r="J1423" s="3" t="n">
        <v>5</v>
      </c>
      <c r="K1423" s="3" t="n">
        <v>4</v>
      </c>
      <c r="L1423" s="3" t="n">
        <v>5</v>
      </c>
      <c r="M1423" s="3" t="n">
        <v>3</v>
      </c>
      <c r="N1423" s="3" t="n">
        <v>4</v>
      </c>
      <c r="O1423" s="6" t="b">
        <f aca="false">FALSE()</f>
        <v>0</v>
      </c>
      <c r="P1423" s="3"/>
      <c r="Q1423" s="5" t="n">
        <v>46279.5777777778</v>
      </c>
      <c r="R1423" s="5" t="n">
        <v>46279.6333333333</v>
      </c>
      <c r="S1423" s="3" t="s">
        <v>1699</v>
      </c>
      <c r="T1423" s="7" t="n">
        <f aca="false">ROUND(MIN(IF(OR(O1423=TRUE(),O1423="TRUE",O1423="Yes"),59,100),(I1423*Rubric!$C$2+J1423*Rubric!$C$3+K1423*Rubric!$C$4+L1423*Rubric!$C$5+M1423*Rubric!$C$6+N1423*Rubric!$C$7)/5),1)</f>
        <v>89</v>
      </c>
      <c r="U1423" s="8" t="str">
        <f aca="false">LOOKUP(T1423,Bands!$A$2:$A$6,Bands!$B$2:$B$6)</f>
        <v>Solid Performance</v>
      </c>
      <c r="V1423" s="8" t="n">
        <f aca="false">IF(Q1423="","",ROUND((Q1423-B1423)*24,1))</f>
        <v>0</v>
      </c>
    </row>
    <row r="1424" customFormat="false" ht="15" hidden="false" customHeight="false" outlineLevel="0" collapsed="false">
      <c r="A1424" s="3" t="s">
        <v>2982</v>
      </c>
      <c r="B1424" s="5" t="n">
        <v>46279.4840277778</v>
      </c>
      <c r="C1424" s="3" t="s">
        <v>39</v>
      </c>
      <c r="D1424" s="3" t="s">
        <v>167</v>
      </c>
      <c r="E1424" s="3" t="s">
        <v>168</v>
      </c>
      <c r="F1424" s="3" t="s">
        <v>33</v>
      </c>
      <c r="G1424" s="3" t="s">
        <v>42</v>
      </c>
      <c r="H1424" s="3" t="s">
        <v>2983</v>
      </c>
      <c r="I1424" s="3" t="n">
        <v>4</v>
      </c>
      <c r="J1424" s="3" t="n">
        <v>2</v>
      </c>
      <c r="K1424" s="3" t="n">
        <v>3</v>
      </c>
      <c r="L1424" s="3" t="n">
        <v>3</v>
      </c>
      <c r="M1424" s="3" t="n">
        <v>3</v>
      </c>
      <c r="N1424" s="3" t="n">
        <v>4</v>
      </c>
      <c r="O1424" s="6" t="b">
        <f aca="false">FALSE()</f>
        <v>0</v>
      </c>
      <c r="P1424" s="3" t="s">
        <v>56</v>
      </c>
      <c r="Q1424" s="5" t="n">
        <v>46279.4861111111</v>
      </c>
      <c r="R1424" s="5" t="n">
        <v>46279.6965277778</v>
      </c>
      <c r="S1424" s="3" t="s">
        <v>1699</v>
      </c>
      <c r="T1424" s="7" t="n">
        <f aca="false">ROUND(MIN(IF(OR(O1424=TRUE(),O1424="TRUE",O1424="Yes"),59,100),(I1424*Rubric!$C$2+J1424*Rubric!$C$3+K1424*Rubric!$C$4+L1424*Rubric!$C$5+M1424*Rubric!$C$6+N1424*Rubric!$C$7)/5),1)</f>
        <v>61</v>
      </c>
      <c r="U1424" s="8" t="str">
        <f aca="false">LOOKUP(T1424,Bands!$A$2:$A$6,Bands!$B$2:$B$6)</f>
        <v>Needs Improvement</v>
      </c>
      <c r="V1424" s="8" t="n">
        <f aca="false">IF(Q1424="","",ROUND((Q1424-B1424)*24,1))</f>
        <v>0</v>
      </c>
    </row>
    <row r="1425" customFormat="false" ht="15" hidden="false" customHeight="false" outlineLevel="0" collapsed="false">
      <c r="A1425" s="3" t="s">
        <v>2984</v>
      </c>
      <c r="B1425" s="5" t="n">
        <v>46279.6951388889</v>
      </c>
      <c r="C1425" s="3" t="s">
        <v>39</v>
      </c>
      <c r="D1425" s="3" t="s">
        <v>228</v>
      </c>
      <c r="E1425" s="3" t="s">
        <v>229</v>
      </c>
      <c r="F1425" s="3" t="s">
        <v>65</v>
      </c>
      <c r="G1425" s="3" t="s">
        <v>42</v>
      </c>
      <c r="H1425" s="3" t="s">
        <v>2985</v>
      </c>
      <c r="I1425" s="3" t="n">
        <v>4</v>
      </c>
      <c r="J1425" s="3" t="n">
        <v>4</v>
      </c>
      <c r="K1425" s="3" t="n">
        <v>4</v>
      </c>
      <c r="L1425" s="3" t="n">
        <v>4</v>
      </c>
      <c r="M1425" s="3" t="n">
        <v>4</v>
      </c>
      <c r="N1425" s="3" t="n">
        <v>4</v>
      </c>
      <c r="O1425" s="6" t="b">
        <f aca="false">FALSE()</f>
        <v>0</v>
      </c>
      <c r="P1425" s="3"/>
      <c r="Q1425" s="5" t="n">
        <v>46279.6972222222</v>
      </c>
      <c r="R1425" s="5" t="n">
        <v>46279.7118055556</v>
      </c>
      <c r="S1425" s="3" t="s">
        <v>1699</v>
      </c>
      <c r="T1425" s="7" t="n">
        <f aca="false">ROUND(MIN(IF(OR(O1425=TRUE(),O1425="TRUE",O1425="Yes"),59,100),(I1425*Rubric!$C$2+J1425*Rubric!$C$3+K1425*Rubric!$C$4+L1425*Rubric!$C$5+M1425*Rubric!$C$6+N1425*Rubric!$C$7)/5),1)</f>
        <v>80</v>
      </c>
      <c r="U1425" s="8" t="str">
        <f aca="false">LOOKUP(T1425,Bands!$A$2:$A$6,Bands!$B$2:$B$6)</f>
        <v>Solid Performance</v>
      </c>
      <c r="V1425" s="8" t="n">
        <f aca="false">IF(Q1425="","",ROUND((Q1425-B1425)*24,1))</f>
        <v>0</v>
      </c>
    </row>
    <row r="1426" customFormat="false" ht="15" hidden="false" customHeight="false" outlineLevel="0" collapsed="false">
      <c r="A1426" s="3" t="s">
        <v>2986</v>
      </c>
      <c r="B1426" s="5" t="n">
        <v>46279.5576388889</v>
      </c>
      <c r="C1426" s="3" t="s">
        <v>68</v>
      </c>
      <c r="D1426" s="3" t="s">
        <v>58</v>
      </c>
      <c r="E1426" s="3" t="s">
        <v>59</v>
      </c>
      <c r="F1426" s="3" t="s">
        <v>53</v>
      </c>
      <c r="G1426" s="3" t="s">
        <v>42</v>
      </c>
      <c r="H1426" s="3" t="s">
        <v>2987</v>
      </c>
      <c r="I1426" s="3" t="n">
        <v>3</v>
      </c>
      <c r="J1426" s="3" t="n">
        <v>3</v>
      </c>
      <c r="K1426" s="3" t="n">
        <v>4</v>
      </c>
      <c r="L1426" s="3" t="n">
        <v>3</v>
      </c>
      <c r="M1426" s="3" t="n">
        <v>4</v>
      </c>
      <c r="N1426" s="3" t="n">
        <v>3</v>
      </c>
      <c r="O1426" s="6" t="b">
        <f aca="false">FALSE()</f>
        <v>0</v>
      </c>
      <c r="P1426" s="3"/>
      <c r="Q1426" s="5" t="n">
        <v>46279.5583333333</v>
      </c>
      <c r="R1426" s="5" t="n">
        <v>46279.5701388889</v>
      </c>
      <c r="S1426" s="3" t="s">
        <v>1699</v>
      </c>
      <c r="T1426" s="7" t="n">
        <f aca="false">ROUND(MIN(IF(OR(O1426=TRUE(),O1426="TRUE",O1426="Yes"),59,100),(I1426*Rubric!$C$2+J1426*Rubric!$C$3+K1426*Rubric!$C$4+L1426*Rubric!$C$5+M1426*Rubric!$C$6+N1426*Rubric!$C$7)/5),1)</f>
        <v>66</v>
      </c>
      <c r="U1426" s="8" t="str">
        <f aca="false">LOOKUP(T1426,Bands!$A$2:$A$6,Bands!$B$2:$B$6)</f>
        <v>Needs Improvement</v>
      </c>
      <c r="V1426" s="8" t="n">
        <f aca="false">IF(Q1426="","",ROUND((Q1426-B1426)*24,1))</f>
        <v>0</v>
      </c>
    </row>
    <row r="1427" customFormat="false" ht="15" hidden="false" customHeight="false" outlineLevel="0" collapsed="false">
      <c r="A1427" s="3" t="s">
        <v>2988</v>
      </c>
      <c r="B1427" s="5" t="n">
        <v>46279.5541666667</v>
      </c>
      <c r="C1427" s="3" t="s">
        <v>30</v>
      </c>
      <c r="D1427" s="3" t="s">
        <v>100</v>
      </c>
      <c r="E1427" s="3" t="s">
        <v>101</v>
      </c>
      <c r="F1427" s="3" t="s">
        <v>33</v>
      </c>
      <c r="G1427" s="3" t="s">
        <v>42</v>
      </c>
      <c r="H1427" s="3" t="s">
        <v>2989</v>
      </c>
      <c r="I1427" s="3" t="n">
        <v>4</v>
      </c>
      <c r="J1427" s="3" t="n">
        <v>4</v>
      </c>
      <c r="K1427" s="3" t="n">
        <v>4</v>
      </c>
      <c r="L1427" s="3" t="n">
        <v>5</v>
      </c>
      <c r="M1427" s="3" t="n">
        <v>4</v>
      </c>
      <c r="N1427" s="3" t="n">
        <v>4</v>
      </c>
      <c r="O1427" s="6" t="b">
        <f aca="false">FALSE()</f>
        <v>0</v>
      </c>
      <c r="P1427" s="3"/>
      <c r="Q1427" s="5" t="n">
        <v>46279.55625</v>
      </c>
      <c r="R1427" s="5" t="n">
        <v>46279.6020833333</v>
      </c>
      <c r="S1427" s="3" t="s">
        <v>1699</v>
      </c>
      <c r="T1427" s="7" t="n">
        <f aca="false">ROUND(MIN(IF(OR(O1427=TRUE(),O1427="TRUE",O1427="Yes"),59,100),(I1427*Rubric!$C$2+J1427*Rubric!$C$3+K1427*Rubric!$C$4+L1427*Rubric!$C$5+M1427*Rubric!$C$6+N1427*Rubric!$C$7)/5),1)</f>
        <v>83</v>
      </c>
      <c r="U1427" s="8" t="str">
        <f aca="false">LOOKUP(T1427,Bands!$A$2:$A$6,Bands!$B$2:$B$6)</f>
        <v>Solid Performance</v>
      </c>
      <c r="V1427" s="8" t="n">
        <f aca="false">IF(Q1427="","",ROUND((Q1427-B1427)*24,1))</f>
        <v>0</v>
      </c>
    </row>
    <row r="1428" customFormat="false" ht="15" hidden="false" customHeight="false" outlineLevel="0" collapsed="false">
      <c r="A1428" s="3" t="s">
        <v>2990</v>
      </c>
      <c r="B1428" s="5" t="n">
        <v>46279.5118055556</v>
      </c>
      <c r="C1428" s="3" t="s">
        <v>68</v>
      </c>
      <c r="D1428" s="3" t="s">
        <v>81</v>
      </c>
      <c r="E1428" s="3" t="s">
        <v>82</v>
      </c>
      <c r="F1428" s="3" t="s">
        <v>65</v>
      </c>
      <c r="G1428" s="3" t="s">
        <v>42</v>
      </c>
      <c r="H1428" s="3" t="s">
        <v>2991</v>
      </c>
      <c r="I1428" s="3" t="n">
        <v>5</v>
      </c>
      <c r="J1428" s="3" t="n">
        <v>4</v>
      </c>
      <c r="K1428" s="3" t="n">
        <v>4</v>
      </c>
      <c r="L1428" s="3" t="n">
        <v>5</v>
      </c>
      <c r="M1428" s="3" t="n">
        <v>5</v>
      </c>
      <c r="N1428" s="3" t="n">
        <v>5</v>
      </c>
      <c r="O1428" s="6" t="b">
        <f aca="false">FALSE()</f>
        <v>0</v>
      </c>
      <c r="P1428" s="3"/>
      <c r="Q1428" s="5" t="n">
        <v>46279.5138888889</v>
      </c>
      <c r="R1428" s="5" t="n">
        <v>46279.79375</v>
      </c>
      <c r="S1428" s="3" t="s">
        <v>1699</v>
      </c>
      <c r="T1428" s="7" t="n">
        <f aca="false">ROUND(MIN(IF(OR(O1428=TRUE(),O1428="TRUE",O1428="Yes"),59,100),(I1428*Rubric!$C$2+J1428*Rubric!$C$3+K1428*Rubric!$C$4+L1428*Rubric!$C$5+M1428*Rubric!$C$6+N1428*Rubric!$C$7)/5),1)</f>
        <v>91</v>
      </c>
      <c r="U1428" s="8" t="str">
        <f aca="false">LOOKUP(T1428,Bands!$A$2:$A$6,Bands!$B$2:$B$6)</f>
        <v>Outstanding</v>
      </c>
      <c r="V1428" s="8" t="n">
        <f aca="false">IF(Q1428="","",ROUND((Q1428-B1428)*24,1))</f>
        <v>0</v>
      </c>
    </row>
    <row r="1429" customFormat="false" ht="15" hidden="false" customHeight="false" outlineLevel="0" collapsed="false">
      <c r="A1429" s="3" t="s">
        <v>2992</v>
      </c>
      <c r="B1429" s="5" t="n">
        <v>46279.4770833333</v>
      </c>
      <c r="C1429" s="3" t="s">
        <v>39</v>
      </c>
      <c r="D1429" s="3" t="s">
        <v>90</v>
      </c>
      <c r="E1429" s="3" t="s">
        <v>91</v>
      </c>
      <c r="F1429" s="3" t="s">
        <v>65</v>
      </c>
      <c r="G1429" s="3" t="s">
        <v>34</v>
      </c>
      <c r="H1429" s="3" t="s">
        <v>2993</v>
      </c>
      <c r="I1429" s="3" t="n">
        <v>4</v>
      </c>
      <c r="J1429" s="3" t="n">
        <v>4</v>
      </c>
      <c r="K1429" s="3" t="n">
        <v>5</v>
      </c>
      <c r="L1429" s="3" t="n">
        <v>4</v>
      </c>
      <c r="M1429" s="3" t="n">
        <v>5</v>
      </c>
      <c r="N1429" s="3" t="n">
        <v>4</v>
      </c>
      <c r="O1429" s="6" t="b">
        <f aca="false">FALSE()</f>
        <v>0</v>
      </c>
      <c r="P1429" s="3"/>
      <c r="Q1429" s="5" t="n">
        <v>46279.4777777778</v>
      </c>
      <c r="R1429" s="5" t="n">
        <v>46279.7652777778</v>
      </c>
      <c r="S1429" s="3" t="s">
        <v>1699</v>
      </c>
      <c r="T1429" s="7" t="n">
        <f aca="false">ROUND(MIN(IF(OR(O1429=TRUE(),O1429="TRUE",O1429="Yes"),59,100),(I1429*Rubric!$C$2+J1429*Rubric!$C$3+K1429*Rubric!$C$4+L1429*Rubric!$C$5+M1429*Rubric!$C$6+N1429*Rubric!$C$7)/5),1)</f>
        <v>86</v>
      </c>
      <c r="U1429" s="8" t="str">
        <f aca="false">LOOKUP(T1429,Bands!$A$2:$A$6,Bands!$B$2:$B$6)</f>
        <v>Solid Performance</v>
      </c>
      <c r="V1429" s="8" t="n">
        <f aca="false">IF(Q1429="","",ROUND((Q1429-B1429)*24,1))</f>
        <v>0</v>
      </c>
    </row>
    <row r="1430" customFormat="false" ht="15" hidden="false" customHeight="false" outlineLevel="0" collapsed="false">
      <c r="A1430" s="3" t="s">
        <v>2994</v>
      </c>
      <c r="B1430" s="5" t="n">
        <v>46280.4618055556</v>
      </c>
      <c r="C1430" s="3" t="s">
        <v>39</v>
      </c>
      <c r="D1430" s="3" t="s">
        <v>46</v>
      </c>
      <c r="E1430" s="3" t="s">
        <v>47</v>
      </c>
      <c r="F1430" s="3" t="s">
        <v>33</v>
      </c>
      <c r="G1430" s="3" t="s">
        <v>54</v>
      </c>
      <c r="H1430" s="3" t="s">
        <v>2995</v>
      </c>
      <c r="I1430" s="3" t="n">
        <v>4</v>
      </c>
      <c r="J1430" s="3" t="n">
        <v>4</v>
      </c>
      <c r="K1430" s="3" t="n">
        <v>4</v>
      </c>
      <c r="L1430" s="3" t="n">
        <v>4</v>
      </c>
      <c r="M1430" s="3" t="n">
        <v>4</v>
      </c>
      <c r="N1430" s="3" t="n">
        <v>4</v>
      </c>
      <c r="O1430" s="6" t="b">
        <f aca="false">FALSE()</f>
        <v>0</v>
      </c>
      <c r="P1430" s="3"/>
      <c r="Q1430" s="5" t="n">
        <v>46280.4638888889</v>
      </c>
      <c r="R1430" s="5" t="n">
        <v>46281.0395833333</v>
      </c>
      <c r="S1430" s="3" t="s">
        <v>1699</v>
      </c>
      <c r="T1430" s="7" t="n">
        <f aca="false">ROUND(MIN(IF(OR(O1430=TRUE(),O1430="TRUE",O1430="Yes"),59,100),(I1430*Rubric!$C$2+J1430*Rubric!$C$3+K1430*Rubric!$C$4+L1430*Rubric!$C$5+M1430*Rubric!$C$6+N1430*Rubric!$C$7)/5),1)</f>
        <v>80</v>
      </c>
      <c r="U1430" s="8" t="str">
        <f aca="false">LOOKUP(T1430,Bands!$A$2:$A$6,Bands!$B$2:$B$6)</f>
        <v>Solid Performance</v>
      </c>
      <c r="V1430" s="8" t="n">
        <f aca="false">IF(Q1430="","",ROUND((Q1430-B1430)*24,1))</f>
        <v>0</v>
      </c>
    </row>
    <row r="1431" customFormat="false" ht="15" hidden="false" customHeight="false" outlineLevel="0" collapsed="false">
      <c r="A1431" s="3" t="s">
        <v>2996</v>
      </c>
      <c r="B1431" s="5" t="n">
        <v>46280.6166666667</v>
      </c>
      <c r="C1431" s="3" t="s">
        <v>30</v>
      </c>
      <c r="D1431" s="3" t="s">
        <v>85</v>
      </c>
      <c r="E1431" s="3" t="s">
        <v>86</v>
      </c>
      <c r="F1431" s="3" t="s">
        <v>33</v>
      </c>
      <c r="G1431" s="3" t="s">
        <v>54</v>
      </c>
      <c r="H1431" s="3" t="s">
        <v>2997</v>
      </c>
      <c r="I1431" s="3" t="n">
        <v>2</v>
      </c>
      <c r="J1431" s="3" t="n">
        <v>4</v>
      </c>
      <c r="K1431" s="3" t="n">
        <v>5</v>
      </c>
      <c r="L1431" s="3" t="n">
        <v>4</v>
      </c>
      <c r="M1431" s="3" t="n">
        <v>4</v>
      </c>
      <c r="N1431" s="3" t="n">
        <v>4</v>
      </c>
      <c r="O1431" s="6" t="b">
        <f aca="false">FALSE()</f>
        <v>0</v>
      </c>
      <c r="P1431" s="3" t="s">
        <v>88</v>
      </c>
      <c r="Q1431" s="5" t="n">
        <v>46280.61875</v>
      </c>
      <c r="R1431" s="5" t="n">
        <v>46280.7513888889</v>
      </c>
      <c r="S1431" s="3" t="s">
        <v>1699</v>
      </c>
      <c r="T1431" s="7" t="n">
        <f aca="false">ROUND(MIN(IF(OR(O1431=TRUE(),O1431="TRUE",O1431="Yes"),59,100),(I1431*Rubric!$C$2+J1431*Rubric!$C$3+K1431*Rubric!$C$4+L1431*Rubric!$C$5+M1431*Rubric!$C$6+N1431*Rubric!$C$7)/5),1)</f>
        <v>78</v>
      </c>
      <c r="U1431" s="8" t="str">
        <f aca="false">LOOKUP(T1431,Bands!$A$2:$A$6,Bands!$B$2:$B$6)</f>
        <v>Meets Expectations</v>
      </c>
      <c r="V1431" s="8" t="n">
        <f aca="false">IF(Q1431="","",ROUND((Q1431-B1431)*24,1))</f>
        <v>0</v>
      </c>
    </row>
    <row r="1432" customFormat="false" ht="15" hidden="false" customHeight="false" outlineLevel="0" collapsed="false">
      <c r="A1432" s="3" t="s">
        <v>2998</v>
      </c>
      <c r="B1432" s="5" t="n">
        <v>46280.3951388889</v>
      </c>
      <c r="C1432" s="3" t="s">
        <v>68</v>
      </c>
      <c r="D1432" s="3" t="s">
        <v>486</v>
      </c>
      <c r="E1432" s="3" t="s">
        <v>487</v>
      </c>
      <c r="F1432" s="3" t="s">
        <v>65</v>
      </c>
      <c r="G1432" s="3" t="s">
        <v>42</v>
      </c>
      <c r="H1432" s="3" t="s">
        <v>2999</v>
      </c>
      <c r="I1432" s="3" t="n">
        <v>4</v>
      </c>
      <c r="J1432" s="3" t="n">
        <v>3</v>
      </c>
      <c r="K1432" s="3" t="n">
        <v>4</v>
      </c>
      <c r="L1432" s="3" t="n">
        <v>5</v>
      </c>
      <c r="M1432" s="3" t="n">
        <v>5</v>
      </c>
      <c r="N1432" s="3" t="n">
        <v>0</v>
      </c>
      <c r="O1432" s="6" t="b">
        <f aca="false">TRUE()</f>
        <v>1</v>
      </c>
      <c r="P1432" s="3" t="s">
        <v>36</v>
      </c>
      <c r="Q1432" s="5" t="n">
        <v>46280.3972222222</v>
      </c>
      <c r="R1432" s="5" t="n">
        <v>46280.4236111111</v>
      </c>
      <c r="S1432" s="3" t="s">
        <v>1699</v>
      </c>
      <c r="T1432" s="7" t="n">
        <f aca="false">ROUND(MIN(IF(OR(O1432=TRUE(),O1432="TRUE",O1432="Yes"),59,100),(I1432*Rubric!$C$2+J1432*Rubric!$C$3+K1432*Rubric!$C$4+L1432*Rubric!$C$5+M1432*Rubric!$C$6+N1432*Rubric!$C$7)/5),1)</f>
        <v>59</v>
      </c>
      <c r="U1432" s="8" t="str">
        <f aca="false">LOOKUP(T1432,Bands!$A$2:$A$6,Bands!$B$2:$B$6)</f>
        <v>Critical</v>
      </c>
      <c r="V1432" s="8" t="n">
        <f aca="false">IF(Q1432="","",ROUND((Q1432-B1432)*24,1))</f>
        <v>0</v>
      </c>
    </row>
    <row r="1433" customFormat="false" ht="15" hidden="false" customHeight="false" outlineLevel="0" collapsed="false">
      <c r="A1433" s="3" t="s">
        <v>3000</v>
      </c>
      <c r="B1433" s="5" t="n">
        <v>46280.4027777778</v>
      </c>
      <c r="C1433" s="3" t="s">
        <v>39</v>
      </c>
      <c r="D1433" s="3" t="s">
        <v>155</v>
      </c>
      <c r="E1433" s="3" t="s">
        <v>156</v>
      </c>
      <c r="F1433" s="3" t="s">
        <v>65</v>
      </c>
      <c r="G1433" s="3" t="s">
        <v>34</v>
      </c>
      <c r="H1433" s="3" t="s">
        <v>3001</v>
      </c>
      <c r="I1433" s="3" t="n">
        <v>3</v>
      </c>
      <c r="J1433" s="3" t="n">
        <v>4</v>
      </c>
      <c r="K1433" s="3" t="n">
        <v>4</v>
      </c>
      <c r="L1433" s="3" t="n">
        <v>5</v>
      </c>
      <c r="M1433" s="3" t="n">
        <v>4</v>
      </c>
      <c r="N1433" s="3" t="n">
        <v>4</v>
      </c>
      <c r="O1433" s="6" t="b">
        <f aca="false">FALSE()</f>
        <v>0</v>
      </c>
      <c r="P1433" s="3"/>
      <c r="Q1433" s="5" t="n">
        <v>46280.4034722222</v>
      </c>
      <c r="R1433" s="5" t="n">
        <v>46280.4888888889</v>
      </c>
      <c r="S1433" s="3" t="s">
        <v>1699</v>
      </c>
      <c r="T1433" s="7" t="n">
        <f aca="false">ROUND(MIN(IF(OR(O1433=TRUE(),O1433="TRUE",O1433="Yes"),59,100),(I1433*Rubric!$C$2+J1433*Rubric!$C$3+K1433*Rubric!$C$4+L1433*Rubric!$C$5+M1433*Rubric!$C$6+N1433*Rubric!$C$7)/5),1)</f>
        <v>80</v>
      </c>
      <c r="U1433" s="8" t="str">
        <f aca="false">LOOKUP(T1433,Bands!$A$2:$A$6,Bands!$B$2:$B$6)</f>
        <v>Solid Performance</v>
      </c>
      <c r="V1433" s="8" t="n">
        <f aca="false">IF(Q1433="","",ROUND((Q1433-B1433)*24,1))</f>
        <v>0</v>
      </c>
    </row>
    <row r="1434" customFormat="false" ht="15" hidden="false" customHeight="false" outlineLevel="0" collapsed="false">
      <c r="A1434" s="3" t="s">
        <v>3002</v>
      </c>
      <c r="B1434" s="5" t="n">
        <v>46280.6402777778</v>
      </c>
      <c r="C1434" s="3" t="s">
        <v>39</v>
      </c>
      <c r="D1434" s="3" t="s">
        <v>366</v>
      </c>
      <c r="E1434" s="3" t="s">
        <v>367</v>
      </c>
      <c r="F1434" s="3" t="s">
        <v>53</v>
      </c>
      <c r="G1434" s="3" t="s">
        <v>54</v>
      </c>
      <c r="H1434" s="3" t="s">
        <v>3003</v>
      </c>
      <c r="I1434" s="3" t="n">
        <v>5</v>
      </c>
      <c r="J1434" s="3" t="n">
        <v>5</v>
      </c>
      <c r="K1434" s="3" t="n">
        <v>4</v>
      </c>
      <c r="L1434" s="3" t="n">
        <v>5</v>
      </c>
      <c r="M1434" s="3" t="n">
        <v>4</v>
      </c>
      <c r="N1434" s="3" t="n">
        <v>4</v>
      </c>
      <c r="O1434" s="6" t="b">
        <f aca="false">FALSE()</f>
        <v>0</v>
      </c>
      <c r="P1434" s="3"/>
      <c r="Q1434" s="5" t="n">
        <v>46280.6423611111</v>
      </c>
      <c r="R1434" s="5" t="n">
        <v>46280.90625</v>
      </c>
      <c r="S1434" s="3" t="s">
        <v>1699</v>
      </c>
      <c r="T1434" s="7" t="n">
        <f aca="false">ROUND(MIN(IF(OR(O1434=TRUE(),O1434="TRUE",O1434="Yes"),59,100),(I1434*Rubric!$C$2+J1434*Rubric!$C$3+K1434*Rubric!$C$4+L1434*Rubric!$C$5+M1434*Rubric!$C$6+N1434*Rubric!$C$7)/5),1)</f>
        <v>91</v>
      </c>
      <c r="U1434" s="8" t="str">
        <f aca="false">LOOKUP(T1434,Bands!$A$2:$A$6,Bands!$B$2:$B$6)</f>
        <v>Outstanding</v>
      </c>
      <c r="V1434" s="8" t="n">
        <f aca="false">IF(Q1434="","",ROUND((Q1434-B1434)*24,1))</f>
        <v>0</v>
      </c>
    </row>
    <row r="1435" customFormat="false" ht="15" hidden="false" customHeight="false" outlineLevel="0" collapsed="false">
      <c r="A1435" s="3" t="s">
        <v>3004</v>
      </c>
      <c r="B1435" s="5" t="n">
        <v>46280.4826388889</v>
      </c>
      <c r="C1435" s="3" t="s">
        <v>39</v>
      </c>
      <c r="D1435" s="3" t="s">
        <v>111</v>
      </c>
      <c r="E1435" s="3" t="s">
        <v>112</v>
      </c>
      <c r="F1435" s="3" t="s">
        <v>33</v>
      </c>
      <c r="G1435" s="3" t="s">
        <v>54</v>
      </c>
      <c r="H1435" s="3" t="s">
        <v>3005</v>
      </c>
      <c r="I1435" s="3" t="n">
        <v>3</v>
      </c>
      <c r="J1435" s="3" t="n">
        <v>4</v>
      </c>
      <c r="K1435" s="3" t="n">
        <v>5</v>
      </c>
      <c r="L1435" s="3" t="n">
        <v>5</v>
      </c>
      <c r="M1435" s="3" t="n">
        <v>5</v>
      </c>
      <c r="N1435" s="3" t="n">
        <v>5</v>
      </c>
      <c r="O1435" s="6" t="b">
        <f aca="false">FALSE()</f>
        <v>0</v>
      </c>
      <c r="P1435" s="3"/>
      <c r="Q1435" s="5" t="n">
        <v>46280.4833333333</v>
      </c>
      <c r="R1435" s="5" t="n">
        <v>46280.6034722222</v>
      </c>
      <c r="S1435" s="3" t="s">
        <v>1699</v>
      </c>
      <c r="T1435" s="7" t="n">
        <f aca="false">ROUND(MIN(IF(OR(O1435=TRUE(),O1435="TRUE",O1435="Yes"),59,100),(I1435*Rubric!$C$2+J1435*Rubric!$C$3+K1435*Rubric!$C$4+L1435*Rubric!$C$5+M1435*Rubric!$C$6+N1435*Rubric!$C$7)/5),1)</f>
        <v>89</v>
      </c>
      <c r="U1435" s="8" t="str">
        <f aca="false">LOOKUP(T1435,Bands!$A$2:$A$6,Bands!$B$2:$B$6)</f>
        <v>Solid Performance</v>
      </c>
      <c r="V1435" s="8" t="n">
        <f aca="false">IF(Q1435="","",ROUND((Q1435-B1435)*24,1))</f>
        <v>0</v>
      </c>
    </row>
    <row r="1436" customFormat="false" ht="15" hidden="false" customHeight="false" outlineLevel="0" collapsed="false">
      <c r="A1436" s="3" t="s">
        <v>3006</v>
      </c>
      <c r="B1436" s="5" t="n">
        <v>46280.4791666667</v>
      </c>
      <c r="C1436" s="3" t="s">
        <v>68</v>
      </c>
      <c r="D1436" s="3" t="s">
        <v>100</v>
      </c>
      <c r="E1436" s="3" t="s">
        <v>101</v>
      </c>
      <c r="F1436" s="3" t="s">
        <v>33</v>
      </c>
      <c r="G1436" s="3" t="s">
        <v>54</v>
      </c>
      <c r="H1436" s="3" t="s">
        <v>3007</v>
      </c>
      <c r="I1436" s="3" t="n">
        <v>5</v>
      </c>
      <c r="J1436" s="3" t="n">
        <v>3</v>
      </c>
      <c r="K1436" s="3" t="n">
        <v>4</v>
      </c>
      <c r="L1436" s="3" t="n">
        <v>4</v>
      </c>
      <c r="M1436" s="3" t="n">
        <v>3</v>
      </c>
      <c r="N1436" s="3" t="n">
        <v>5</v>
      </c>
      <c r="O1436" s="6" t="b">
        <f aca="false">FALSE()</f>
        <v>0</v>
      </c>
      <c r="P1436" s="3"/>
      <c r="Q1436" s="5" t="n">
        <v>46280.4805555556</v>
      </c>
      <c r="R1436" s="5" t="n">
        <v>46280.4854166667</v>
      </c>
      <c r="S1436" s="3" t="s">
        <v>1699</v>
      </c>
      <c r="T1436" s="7" t="n">
        <f aca="false">ROUND(MIN(IF(OR(O1436=TRUE(),O1436="TRUE",O1436="Yes"),59,100),(I1436*Rubric!$C$2+J1436*Rubric!$C$3+K1436*Rubric!$C$4+L1436*Rubric!$C$5+M1436*Rubric!$C$6+N1436*Rubric!$C$7)/5),1)</f>
        <v>79</v>
      </c>
      <c r="U1436" s="8" t="str">
        <f aca="false">LOOKUP(T1436,Bands!$A$2:$A$6,Bands!$B$2:$B$6)</f>
        <v>Meets Expectations</v>
      </c>
      <c r="V1436" s="8" t="n">
        <f aca="false">IF(Q1436="","",ROUND((Q1436-B1436)*24,1))</f>
        <v>0</v>
      </c>
    </row>
    <row r="1437" customFormat="false" ht="15" hidden="false" customHeight="false" outlineLevel="0" collapsed="false">
      <c r="A1437" s="3" t="s">
        <v>3008</v>
      </c>
      <c r="B1437" s="5" t="n">
        <v>46280.6618055556</v>
      </c>
      <c r="C1437" s="3" t="s">
        <v>39</v>
      </c>
      <c r="D1437" s="3" t="s">
        <v>228</v>
      </c>
      <c r="E1437" s="3" t="s">
        <v>229</v>
      </c>
      <c r="F1437" s="3" t="s">
        <v>65</v>
      </c>
      <c r="G1437" s="3" t="s">
        <v>54</v>
      </c>
      <c r="H1437" s="3" t="s">
        <v>3009</v>
      </c>
      <c r="I1437" s="3" t="n">
        <v>3</v>
      </c>
      <c r="J1437" s="3" t="n">
        <v>4</v>
      </c>
      <c r="K1437" s="3" t="n">
        <v>2</v>
      </c>
      <c r="L1437" s="3" t="n">
        <v>3</v>
      </c>
      <c r="M1437" s="3" t="n">
        <v>3</v>
      </c>
      <c r="N1437" s="3" t="n">
        <v>0</v>
      </c>
      <c r="O1437" s="6" t="b">
        <f aca="false">TRUE()</f>
        <v>1</v>
      </c>
      <c r="P1437" s="3" t="s">
        <v>61</v>
      </c>
      <c r="Q1437" s="5" t="n">
        <v>46280.6625</v>
      </c>
      <c r="R1437" s="5" t="n">
        <v>46280.9069444445</v>
      </c>
      <c r="S1437" s="3" t="s">
        <v>1699</v>
      </c>
      <c r="T1437" s="7" t="n">
        <f aca="false">ROUND(MIN(IF(OR(O1437=TRUE(),O1437="TRUE",O1437="Yes"),59,100),(I1437*Rubric!$C$2+J1437*Rubric!$C$3+K1437*Rubric!$C$4+L1437*Rubric!$C$5+M1437*Rubric!$C$6+N1437*Rubric!$C$7)/5),1)</f>
        <v>52</v>
      </c>
      <c r="U1437" s="8" t="str">
        <f aca="false">LOOKUP(T1437,Bands!$A$2:$A$6,Bands!$B$2:$B$6)</f>
        <v>Critical</v>
      </c>
      <c r="V1437" s="8" t="n">
        <f aca="false">IF(Q1437="","",ROUND((Q1437-B1437)*24,1))</f>
        <v>0</v>
      </c>
    </row>
    <row r="1438" customFormat="false" ht="15" hidden="false" customHeight="false" outlineLevel="0" collapsed="false">
      <c r="A1438" s="3" t="s">
        <v>3010</v>
      </c>
      <c r="B1438" s="5" t="n">
        <v>46280.3951388889</v>
      </c>
      <c r="C1438" s="3" t="s">
        <v>39</v>
      </c>
      <c r="D1438" s="3" t="s">
        <v>115</v>
      </c>
      <c r="E1438" s="3" t="s">
        <v>116</v>
      </c>
      <c r="F1438" s="3" t="s">
        <v>33</v>
      </c>
      <c r="G1438" s="3" t="s">
        <v>54</v>
      </c>
      <c r="H1438" s="3" t="s">
        <v>3011</v>
      </c>
      <c r="I1438" s="3" t="n">
        <v>4</v>
      </c>
      <c r="J1438" s="3" t="n">
        <v>4</v>
      </c>
      <c r="K1438" s="3" t="n">
        <v>5</v>
      </c>
      <c r="L1438" s="3" t="n">
        <v>4</v>
      </c>
      <c r="M1438" s="3" t="n">
        <v>3</v>
      </c>
      <c r="N1438" s="3" t="n">
        <v>5</v>
      </c>
      <c r="O1438" s="6" t="b">
        <f aca="false">FALSE()</f>
        <v>0</v>
      </c>
      <c r="P1438" s="3"/>
      <c r="Q1438" s="5" t="n">
        <v>46280.3958333333</v>
      </c>
      <c r="R1438" s="5" t="n">
        <v>46280.6333333333</v>
      </c>
      <c r="S1438" s="3" t="s">
        <v>1699</v>
      </c>
      <c r="T1438" s="7" t="n">
        <f aca="false">ROUND(MIN(IF(OR(O1438=TRUE(),O1438="TRUE",O1438="Yes"),59,100),(I1438*Rubric!$C$2+J1438*Rubric!$C$3+K1438*Rubric!$C$4+L1438*Rubric!$C$5+M1438*Rubric!$C$6+N1438*Rubric!$C$7)/5),1)</f>
        <v>85</v>
      </c>
      <c r="U1438" s="8" t="str">
        <f aca="false">LOOKUP(T1438,Bands!$A$2:$A$6,Bands!$B$2:$B$6)</f>
        <v>Solid Performance</v>
      </c>
      <c r="V1438" s="8" t="n">
        <f aca="false">IF(Q1438="","",ROUND((Q1438-B1438)*24,1))</f>
        <v>0</v>
      </c>
    </row>
    <row r="1439" customFormat="false" ht="15" hidden="false" customHeight="false" outlineLevel="0" collapsed="false">
      <c r="A1439" s="3" t="s">
        <v>3012</v>
      </c>
      <c r="B1439" s="5" t="n">
        <v>46280.5680555556</v>
      </c>
      <c r="C1439" s="3" t="s">
        <v>68</v>
      </c>
      <c r="D1439" s="3" t="s">
        <v>198</v>
      </c>
      <c r="E1439" s="3" t="s">
        <v>199</v>
      </c>
      <c r="F1439" s="3" t="s">
        <v>33</v>
      </c>
      <c r="G1439" s="3" t="s">
        <v>54</v>
      </c>
      <c r="H1439" s="3" t="s">
        <v>3013</v>
      </c>
      <c r="I1439" s="3" t="n">
        <v>4</v>
      </c>
      <c r="J1439" s="3" t="n">
        <v>4</v>
      </c>
      <c r="K1439" s="3" t="n">
        <v>4</v>
      </c>
      <c r="L1439" s="3" t="n">
        <v>5</v>
      </c>
      <c r="M1439" s="3" t="n">
        <v>3</v>
      </c>
      <c r="N1439" s="3" t="n">
        <v>3</v>
      </c>
      <c r="O1439" s="6" t="b">
        <f aca="false">FALSE()</f>
        <v>0</v>
      </c>
      <c r="P1439" s="3"/>
      <c r="Q1439" s="5" t="n">
        <v>46280.5694444445</v>
      </c>
      <c r="R1439" s="5" t="n">
        <v>46280.7486111111</v>
      </c>
      <c r="S1439" s="3" t="s">
        <v>1699</v>
      </c>
      <c r="T1439" s="7" t="n">
        <f aca="false">ROUND(MIN(IF(OR(O1439=TRUE(),O1439="TRUE",O1439="Yes"),59,100),(I1439*Rubric!$C$2+J1439*Rubric!$C$3+K1439*Rubric!$C$4+L1439*Rubric!$C$5+M1439*Rubric!$C$6+N1439*Rubric!$C$7)/5),1)</f>
        <v>78</v>
      </c>
      <c r="U1439" s="8" t="str">
        <f aca="false">LOOKUP(T1439,Bands!$A$2:$A$6,Bands!$B$2:$B$6)</f>
        <v>Meets Expectations</v>
      </c>
      <c r="V1439" s="8" t="n">
        <f aca="false">IF(Q1439="","",ROUND((Q1439-B1439)*24,1))</f>
        <v>0</v>
      </c>
    </row>
    <row r="1440" customFormat="false" ht="15" hidden="false" customHeight="false" outlineLevel="0" collapsed="false">
      <c r="A1440" s="3" t="s">
        <v>3014</v>
      </c>
      <c r="B1440" s="5" t="n">
        <v>46280.6604166667</v>
      </c>
      <c r="C1440" s="3" t="s">
        <v>68</v>
      </c>
      <c r="D1440" s="3" t="s">
        <v>145</v>
      </c>
      <c r="E1440" s="3" t="s">
        <v>146</v>
      </c>
      <c r="F1440" s="3" t="s">
        <v>33</v>
      </c>
      <c r="G1440" s="3" t="s">
        <v>42</v>
      </c>
      <c r="H1440" s="3" t="s">
        <v>3015</v>
      </c>
      <c r="I1440" s="3" t="n">
        <v>3</v>
      </c>
      <c r="J1440" s="3" t="n">
        <v>4</v>
      </c>
      <c r="K1440" s="3" t="n">
        <v>4</v>
      </c>
      <c r="L1440" s="3" t="n">
        <v>4</v>
      </c>
      <c r="M1440" s="3" t="n">
        <v>4</v>
      </c>
      <c r="N1440" s="3" t="n">
        <v>5</v>
      </c>
      <c r="O1440" s="6" t="b">
        <f aca="false">FALSE()</f>
        <v>0</v>
      </c>
      <c r="P1440" s="3"/>
      <c r="Q1440" s="5" t="n">
        <v>46280.6611111111</v>
      </c>
      <c r="R1440" s="5" t="n">
        <v>46280.7076388889</v>
      </c>
      <c r="S1440" s="3" t="s">
        <v>1699</v>
      </c>
      <c r="T1440" s="7" t="n">
        <f aca="false">ROUND(MIN(IF(OR(O1440=TRUE(),O1440="TRUE",O1440="Yes"),59,100),(I1440*Rubric!$C$2+J1440*Rubric!$C$3+K1440*Rubric!$C$4+L1440*Rubric!$C$5+M1440*Rubric!$C$6+N1440*Rubric!$C$7)/5),1)</f>
        <v>80</v>
      </c>
      <c r="U1440" s="8" t="str">
        <f aca="false">LOOKUP(T1440,Bands!$A$2:$A$6,Bands!$B$2:$B$6)</f>
        <v>Solid Performance</v>
      </c>
      <c r="V1440" s="8" t="n">
        <f aca="false">IF(Q1440="","",ROUND((Q1440-B1440)*24,1))</f>
        <v>0</v>
      </c>
    </row>
    <row r="1441" customFormat="false" ht="15" hidden="false" customHeight="false" outlineLevel="0" collapsed="false">
      <c r="A1441" s="3" t="s">
        <v>3016</v>
      </c>
      <c r="B1441" s="5" t="n">
        <v>46280.6069444444</v>
      </c>
      <c r="C1441" s="3" t="s">
        <v>68</v>
      </c>
      <c r="D1441" s="3" t="s">
        <v>212</v>
      </c>
      <c r="E1441" s="3" t="s">
        <v>213</v>
      </c>
      <c r="F1441" s="3" t="s">
        <v>33</v>
      </c>
      <c r="G1441" s="3" t="s">
        <v>42</v>
      </c>
      <c r="H1441" s="3" t="s">
        <v>3017</v>
      </c>
      <c r="I1441" s="3" t="n">
        <v>4</v>
      </c>
      <c r="J1441" s="3" t="n">
        <v>3</v>
      </c>
      <c r="K1441" s="3" t="n">
        <v>4</v>
      </c>
      <c r="L1441" s="3" t="n">
        <v>4</v>
      </c>
      <c r="M1441" s="3" t="n">
        <v>4</v>
      </c>
      <c r="N1441" s="3" t="n">
        <v>4</v>
      </c>
      <c r="O1441" s="6" t="b">
        <f aca="false">FALSE()</f>
        <v>0</v>
      </c>
      <c r="P1441" s="3"/>
      <c r="Q1441" s="5" t="n">
        <v>46280.6090277778</v>
      </c>
      <c r="R1441" s="5" t="n">
        <v>46280.9291666667</v>
      </c>
      <c r="S1441" s="3" t="s">
        <v>1699</v>
      </c>
      <c r="T1441" s="7" t="n">
        <f aca="false">ROUND(MIN(IF(OR(O1441=TRUE(),O1441="TRUE",O1441="Yes"),59,100),(I1441*Rubric!$C$2+J1441*Rubric!$C$3+K1441*Rubric!$C$4+L1441*Rubric!$C$5+M1441*Rubric!$C$6+N1441*Rubric!$C$7)/5),1)</f>
        <v>75</v>
      </c>
      <c r="U1441" s="8" t="str">
        <f aca="false">LOOKUP(T1441,Bands!$A$2:$A$6,Bands!$B$2:$B$6)</f>
        <v>Meets Expectations</v>
      </c>
      <c r="V1441" s="8" t="n">
        <f aca="false">IF(Q1441="","",ROUND((Q1441-B1441)*24,1))</f>
        <v>0.1</v>
      </c>
    </row>
    <row r="1442" customFormat="false" ht="15" hidden="false" customHeight="false" outlineLevel="0" collapsed="false">
      <c r="A1442" s="3" t="s">
        <v>3018</v>
      </c>
      <c r="B1442" s="5" t="n">
        <v>46281.5986111111</v>
      </c>
      <c r="C1442" s="3" t="s">
        <v>30</v>
      </c>
      <c r="D1442" s="3" t="s">
        <v>100</v>
      </c>
      <c r="E1442" s="3" t="s">
        <v>101</v>
      </c>
      <c r="F1442" s="3" t="s">
        <v>33</v>
      </c>
      <c r="G1442" s="3" t="s">
        <v>54</v>
      </c>
      <c r="H1442" s="3" t="s">
        <v>3019</v>
      </c>
      <c r="I1442" s="3" t="n">
        <v>4</v>
      </c>
      <c r="J1442" s="3" t="n">
        <v>5</v>
      </c>
      <c r="K1442" s="3" t="n">
        <v>5</v>
      </c>
      <c r="L1442" s="3" t="n">
        <v>4</v>
      </c>
      <c r="M1442" s="3" t="n">
        <v>3</v>
      </c>
      <c r="N1442" s="3" t="n">
        <v>4</v>
      </c>
      <c r="O1442" s="6" t="b">
        <f aca="false">FALSE()</f>
        <v>0</v>
      </c>
      <c r="P1442" s="3"/>
      <c r="Q1442" s="5" t="n">
        <v>46281.5993055556</v>
      </c>
      <c r="R1442" s="5" t="n">
        <v>46281.7708333333</v>
      </c>
      <c r="S1442" s="3" t="s">
        <v>1699</v>
      </c>
      <c r="T1442" s="7" t="n">
        <f aca="false">ROUND(MIN(IF(OR(O1442=TRUE(),O1442="TRUE",O1442="Yes"),59,100),(I1442*Rubric!$C$2+J1442*Rubric!$C$3+K1442*Rubric!$C$4+L1442*Rubric!$C$5+M1442*Rubric!$C$6+N1442*Rubric!$C$7)/5),1)</f>
        <v>87</v>
      </c>
      <c r="U1442" s="8" t="str">
        <f aca="false">LOOKUP(T1442,Bands!$A$2:$A$6,Bands!$B$2:$B$6)</f>
        <v>Solid Performance</v>
      </c>
      <c r="V1442" s="8" t="n">
        <f aca="false">IF(Q1442="","",ROUND((Q1442-B1442)*24,1))</f>
        <v>0</v>
      </c>
    </row>
    <row r="1443" customFormat="false" ht="15" hidden="false" customHeight="false" outlineLevel="0" collapsed="false">
      <c r="A1443" s="3" t="s">
        <v>3020</v>
      </c>
      <c r="B1443" s="5" t="n">
        <v>46281.5048611111</v>
      </c>
      <c r="C1443" s="3" t="s">
        <v>39</v>
      </c>
      <c r="D1443" s="3" t="s">
        <v>125</v>
      </c>
      <c r="E1443" s="3" t="s">
        <v>126</v>
      </c>
      <c r="F1443" s="3" t="s">
        <v>53</v>
      </c>
      <c r="G1443" s="3" t="s">
        <v>54</v>
      </c>
      <c r="H1443" s="3" t="s">
        <v>3021</v>
      </c>
      <c r="I1443" s="3" t="n">
        <v>5</v>
      </c>
      <c r="J1443" s="3" t="n">
        <v>3</v>
      </c>
      <c r="K1443" s="3" t="n">
        <v>4</v>
      </c>
      <c r="L1443" s="3" t="n">
        <v>5</v>
      </c>
      <c r="M1443" s="3" t="n">
        <v>4</v>
      </c>
      <c r="N1443" s="3" t="n">
        <v>5</v>
      </c>
      <c r="O1443" s="6" t="b">
        <f aca="false">FALSE()</f>
        <v>0</v>
      </c>
      <c r="P1443" s="3"/>
      <c r="Q1443" s="5" t="n">
        <v>46281.50625</v>
      </c>
      <c r="R1443" s="5" t="n">
        <v>46281.5666666667</v>
      </c>
      <c r="S1443" s="3" t="s">
        <v>1699</v>
      </c>
      <c r="T1443" s="7" t="n">
        <f aca="false">ROUND(MIN(IF(OR(O1443=TRUE(),O1443="TRUE",O1443="Yes"),59,100),(I1443*Rubric!$C$2+J1443*Rubric!$C$3+K1443*Rubric!$C$4+L1443*Rubric!$C$5+M1443*Rubric!$C$6+N1443*Rubric!$C$7)/5),1)</f>
        <v>84</v>
      </c>
      <c r="U1443" s="8" t="str">
        <f aca="false">LOOKUP(T1443,Bands!$A$2:$A$6,Bands!$B$2:$B$6)</f>
        <v>Solid Performance</v>
      </c>
      <c r="V1443" s="8" t="n">
        <f aca="false">IF(Q1443="","",ROUND((Q1443-B1443)*24,1))</f>
        <v>0</v>
      </c>
    </row>
    <row r="1444" customFormat="false" ht="15" hidden="false" customHeight="false" outlineLevel="0" collapsed="false">
      <c r="A1444" s="3" t="s">
        <v>3022</v>
      </c>
      <c r="B1444" s="5" t="n">
        <v>46281.4006944444</v>
      </c>
      <c r="C1444" s="3" t="s">
        <v>30</v>
      </c>
      <c r="D1444" s="3" t="s">
        <v>486</v>
      </c>
      <c r="E1444" s="3" t="s">
        <v>487</v>
      </c>
      <c r="F1444" s="3" t="s">
        <v>65</v>
      </c>
      <c r="G1444" s="3" t="s">
        <v>42</v>
      </c>
      <c r="H1444" s="3" t="s">
        <v>3023</v>
      </c>
      <c r="I1444" s="3" t="n">
        <v>4</v>
      </c>
      <c r="J1444" s="3" t="n">
        <v>4</v>
      </c>
      <c r="K1444" s="3" t="n">
        <v>5</v>
      </c>
      <c r="L1444" s="3" t="n">
        <v>5</v>
      </c>
      <c r="M1444" s="3" t="n">
        <v>4</v>
      </c>
      <c r="N1444" s="3" t="n">
        <v>5</v>
      </c>
      <c r="O1444" s="6" t="b">
        <f aca="false">FALSE()</f>
        <v>0</v>
      </c>
      <c r="P1444" s="3"/>
      <c r="Q1444" s="5" t="n">
        <v>46281.4027777778</v>
      </c>
      <c r="R1444" s="5" t="n">
        <v>46282.2020833333</v>
      </c>
      <c r="S1444" s="3" t="s">
        <v>1699</v>
      </c>
      <c r="T1444" s="7" t="n">
        <f aca="false">ROUND(MIN(IF(OR(O1444=TRUE(),O1444="TRUE",O1444="Yes"),59,100),(I1444*Rubric!$C$2+J1444*Rubric!$C$3+K1444*Rubric!$C$4+L1444*Rubric!$C$5+M1444*Rubric!$C$6+N1444*Rubric!$C$7)/5),1)</f>
        <v>90</v>
      </c>
      <c r="U1444" s="8" t="str">
        <f aca="false">LOOKUP(T1444,Bands!$A$2:$A$6,Bands!$B$2:$B$6)</f>
        <v>Outstanding</v>
      </c>
      <c r="V1444" s="8" t="n">
        <f aca="false">IF(Q1444="","",ROUND((Q1444-B1444)*24,1))</f>
        <v>0.1</v>
      </c>
    </row>
    <row r="1445" customFormat="false" ht="15" hidden="false" customHeight="false" outlineLevel="0" collapsed="false">
      <c r="A1445" s="3" t="s">
        <v>3024</v>
      </c>
      <c r="B1445" s="5" t="n">
        <v>46281.5986111111</v>
      </c>
      <c r="C1445" s="3" t="s">
        <v>39</v>
      </c>
      <c r="D1445" s="3" t="s">
        <v>293</v>
      </c>
      <c r="E1445" s="3" t="s">
        <v>294</v>
      </c>
      <c r="F1445" s="3" t="s">
        <v>65</v>
      </c>
      <c r="G1445" s="3" t="s">
        <v>54</v>
      </c>
      <c r="H1445" s="3" t="s">
        <v>3025</v>
      </c>
      <c r="I1445" s="3" t="n">
        <v>5</v>
      </c>
      <c r="J1445" s="3" t="n">
        <v>5</v>
      </c>
      <c r="K1445" s="3" t="n">
        <v>4</v>
      </c>
      <c r="L1445" s="3" t="n">
        <v>4</v>
      </c>
      <c r="M1445" s="3" t="n">
        <v>5</v>
      </c>
      <c r="N1445" s="3" t="n">
        <v>5</v>
      </c>
      <c r="O1445" s="6" t="b">
        <f aca="false">FALSE()</f>
        <v>0</v>
      </c>
      <c r="P1445" s="3"/>
      <c r="Q1445" s="5" t="n">
        <v>46281.6</v>
      </c>
      <c r="R1445" s="5" t="n">
        <v>46281.6215277778</v>
      </c>
      <c r="S1445" s="3" t="s">
        <v>1699</v>
      </c>
      <c r="T1445" s="7" t="n">
        <f aca="false">ROUND(MIN(IF(OR(O1445=TRUE(),O1445="TRUE",O1445="Yes"),59,100),(I1445*Rubric!$C$2+J1445*Rubric!$C$3+K1445*Rubric!$C$4+L1445*Rubric!$C$5+M1445*Rubric!$C$6+N1445*Rubric!$C$7)/5),1)</f>
        <v>93</v>
      </c>
      <c r="U1445" s="8" t="str">
        <f aca="false">LOOKUP(T1445,Bands!$A$2:$A$6,Bands!$B$2:$B$6)</f>
        <v>Outstanding</v>
      </c>
      <c r="V1445" s="8" t="n">
        <f aca="false">IF(Q1445="","",ROUND((Q1445-B1445)*24,1))</f>
        <v>0</v>
      </c>
    </row>
    <row r="1446" customFormat="false" ht="15" hidden="false" customHeight="false" outlineLevel="0" collapsed="false">
      <c r="A1446" s="3" t="s">
        <v>3026</v>
      </c>
      <c r="B1446" s="5" t="n">
        <v>46281.4284722222</v>
      </c>
      <c r="C1446" s="3" t="s">
        <v>68</v>
      </c>
      <c r="D1446" s="3" t="s">
        <v>167</v>
      </c>
      <c r="E1446" s="3" t="s">
        <v>168</v>
      </c>
      <c r="F1446" s="3" t="s">
        <v>33</v>
      </c>
      <c r="G1446" s="3" t="s">
        <v>42</v>
      </c>
      <c r="H1446" s="3" t="s">
        <v>3027</v>
      </c>
      <c r="I1446" s="3" t="n">
        <v>2</v>
      </c>
      <c r="J1446" s="3" t="n">
        <v>4</v>
      </c>
      <c r="K1446" s="3" t="n">
        <v>3</v>
      </c>
      <c r="L1446" s="3" t="n">
        <v>3</v>
      </c>
      <c r="M1446" s="3" t="n">
        <v>3</v>
      </c>
      <c r="N1446" s="3" t="n">
        <v>4</v>
      </c>
      <c r="O1446" s="6" t="b">
        <f aca="false">FALSE()</f>
        <v>0</v>
      </c>
      <c r="P1446" s="3" t="s">
        <v>88</v>
      </c>
      <c r="Q1446" s="5" t="n">
        <v>46281.4305555556</v>
      </c>
      <c r="R1446" s="5" t="n">
        <v>46281.7895833333</v>
      </c>
      <c r="S1446" s="3" t="s">
        <v>1699</v>
      </c>
      <c r="T1446" s="7" t="n">
        <f aca="false">ROUND(MIN(IF(OR(O1446=TRUE(),O1446="TRUE",O1446="Yes"),59,100),(I1446*Rubric!$C$2+J1446*Rubric!$C$3+K1446*Rubric!$C$4+L1446*Rubric!$C$5+M1446*Rubric!$C$6+N1446*Rubric!$C$7)/5),1)</f>
        <v>65</v>
      </c>
      <c r="U1446" s="8" t="str">
        <f aca="false">LOOKUP(T1446,Bands!$A$2:$A$6,Bands!$B$2:$B$6)</f>
        <v>Needs Improvement</v>
      </c>
      <c r="V1446" s="8" t="n">
        <f aca="false">IF(Q1446="","",ROUND((Q1446-B1446)*24,1))</f>
        <v>0.1</v>
      </c>
    </row>
    <row r="1447" customFormat="false" ht="15" hidden="false" customHeight="false" outlineLevel="0" collapsed="false">
      <c r="A1447" s="3" t="s">
        <v>3028</v>
      </c>
      <c r="B1447" s="5" t="n">
        <v>46281.6805555556</v>
      </c>
      <c r="C1447" s="3" t="s">
        <v>30</v>
      </c>
      <c r="D1447" s="3" t="s">
        <v>145</v>
      </c>
      <c r="E1447" s="3" t="s">
        <v>146</v>
      </c>
      <c r="F1447" s="3" t="s">
        <v>33</v>
      </c>
      <c r="G1447" s="3" t="s">
        <v>34</v>
      </c>
      <c r="H1447" s="3" t="s">
        <v>3029</v>
      </c>
      <c r="I1447" s="3" t="n">
        <v>4</v>
      </c>
      <c r="J1447" s="3" t="n">
        <v>3</v>
      </c>
      <c r="K1447" s="3" t="n">
        <v>4</v>
      </c>
      <c r="L1447" s="3" t="n">
        <v>4</v>
      </c>
      <c r="M1447" s="3" t="n">
        <v>4</v>
      </c>
      <c r="N1447" s="3" t="n">
        <v>4</v>
      </c>
      <c r="O1447" s="6" t="b">
        <f aca="false">FALSE()</f>
        <v>0</v>
      </c>
      <c r="P1447" s="3"/>
      <c r="Q1447" s="5" t="n">
        <v>46281.6819444444</v>
      </c>
      <c r="R1447" s="5" t="n">
        <v>46281.9888888889</v>
      </c>
      <c r="S1447" s="3" t="s">
        <v>1699</v>
      </c>
      <c r="T1447" s="7" t="n">
        <f aca="false">ROUND(MIN(IF(OR(O1447=TRUE(),O1447="TRUE",O1447="Yes"),59,100),(I1447*Rubric!$C$2+J1447*Rubric!$C$3+K1447*Rubric!$C$4+L1447*Rubric!$C$5+M1447*Rubric!$C$6+N1447*Rubric!$C$7)/5),1)</f>
        <v>75</v>
      </c>
      <c r="U1447" s="8" t="str">
        <f aca="false">LOOKUP(T1447,Bands!$A$2:$A$6,Bands!$B$2:$B$6)</f>
        <v>Meets Expectations</v>
      </c>
      <c r="V1447" s="8" t="n">
        <f aca="false">IF(Q1447="","",ROUND((Q1447-B1447)*24,1))</f>
        <v>0</v>
      </c>
    </row>
    <row r="1448" customFormat="false" ht="15" hidden="false" customHeight="false" outlineLevel="0" collapsed="false">
      <c r="A1448" s="3" t="s">
        <v>3030</v>
      </c>
      <c r="B1448" s="5" t="n">
        <v>46281.6006944445</v>
      </c>
      <c r="C1448" s="3" t="s">
        <v>30</v>
      </c>
      <c r="D1448" s="3" t="s">
        <v>111</v>
      </c>
      <c r="E1448" s="3" t="s">
        <v>112</v>
      </c>
      <c r="F1448" s="3" t="s">
        <v>33</v>
      </c>
      <c r="G1448" s="3" t="s">
        <v>54</v>
      </c>
      <c r="H1448" s="3" t="s">
        <v>3031</v>
      </c>
      <c r="I1448" s="3" t="n">
        <v>3</v>
      </c>
      <c r="J1448" s="3" t="n">
        <v>4</v>
      </c>
      <c r="K1448" s="3" t="n">
        <v>4</v>
      </c>
      <c r="L1448" s="3" t="n">
        <v>5</v>
      </c>
      <c r="M1448" s="3" t="n">
        <v>5</v>
      </c>
      <c r="N1448" s="3" t="n">
        <v>3</v>
      </c>
      <c r="O1448" s="6" t="b">
        <f aca="false">FALSE()</f>
        <v>0</v>
      </c>
      <c r="P1448" s="3"/>
      <c r="Q1448" s="5" t="n">
        <v>46281.6027777778</v>
      </c>
      <c r="R1448" s="5" t="n">
        <v>46281.9458333333</v>
      </c>
      <c r="S1448" s="3" t="s">
        <v>1699</v>
      </c>
      <c r="T1448" s="7" t="n">
        <f aca="false">ROUND(MIN(IF(OR(O1448=TRUE(),O1448="TRUE",O1448="Yes"),59,100),(I1448*Rubric!$C$2+J1448*Rubric!$C$3+K1448*Rubric!$C$4+L1448*Rubric!$C$5+M1448*Rubric!$C$6+N1448*Rubric!$C$7)/5),1)</f>
        <v>79</v>
      </c>
      <c r="U1448" s="8" t="str">
        <f aca="false">LOOKUP(T1448,Bands!$A$2:$A$6,Bands!$B$2:$B$6)</f>
        <v>Meets Expectations</v>
      </c>
      <c r="V1448" s="8" t="n">
        <f aca="false">IF(Q1448="","",ROUND((Q1448-B1448)*24,1))</f>
        <v>0</v>
      </c>
    </row>
    <row r="1449" customFormat="false" ht="15" hidden="false" customHeight="false" outlineLevel="0" collapsed="false">
      <c r="A1449" s="3" t="s">
        <v>3032</v>
      </c>
      <c r="B1449" s="5" t="n">
        <v>46281.6006944445</v>
      </c>
      <c r="C1449" s="3" t="s">
        <v>30</v>
      </c>
      <c r="D1449" s="3" t="s">
        <v>115</v>
      </c>
      <c r="E1449" s="3" t="s">
        <v>116</v>
      </c>
      <c r="F1449" s="3" t="s">
        <v>33</v>
      </c>
      <c r="G1449" s="3" t="s">
        <v>54</v>
      </c>
      <c r="H1449" s="3" t="s">
        <v>3033</v>
      </c>
      <c r="I1449" s="3" t="n">
        <v>5</v>
      </c>
      <c r="J1449" s="3" t="n">
        <v>5</v>
      </c>
      <c r="K1449" s="3" t="n">
        <v>4</v>
      </c>
      <c r="L1449" s="3" t="n">
        <v>5</v>
      </c>
      <c r="M1449" s="3" t="n">
        <v>4</v>
      </c>
      <c r="N1449" s="3" t="n">
        <v>4</v>
      </c>
      <c r="O1449" s="6" t="b">
        <f aca="false">FALSE()</f>
        <v>0</v>
      </c>
      <c r="P1449" s="3"/>
      <c r="Q1449" s="5" t="n">
        <v>46281.6020833333</v>
      </c>
      <c r="R1449" s="5" t="n">
        <v>46282.0513888889</v>
      </c>
      <c r="S1449" s="3" t="s">
        <v>1699</v>
      </c>
      <c r="T1449" s="7" t="n">
        <f aca="false">ROUND(MIN(IF(OR(O1449=TRUE(),O1449="TRUE",O1449="Yes"),59,100),(I1449*Rubric!$C$2+J1449*Rubric!$C$3+K1449*Rubric!$C$4+L1449*Rubric!$C$5+M1449*Rubric!$C$6+N1449*Rubric!$C$7)/5),1)</f>
        <v>91</v>
      </c>
      <c r="U1449" s="8" t="str">
        <f aca="false">LOOKUP(T1449,Bands!$A$2:$A$6,Bands!$B$2:$B$6)</f>
        <v>Outstanding</v>
      </c>
      <c r="V1449" s="8" t="n">
        <f aca="false">IF(Q1449="","",ROUND((Q1449-B1449)*24,1))</f>
        <v>0</v>
      </c>
    </row>
    <row r="1450" customFormat="false" ht="15" hidden="false" customHeight="false" outlineLevel="0" collapsed="false">
      <c r="A1450" s="3" t="s">
        <v>3034</v>
      </c>
      <c r="B1450" s="5" t="n">
        <v>46281.6819444444</v>
      </c>
      <c r="C1450" s="3" t="s">
        <v>39</v>
      </c>
      <c r="D1450" s="3" t="s">
        <v>251</v>
      </c>
      <c r="E1450" s="3" t="s">
        <v>252</v>
      </c>
      <c r="F1450" s="3" t="s">
        <v>53</v>
      </c>
      <c r="G1450" s="3" t="s">
        <v>42</v>
      </c>
      <c r="H1450" s="3" t="s">
        <v>3035</v>
      </c>
      <c r="I1450" s="3" t="n">
        <v>4</v>
      </c>
      <c r="J1450" s="3" t="n">
        <v>3</v>
      </c>
      <c r="K1450" s="3" t="n">
        <v>4</v>
      </c>
      <c r="L1450" s="3" t="n">
        <v>3</v>
      </c>
      <c r="M1450" s="3" t="n">
        <v>3</v>
      </c>
      <c r="N1450" s="3" t="n">
        <v>4</v>
      </c>
      <c r="O1450" s="6" t="b">
        <f aca="false">FALSE()</f>
        <v>0</v>
      </c>
      <c r="P1450" s="3"/>
      <c r="Q1450" s="5" t="n">
        <v>46281.6826388889</v>
      </c>
      <c r="R1450" s="5" t="n">
        <v>46281.7326388889</v>
      </c>
      <c r="S1450" s="3" t="s">
        <v>1699</v>
      </c>
      <c r="T1450" s="7" t="n">
        <f aca="false">ROUND(MIN(IF(OR(O1450=TRUE(),O1450="TRUE",O1450="Yes"),59,100),(I1450*Rubric!$C$2+J1450*Rubric!$C$3+K1450*Rubric!$C$4+L1450*Rubric!$C$5+M1450*Rubric!$C$6+N1450*Rubric!$C$7)/5),1)</f>
        <v>70</v>
      </c>
      <c r="U1450" s="8" t="str">
        <f aca="false">LOOKUP(T1450,Bands!$A$2:$A$6,Bands!$B$2:$B$6)</f>
        <v>Meets Expectations</v>
      </c>
      <c r="V1450" s="8" t="n">
        <f aca="false">IF(Q1450="","",ROUND((Q1450-B1450)*24,1))</f>
        <v>0</v>
      </c>
    </row>
    <row r="1451" customFormat="false" ht="15" hidden="false" customHeight="false" outlineLevel="0" collapsed="false">
      <c r="A1451" s="3" t="s">
        <v>3036</v>
      </c>
      <c r="B1451" s="5" t="n">
        <v>46281.6069444444</v>
      </c>
      <c r="C1451" s="3" t="s">
        <v>68</v>
      </c>
      <c r="D1451" s="3" t="s">
        <v>77</v>
      </c>
      <c r="E1451" s="3" t="s">
        <v>78</v>
      </c>
      <c r="F1451" s="3" t="s">
        <v>33</v>
      </c>
      <c r="G1451" s="3" t="s">
        <v>42</v>
      </c>
      <c r="H1451" s="3" t="s">
        <v>3037</v>
      </c>
      <c r="I1451" s="3" t="n">
        <v>5</v>
      </c>
      <c r="J1451" s="3" t="n">
        <v>5</v>
      </c>
      <c r="K1451" s="3" t="n">
        <v>4</v>
      </c>
      <c r="L1451" s="3" t="n">
        <v>5</v>
      </c>
      <c r="M1451" s="3" t="n">
        <v>5</v>
      </c>
      <c r="N1451" s="3" t="n">
        <v>1</v>
      </c>
      <c r="O1451" s="6" t="b">
        <f aca="false">TRUE()</f>
        <v>1</v>
      </c>
      <c r="P1451" s="3" t="s">
        <v>36</v>
      </c>
      <c r="Q1451" s="5" t="n">
        <v>46281.6083333333</v>
      </c>
      <c r="R1451" s="5" t="n">
        <v>46281.8090277778</v>
      </c>
      <c r="S1451" s="3" t="s">
        <v>1699</v>
      </c>
      <c r="T1451" s="7" t="n">
        <f aca="false">ROUND(MIN(IF(OR(O1451=TRUE(),O1451="TRUE",O1451="Yes"),59,100),(I1451*Rubric!$C$2+J1451*Rubric!$C$3+K1451*Rubric!$C$4+L1451*Rubric!$C$5+M1451*Rubric!$C$6+N1451*Rubric!$C$7)/5),1)</f>
        <v>59</v>
      </c>
      <c r="U1451" s="8" t="str">
        <f aca="false">LOOKUP(T1451,Bands!$A$2:$A$6,Bands!$B$2:$B$6)</f>
        <v>Critical</v>
      </c>
      <c r="V1451" s="8" t="n">
        <f aca="false">IF(Q1451="","",ROUND((Q1451-B1451)*24,1))</f>
        <v>0</v>
      </c>
    </row>
    <row r="1452" customFormat="false" ht="15" hidden="false" customHeight="false" outlineLevel="0" collapsed="false">
      <c r="A1452" s="3" t="s">
        <v>3038</v>
      </c>
      <c r="B1452" s="5" t="n">
        <v>46281.5611111111</v>
      </c>
      <c r="C1452" s="3" t="s">
        <v>30</v>
      </c>
      <c r="D1452" s="3" t="s">
        <v>307</v>
      </c>
      <c r="E1452" s="3" t="s">
        <v>308</v>
      </c>
      <c r="F1452" s="3" t="s">
        <v>33</v>
      </c>
      <c r="G1452" s="3" t="s">
        <v>42</v>
      </c>
      <c r="H1452" s="3" t="s">
        <v>3039</v>
      </c>
      <c r="I1452" s="3" t="n">
        <v>5</v>
      </c>
      <c r="J1452" s="3" t="n">
        <v>5</v>
      </c>
      <c r="K1452" s="3" t="n">
        <v>4</v>
      </c>
      <c r="L1452" s="3" t="n">
        <v>5</v>
      </c>
      <c r="M1452" s="3" t="n">
        <v>5</v>
      </c>
      <c r="N1452" s="3" t="n">
        <v>5</v>
      </c>
      <c r="O1452" s="6" t="b">
        <f aca="false">FALSE()</f>
        <v>0</v>
      </c>
      <c r="P1452" s="3"/>
      <c r="Q1452" s="5" t="n">
        <v>46281.5625</v>
      </c>
      <c r="R1452" s="5" t="n">
        <v>46281.6416666667</v>
      </c>
      <c r="S1452" s="3" t="s">
        <v>1699</v>
      </c>
      <c r="T1452" s="7" t="n">
        <f aca="false">ROUND(MIN(IF(OR(O1452=TRUE(),O1452="TRUE",O1452="Yes"),59,100),(I1452*Rubric!$C$2+J1452*Rubric!$C$3+K1452*Rubric!$C$4+L1452*Rubric!$C$5+M1452*Rubric!$C$6+N1452*Rubric!$C$7)/5),1)</f>
        <v>96</v>
      </c>
      <c r="U1452" s="8" t="str">
        <f aca="false">LOOKUP(T1452,Bands!$A$2:$A$6,Bands!$B$2:$B$6)</f>
        <v>Outstanding</v>
      </c>
      <c r="V1452" s="8" t="n">
        <f aca="false">IF(Q1452="","",ROUND((Q1452-B1452)*24,1))</f>
        <v>0</v>
      </c>
    </row>
    <row r="1453" customFormat="false" ht="15" hidden="false" customHeight="false" outlineLevel="0" collapsed="false">
      <c r="A1453" s="3" t="s">
        <v>3040</v>
      </c>
      <c r="B1453" s="5" t="n">
        <v>46281.4291666667</v>
      </c>
      <c r="C1453" s="3" t="s">
        <v>39</v>
      </c>
      <c r="D1453" s="3" t="s">
        <v>51</v>
      </c>
      <c r="E1453" s="3" t="s">
        <v>52</v>
      </c>
      <c r="F1453" s="3" t="s">
        <v>53</v>
      </c>
      <c r="G1453" s="3" t="s">
        <v>42</v>
      </c>
      <c r="H1453" s="3" t="s">
        <v>3041</v>
      </c>
      <c r="I1453" s="3" t="n">
        <v>4</v>
      </c>
      <c r="J1453" s="3" t="n">
        <v>5</v>
      </c>
      <c r="K1453" s="3" t="n">
        <v>5</v>
      </c>
      <c r="L1453" s="3" t="n">
        <v>4</v>
      </c>
      <c r="M1453" s="3" t="n">
        <v>4</v>
      </c>
      <c r="N1453" s="3" t="n">
        <v>5</v>
      </c>
      <c r="O1453" s="6" t="b">
        <f aca="false">FALSE()</f>
        <v>0</v>
      </c>
      <c r="P1453" s="3"/>
      <c r="Q1453" s="5" t="n">
        <v>46281.43125</v>
      </c>
      <c r="R1453" s="5" t="n">
        <v>46281.5805555556</v>
      </c>
      <c r="S1453" s="3" t="s">
        <v>1699</v>
      </c>
      <c r="T1453" s="7" t="n">
        <f aca="false">ROUND(MIN(IF(OR(O1453=TRUE(),O1453="TRUE",O1453="Yes"),59,100),(I1453*Rubric!$C$2+J1453*Rubric!$C$3+K1453*Rubric!$C$4+L1453*Rubric!$C$5+M1453*Rubric!$C$6+N1453*Rubric!$C$7)/5),1)</f>
        <v>92</v>
      </c>
      <c r="U1453" s="8" t="str">
        <f aca="false">LOOKUP(T1453,Bands!$A$2:$A$6,Bands!$B$2:$B$6)</f>
        <v>Outstanding</v>
      </c>
      <c r="V1453" s="8" t="n">
        <f aca="false">IF(Q1453="","",ROUND((Q1453-B1453)*24,1))</f>
        <v>0</v>
      </c>
    </row>
    <row r="1454" customFormat="false" ht="15" hidden="false" customHeight="false" outlineLevel="0" collapsed="false">
      <c r="A1454" s="3" t="s">
        <v>3042</v>
      </c>
      <c r="B1454" s="5" t="n">
        <v>46282.5909722222</v>
      </c>
      <c r="C1454" s="3" t="s">
        <v>39</v>
      </c>
      <c r="D1454" s="3" t="s">
        <v>105</v>
      </c>
      <c r="E1454" s="3" t="s">
        <v>106</v>
      </c>
      <c r="F1454" s="3" t="s">
        <v>65</v>
      </c>
      <c r="G1454" s="3" t="s">
        <v>34</v>
      </c>
      <c r="H1454" s="3" t="s">
        <v>3043</v>
      </c>
      <c r="I1454" s="3" t="n">
        <v>5</v>
      </c>
      <c r="J1454" s="3" t="n">
        <v>3</v>
      </c>
      <c r="K1454" s="3" t="n">
        <v>4</v>
      </c>
      <c r="L1454" s="3" t="n">
        <v>5</v>
      </c>
      <c r="M1454" s="3" t="n">
        <v>4</v>
      </c>
      <c r="N1454" s="3" t="n">
        <v>4</v>
      </c>
      <c r="O1454" s="6" t="b">
        <f aca="false">FALSE()</f>
        <v>0</v>
      </c>
      <c r="P1454" s="3"/>
      <c r="Q1454" s="5" t="n">
        <v>46282.5930555556</v>
      </c>
      <c r="R1454" s="5" t="n">
        <v>46283.1451388889</v>
      </c>
      <c r="S1454" s="3" t="s">
        <v>1699</v>
      </c>
      <c r="T1454" s="7" t="n">
        <f aca="false">ROUND(MIN(IF(OR(O1454=TRUE(),O1454="TRUE",O1454="Yes"),59,100),(I1454*Rubric!$C$2+J1454*Rubric!$C$3+K1454*Rubric!$C$4+L1454*Rubric!$C$5+M1454*Rubric!$C$6+N1454*Rubric!$C$7)/5),1)</f>
        <v>81</v>
      </c>
      <c r="U1454" s="8" t="str">
        <f aca="false">LOOKUP(T1454,Bands!$A$2:$A$6,Bands!$B$2:$B$6)</f>
        <v>Solid Performance</v>
      </c>
      <c r="V1454" s="8" t="n">
        <f aca="false">IF(Q1454="","",ROUND((Q1454-B1454)*24,1))</f>
        <v>0.1</v>
      </c>
    </row>
    <row r="1455" customFormat="false" ht="15" hidden="false" customHeight="false" outlineLevel="0" collapsed="false">
      <c r="A1455" s="3" t="s">
        <v>3044</v>
      </c>
      <c r="B1455" s="5" t="n">
        <v>46282.6388888889</v>
      </c>
      <c r="C1455" s="3" t="s">
        <v>68</v>
      </c>
      <c r="D1455" s="3" t="s">
        <v>40</v>
      </c>
      <c r="E1455" s="3" t="s">
        <v>41</v>
      </c>
      <c r="F1455" s="3" t="s">
        <v>33</v>
      </c>
      <c r="G1455" s="3" t="s">
        <v>54</v>
      </c>
      <c r="H1455" s="3" t="s">
        <v>3045</v>
      </c>
      <c r="I1455" s="3" t="n">
        <v>4</v>
      </c>
      <c r="J1455" s="3" t="n">
        <v>4</v>
      </c>
      <c r="K1455" s="3" t="n">
        <v>4</v>
      </c>
      <c r="L1455" s="3" t="n">
        <v>2</v>
      </c>
      <c r="M1455" s="3" t="n">
        <v>3</v>
      </c>
      <c r="N1455" s="3" t="n">
        <v>4</v>
      </c>
      <c r="O1455" s="6" t="b">
        <f aca="false">FALSE()</f>
        <v>0</v>
      </c>
      <c r="P1455" s="3" t="s">
        <v>44</v>
      </c>
      <c r="Q1455" s="5" t="n">
        <v>46282.6395833333</v>
      </c>
      <c r="R1455" s="5" t="n">
        <v>46282.85</v>
      </c>
      <c r="S1455" s="3" t="s">
        <v>1699</v>
      </c>
      <c r="T1455" s="7" t="n">
        <f aca="false">ROUND(MIN(IF(OR(O1455=TRUE(),O1455="TRUE",O1455="Yes"),59,100),(I1455*Rubric!$C$2+J1455*Rubric!$C$3+K1455*Rubric!$C$4+L1455*Rubric!$C$5+M1455*Rubric!$C$6+N1455*Rubric!$C$7)/5),1)</f>
        <v>72</v>
      </c>
      <c r="U1455" s="8" t="str">
        <f aca="false">LOOKUP(T1455,Bands!$A$2:$A$6,Bands!$B$2:$B$6)</f>
        <v>Meets Expectations</v>
      </c>
      <c r="V1455" s="8" t="n">
        <f aca="false">IF(Q1455="","",ROUND((Q1455-B1455)*24,1))</f>
        <v>0</v>
      </c>
    </row>
    <row r="1456" customFormat="false" ht="15" hidden="false" customHeight="false" outlineLevel="0" collapsed="false">
      <c r="A1456" s="3" t="s">
        <v>3046</v>
      </c>
      <c r="B1456" s="5" t="n">
        <v>46282.6069444444</v>
      </c>
      <c r="C1456" s="3" t="s">
        <v>30</v>
      </c>
      <c r="D1456" s="3" t="s">
        <v>151</v>
      </c>
      <c r="E1456" s="3" t="s">
        <v>152</v>
      </c>
      <c r="F1456" s="3" t="s">
        <v>33</v>
      </c>
      <c r="G1456" s="3" t="s">
        <v>54</v>
      </c>
      <c r="H1456" s="3" t="s">
        <v>3047</v>
      </c>
      <c r="I1456" s="3" t="n">
        <v>5</v>
      </c>
      <c r="J1456" s="3" t="n">
        <v>4</v>
      </c>
      <c r="K1456" s="3" t="n">
        <v>4</v>
      </c>
      <c r="L1456" s="3" t="n">
        <v>4</v>
      </c>
      <c r="M1456" s="3" t="n">
        <v>4</v>
      </c>
      <c r="N1456" s="3" t="n">
        <v>4</v>
      </c>
      <c r="O1456" s="6" t="b">
        <f aca="false">FALSE()</f>
        <v>0</v>
      </c>
      <c r="P1456" s="3"/>
      <c r="Q1456" s="5" t="n">
        <v>46282.6083333333</v>
      </c>
      <c r="R1456" s="5" t="n">
        <v>46282.7833333333</v>
      </c>
      <c r="S1456" s="3" t="s">
        <v>1699</v>
      </c>
      <c r="T1456" s="7" t="n">
        <f aca="false">ROUND(MIN(IF(OR(O1456=TRUE(),O1456="TRUE",O1456="Yes"),59,100),(I1456*Rubric!$C$2+J1456*Rubric!$C$3+K1456*Rubric!$C$4+L1456*Rubric!$C$5+M1456*Rubric!$C$6+N1456*Rubric!$C$7)/5),1)</f>
        <v>83</v>
      </c>
      <c r="U1456" s="8" t="str">
        <f aca="false">LOOKUP(T1456,Bands!$A$2:$A$6,Bands!$B$2:$B$6)</f>
        <v>Solid Performance</v>
      </c>
      <c r="V1456" s="8" t="n">
        <f aca="false">IF(Q1456="","",ROUND((Q1456-B1456)*24,1))</f>
        <v>0</v>
      </c>
    </row>
    <row r="1457" customFormat="false" ht="15" hidden="false" customHeight="false" outlineLevel="0" collapsed="false">
      <c r="A1457" s="3" t="s">
        <v>3048</v>
      </c>
      <c r="B1457" s="5" t="n">
        <v>46282.5833333333</v>
      </c>
      <c r="C1457" s="3" t="s">
        <v>30</v>
      </c>
      <c r="D1457" s="3" t="s">
        <v>161</v>
      </c>
      <c r="E1457" s="3" t="s">
        <v>162</v>
      </c>
      <c r="F1457" s="3" t="s">
        <v>33</v>
      </c>
      <c r="G1457" s="3" t="s">
        <v>54</v>
      </c>
      <c r="H1457" s="3" t="s">
        <v>3049</v>
      </c>
      <c r="I1457" s="3" t="n">
        <v>4</v>
      </c>
      <c r="J1457" s="3" t="n">
        <v>3</v>
      </c>
      <c r="K1457" s="3" t="n">
        <v>5</v>
      </c>
      <c r="L1457" s="3" t="n">
        <v>4</v>
      </c>
      <c r="M1457" s="3" t="n">
        <v>3</v>
      </c>
      <c r="N1457" s="3" t="n">
        <v>4</v>
      </c>
      <c r="O1457" s="6" t="b">
        <f aca="false">FALSE()</f>
        <v>0</v>
      </c>
      <c r="P1457" s="3"/>
      <c r="Q1457" s="5" t="n">
        <v>46282.5840277778</v>
      </c>
      <c r="R1457" s="5" t="n">
        <v>46282.8263888889</v>
      </c>
      <c r="S1457" s="3" t="s">
        <v>1699</v>
      </c>
      <c r="T1457" s="7" t="n">
        <f aca="false">ROUND(MIN(IF(OR(O1457=TRUE(),O1457="TRUE",O1457="Yes"),59,100),(I1457*Rubric!$C$2+J1457*Rubric!$C$3+K1457*Rubric!$C$4+L1457*Rubric!$C$5+M1457*Rubric!$C$6+N1457*Rubric!$C$7)/5),1)</f>
        <v>77</v>
      </c>
      <c r="U1457" s="8" t="str">
        <f aca="false">LOOKUP(T1457,Bands!$A$2:$A$6,Bands!$B$2:$B$6)</f>
        <v>Meets Expectations</v>
      </c>
      <c r="V1457" s="8" t="n">
        <f aca="false">IF(Q1457="","",ROUND((Q1457-B1457)*24,1))</f>
        <v>0</v>
      </c>
    </row>
    <row r="1458" customFormat="false" ht="15" hidden="false" customHeight="false" outlineLevel="0" collapsed="false">
      <c r="A1458" s="3" t="s">
        <v>3050</v>
      </c>
      <c r="B1458" s="5" t="n">
        <v>46282.5368055556</v>
      </c>
      <c r="C1458" s="3" t="s">
        <v>30</v>
      </c>
      <c r="D1458" s="3" t="s">
        <v>198</v>
      </c>
      <c r="E1458" s="3" t="s">
        <v>199</v>
      </c>
      <c r="F1458" s="3" t="s">
        <v>33</v>
      </c>
      <c r="G1458" s="3" t="s">
        <v>42</v>
      </c>
      <c r="H1458" s="3" t="s">
        <v>3051</v>
      </c>
      <c r="I1458" s="3" t="n">
        <v>4</v>
      </c>
      <c r="J1458" s="3" t="n">
        <v>4</v>
      </c>
      <c r="K1458" s="3" t="n">
        <v>4</v>
      </c>
      <c r="L1458" s="3" t="n">
        <v>4</v>
      </c>
      <c r="M1458" s="3" t="n">
        <v>3</v>
      </c>
      <c r="N1458" s="3" t="n">
        <v>5</v>
      </c>
      <c r="O1458" s="6" t="b">
        <f aca="false">FALSE()</f>
        <v>0</v>
      </c>
      <c r="P1458" s="3"/>
      <c r="Q1458" s="5" t="n">
        <v>46282.5388888889</v>
      </c>
      <c r="R1458" s="5" t="n">
        <v>46282.6631944445</v>
      </c>
      <c r="S1458" s="3" t="s">
        <v>1699</v>
      </c>
      <c r="T1458" s="7" t="n">
        <f aca="false">ROUND(MIN(IF(OR(O1458=TRUE(),O1458="TRUE",O1458="Yes"),59,100),(I1458*Rubric!$C$2+J1458*Rubric!$C$3+K1458*Rubric!$C$4+L1458*Rubric!$C$5+M1458*Rubric!$C$6+N1458*Rubric!$C$7)/5),1)</f>
        <v>81</v>
      </c>
      <c r="U1458" s="8" t="str">
        <f aca="false">LOOKUP(T1458,Bands!$A$2:$A$6,Bands!$B$2:$B$6)</f>
        <v>Solid Performance</v>
      </c>
      <c r="V1458" s="8" t="n">
        <f aca="false">IF(Q1458="","",ROUND((Q1458-B1458)*24,1))</f>
        <v>0</v>
      </c>
    </row>
    <row r="1459" customFormat="false" ht="15" hidden="false" customHeight="false" outlineLevel="0" collapsed="false">
      <c r="A1459" s="3" t="s">
        <v>3052</v>
      </c>
      <c r="B1459" s="5" t="n">
        <v>46282.5104166667</v>
      </c>
      <c r="C1459" s="3" t="s">
        <v>30</v>
      </c>
      <c r="D1459" s="3" t="s">
        <v>73</v>
      </c>
      <c r="E1459" s="3" t="s">
        <v>74</v>
      </c>
      <c r="F1459" s="3" t="s">
        <v>33</v>
      </c>
      <c r="G1459" s="3" t="s">
        <v>54</v>
      </c>
      <c r="H1459" s="3" t="s">
        <v>3053</v>
      </c>
      <c r="I1459" s="3" t="n">
        <v>4</v>
      </c>
      <c r="J1459" s="3" t="n">
        <v>4</v>
      </c>
      <c r="K1459" s="3" t="n">
        <v>5</v>
      </c>
      <c r="L1459" s="3" t="n">
        <v>5</v>
      </c>
      <c r="M1459" s="3" t="n">
        <v>4</v>
      </c>
      <c r="N1459" s="3" t="n">
        <v>4</v>
      </c>
      <c r="O1459" s="6" t="b">
        <f aca="false">FALSE()</f>
        <v>0</v>
      </c>
      <c r="P1459" s="3"/>
      <c r="Q1459" s="5" t="n">
        <v>46282.5111111111</v>
      </c>
      <c r="R1459" s="5" t="n">
        <v>46282.5444444444</v>
      </c>
      <c r="S1459" s="3" t="s">
        <v>1699</v>
      </c>
      <c r="T1459" s="7" t="n">
        <f aca="false">ROUND(MIN(IF(OR(O1459=TRUE(),O1459="TRUE",O1459="Yes"),59,100),(I1459*Rubric!$C$2+J1459*Rubric!$C$3+K1459*Rubric!$C$4+L1459*Rubric!$C$5+M1459*Rubric!$C$6+N1459*Rubric!$C$7)/5),1)</f>
        <v>87</v>
      </c>
      <c r="U1459" s="8" t="str">
        <f aca="false">LOOKUP(T1459,Bands!$A$2:$A$6,Bands!$B$2:$B$6)</f>
        <v>Solid Performance</v>
      </c>
      <c r="V1459" s="8" t="n">
        <f aca="false">IF(Q1459="","",ROUND((Q1459-B1459)*24,1))</f>
        <v>0</v>
      </c>
    </row>
    <row r="1460" customFormat="false" ht="15" hidden="false" customHeight="false" outlineLevel="0" collapsed="false">
      <c r="A1460" s="3" t="s">
        <v>3054</v>
      </c>
      <c r="B1460" s="5" t="n">
        <v>46282.5993055556</v>
      </c>
      <c r="C1460" s="3" t="s">
        <v>39</v>
      </c>
      <c r="D1460" s="3" t="s">
        <v>265</v>
      </c>
      <c r="E1460" s="3" t="s">
        <v>266</v>
      </c>
      <c r="F1460" s="3" t="s">
        <v>33</v>
      </c>
      <c r="G1460" s="3" t="s">
        <v>42</v>
      </c>
      <c r="H1460" s="3" t="s">
        <v>3055</v>
      </c>
      <c r="I1460" s="3" t="n">
        <v>3</v>
      </c>
      <c r="J1460" s="3" t="n">
        <v>3</v>
      </c>
      <c r="K1460" s="3" t="n">
        <v>4</v>
      </c>
      <c r="L1460" s="3" t="n">
        <v>3</v>
      </c>
      <c r="M1460" s="3" t="n">
        <v>4</v>
      </c>
      <c r="N1460" s="3" t="n">
        <v>4</v>
      </c>
      <c r="O1460" s="6" t="b">
        <f aca="false">FALSE()</f>
        <v>0</v>
      </c>
      <c r="P1460" s="3"/>
      <c r="Q1460" s="5" t="n">
        <v>46282.6006944445</v>
      </c>
      <c r="R1460" s="5" t="n">
        <v>46282.9479166667</v>
      </c>
      <c r="S1460" s="3" t="s">
        <v>1699</v>
      </c>
      <c r="T1460" s="7" t="n">
        <f aca="false">ROUND(MIN(IF(OR(O1460=TRUE(),O1460="TRUE",O1460="Yes"),59,100),(I1460*Rubric!$C$2+J1460*Rubric!$C$3+K1460*Rubric!$C$4+L1460*Rubric!$C$5+M1460*Rubric!$C$6+N1460*Rubric!$C$7)/5),1)</f>
        <v>69</v>
      </c>
      <c r="U1460" s="8" t="str">
        <f aca="false">LOOKUP(T1460,Bands!$A$2:$A$6,Bands!$B$2:$B$6)</f>
        <v>Needs Improvement</v>
      </c>
      <c r="V1460" s="8" t="n">
        <f aca="false">IF(Q1460="","",ROUND((Q1460-B1460)*24,1))</f>
        <v>0</v>
      </c>
    </row>
    <row r="1461" customFormat="false" ht="15" hidden="false" customHeight="false" outlineLevel="0" collapsed="false">
      <c r="A1461" s="3" t="s">
        <v>3056</v>
      </c>
      <c r="B1461" s="5" t="n">
        <v>46282.6131944444</v>
      </c>
      <c r="C1461" s="3" t="s">
        <v>30</v>
      </c>
      <c r="D1461" s="3" t="s">
        <v>228</v>
      </c>
      <c r="E1461" s="3" t="s">
        <v>229</v>
      </c>
      <c r="F1461" s="3" t="s">
        <v>65</v>
      </c>
      <c r="G1461" s="3" t="s">
        <v>42</v>
      </c>
      <c r="H1461" s="3" t="s">
        <v>3057</v>
      </c>
      <c r="I1461" s="3" t="n">
        <v>3</v>
      </c>
      <c r="J1461" s="3" t="n">
        <v>3</v>
      </c>
      <c r="K1461" s="3" t="n">
        <v>4</v>
      </c>
      <c r="L1461" s="3" t="n">
        <v>3</v>
      </c>
      <c r="M1461" s="3" t="n">
        <v>3</v>
      </c>
      <c r="N1461" s="3" t="n">
        <v>4</v>
      </c>
      <c r="O1461" s="6" t="b">
        <f aca="false">FALSE()</f>
        <v>0</v>
      </c>
      <c r="P1461" s="3"/>
      <c r="Q1461" s="5" t="n">
        <v>46282.6138888889</v>
      </c>
      <c r="R1461" s="5" t="n">
        <v>46282.8048611111</v>
      </c>
      <c r="S1461" s="3" t="s">
        <v>1699</v>
      </c>
      <c r="T1461" s="7" t="n">
        <f aca="false">ROUND(MIN(IF(OR(O1461=TRUE(),O1461="TRUE",O1461="Yes"),59,100),(I1461*Rubric!$C$2+J1461*Rubric!$C$3+K1461*Rubric!$C$4+L1461*Rubric!$C$5+M1461*Rubric!$C$6+N1461*Rubric!$C$7)/5),1)</f>
        <v>67</v>
      </c>
      <c r="U1461" s="8" t="str">
        <f aca="false">LOOKUP(T1461,Bands!$A$2:$A$6,Bands!$B$2:$B$6)</f>
        <v>Needs Improvement</v>
      </c>
      <c r="V1461" s="8" t="n">
        <f aca="false">IF(Q1461="","",ROUND((Q1461-B1461)*24,1))</f>
        <v>0</v>
      </c>
    </row>
    <row r="1462" customFormat="false" ht="15" hidden="false" customHeight="false" outlineLevel="0" collapsed="false">
      <c r="A1462" s="3" t="s">
        <v>3058</v>
      </c>
      <c r="B1462" s="5" t="n">
        <v>46282.3958333333</v>
      </c>
      <c r="C1462" s="3" t="s">
        <v>68</v>
      </c>
      <c r="D1462" s="3" t="s">
        <v>90</v>
      </c>
      <c r="E1462" s="3" t="s">
        <v>91</v>
      </c>
      <c r="F1462" s="3" t="s">
        <v>65</v>
      </c>
      <c r="G1462" s="3" t="s">
        <v>34</v>
      </c>
      <c r="H1462" s="3" t="s">
        <v>3059</v>
      </c>
      <c r="I1462" s="3" t="n">
        <v>3</v>
      </c>
      <c r="J1462" s="3" t="n">
        <v>5</v>
      </c>
      <c r="K1462" s="3" t="n">
        <v>4</v>
      </c>
      <c r="L1462" s="3" t="n">
        <v>4</v>
      </c>
      <c r="M1462" s="3" t="n">
        <v>4</v>
      </c>
      <c r="N1462" s="3" t="n">
        <v>4</v>
      </c>
      <c r="O1462" s="6" t="b">
        <f aca="false">FALSE()</f>
        <v>0</v>
      </c>
      <c r="P1462" s="3"/>
      <c r="Q1462" s="5" t="n">
        <v>46282.3979166667</v>
      </c>
      <c r="R1462" s="5" t="n">
        <v>46282.4173611111</v>
      </c>
      <c r="S1462" s="3" t="s">
        <v>1699</v>
      </c>
      <c r="T1462" s="7" t="n">
        <f aca="false">ROUND(MIN(IF(OR(O1462=TRUE(),O1462="TRUE",O1462="Yes"),59,100),(I1462*Rubric!$C$2+J1462*Rubric!$C$3+K1462*Rubric!$C$4+L1462*Rubric!$C$5+M1462*Rubric!$C$6+N1462*Rubric!$C$7)/5),1)</f>
        <v>82</v>
      </c>
      <c r="U1462" s="8" t="str">
        <f aca="false">LOOKUP(T1462,Bands!$A$2:$A$6,Bands!$B$2:$B$6)</f>
        <v>Solid Performance</v>
      </c>
      <c r="V1462" s="8" t="n">
        <f aca="false">IF(Q1462="","",ROUND((Q1462-B1462)*24,1))</f>
        <v>0.1</v>
      </c>
    </row>
    <row r="1463" customFormat="false" ht="15" hidden="false" customHeight="false" outlineLevel="0" collapsed="false">
      <c r="A1463" s="3" t="s">
        <v>3060</v>
      </c>
      <c r="B1463" s="5" t="n">
        <v>46282.49375</v>
      </c>
      <c r="C1463" s="3" t="s">
        <v>68</v>
      </c>
      <c r="D1463" s="3" t="s">
        <v>194</v>
      </c>
      <c r="E1463" s="3" t="s">
        <v>195</v>
      </c>
      <c r="F1463" s="3" t="s">
        <v>53</v>
      </c>
      <c r="G1463" s="3" t="s">
        <v>54</v>
      </c>
      <c r="H1463" s="3" t="s">
        <v>3061</v>
      </c>
      <c r="I1463" s="3" t="n">
        <v>5</v>
      </c>
      <c r="J1463" s="3" t="n">
        <v>5</v>
      </c>
      <c r="K1463" s="3" t="n">
        <v>5</v>
      </c>
      <c r="L1463" s="3" t="n">
        <v>4</v>
      </c>
      <c r="M1463" s="3" t="n">
        <v>5</v>
      </c>
      <c r="N1463" s="3" t="n">
        <v>4</v>
      </c>
      <c r="O1463" s="6" t="b">
        <f aca="false">FALSE()</f>
        <v>0</v>
      </c>
      <c r="P1463" s="3"/>
      <c r="Q1463" s="5" t="n">
        <v>46282.4958333333</v>
      </c>
      <c r="R1463" s="5" t="n">
        <v>46282.6229166667</v>
      </c>
      <c r="S1463" s="3" t="s">
        <v>1699</v>
      </c>
      <c r="T1463" s="7" t="n">
        <f aca="false">ROUND(MIN(IF(OR(O1463=TRUE(),O1463="TRUE",O1463="Yes"),59,100),(I1463*Rubric!$C$2+J1463*Rubric!$C$3+K1463*Rubric!$C$4+L1463*Rubric!$C$5+M1463*Rubric!$C$6+N1463*Rubric!$C$7)/5),1)</f>
        <v>94</v>
      </c>
      <c r="U1463" s="8" t="str">
        <f aca="false">LOOKUP(T1463,Bands!$A$2:$A$6,Bands!$B$2:$B$6)</f>
        <v>Outstanding</v>
      </c>
      <c r="V1463" s="8" t="n">
        <f aca="false">IF(Q1463="","",ROUND((Q1463-B1463)*24,1))</f>
        <v>0</v>
      </c>
    </row>
    <row r="1464" customFormat="false" ht="15" hidden="false" customHeight="false" outlineLevel="0" collapsed="false">
      <c r="A1464" s="3" t="s">
        <v>3062</v>
      </c>
      <c r="B1464" s="5" t="n">
        <v>46282.3868055556</v>
      </c>
      <c r="C1464" s="3" t="s">
        <v>68</v>
      </c>
      <c r="D1464" s="3" t="s">
        <v>238</v>
      </c>
      <c r="E1464" s="3" t="s">
        <v>239</v>
      </c>
      <c r="F1464" s="3" t="s">
        <v>33</v>
      </c>
      <c r="G1464" s="3" t="s">
        <v>42</v>
      </c>
      <c r="H1464" s="3" t="s">
        <v>3063</v>
      </c>
      <c r="I1464" s="3" t="n">
        <v>5</v>
      </c>
      <c r="J1464" s="3" t="n">
        <v>5</v>
      </c>
      <c r="K1464" s="3" t="n">
        <v>4</v>
      </c>
      <c r="L1464" s="3" t="n">
        <v>5</v>
      </c>
      <c r="M1464" s="3" t="n">
        <v>3</v>
      </c>
      <c r="N1464" s="3" t="n">
        <v>4</v>
      </c>
      <c r="O1464" s="6" t="b">
        <f aca="false">FALSE()</f>
        <v>0</v>
      </c>
      <c r="P1464" s="3"/>
      <c r="Q1464" s="5" t="n">
        <v>46282.3888888889</v>
      </c>
      <c r="R1464" s="5" t="n">
        <v>46282.8604166667</v>
      </c>
      <c r="S1464" s="3" t="s">
        <v>1699</v>
      </c>
      <c r="T1464" s="7" t="n">
        <f aca="false">ROUND(MIN(IF(OR(O1464=TRUE(),O1464="TRUE",O1464="Yes"),59,100),(I1464*Rubric!$C$2+J1464*Rubric!$C$3+K1464*Rubric!$C$4+L1464*Rubric!$C$5+M1464*Rubric!$C$6+N1464*Rubric!$C$7)/5),1)</f>
        <v>89</v>
      </c>
      <c r="U1464" s="8" t="str">
        <f aca="false">LOOKUP(T1464,Bands!$A$2:$A$6,Bands!$B$2:$B$6)</f>
        <v>Solid Performance</v>
      </c>
      <c r="V1464" s="8" t="n">
        <f aca="false">IF(Q1464="","",ROUND((Q1464-B1464)*24,1))</f>
        <v>0</v>
      </c>
    </row>
    <row r="1465" customFormat="false" ht="15" hidden="false" customHeight="false" outlineLevel="0" collapsed="false">
      <c r="A1465" s="3" t="s">
        <v>3064</v>
      </c>
      <c r="B1465" s="5" t="n">
        <v>46282.6479166667</v>
      </c>
      <c r="C1465" s="3" t="s">
        <v>30</v>
      </c>
      <c r="D1465" s="3" t="s">
        <v>167</v>
      </c>
      <c r="E1465" s="3" t="s">
        <v>168</v>
      </c>
      <c r="F1465" s="3" t="s">
        <v>33</v>
      </c>
      <c r="G1465" s="3" t="s">
        <v>42</v>
      </c>
      <c r="H1465" s="3" t="s">
        <v>3065</v>
      </c>
      <c r="I1465" s="3" t="n">
        <v>4</v>
      </c>
      <c r="J1465" s="3" t="n">
        <v>4</v>
      </c>
      <c r="K1465" s="3" t="n">
        <v>3</v>
      </c>
      <c r="L1465" s="3" t="n">
        <v>4</v>
      </c>
      <c r="M1465" s="3" t="n">
        <v>3</v>
      </c>
      <c r="N1465" s="3" t="n">
        <v>3</v>
      </c>
      <c r="O1465" s="6" t="b">
        <f aca="false">FALSE()</f>
        <v>0</v>
      </c>
      <c r="P1465" s="3"/>
      <c r="Q1465" s="5" t="n">
        <v>46282.6493055556</v>
      </c>
      <c r="R1465" s="5" t="n">
        <v>46282.7597222222</v>
      </c>
      <c r="S1465" s="3" t="s">
        <v>1699</v>
      </c>
      <c r="T1465" s="7" t="n">
        <f aca="false">ROUND(MIN(IF(OR(O1465=TRUE(),O1465="TRUE",O1465="Yes"),59,100),(I1465*Rubric!$C$2+J1465*Rubric!$C$3+K1465*Rubric!$C$4+L1465*Rubric!$C$5+M1465*Rubric!$C$6+N1465*Rubric!$C$7)/5),1)</f>
        <v>71</v>
      </c>
      <c r="U1465" s="8" t="str">
        <f aca="false">LOOKUP(T1465,Bands!$A$2:$A$6,Bands!$B$2:$B$6)</f>
        <v>Meets Expectations</v>
      </c>
      <c r="V1465" s="8" t="n">
        <f aca="false">IF(Q1465="","",ROUND((Q1465-B1465)*24,1))</f>
        <v>0</v>
      </c>
    </row>
    <row r="1466" customFormat="false" ht="15" hidden="false" customHeight="false" outlineLevel="0" collapsed="false">
      <c r="A1466" s="3" t="s">
        <v>3066</v>
      </c>
      <c r="B1466" s="5" t="n">
        <v>46283.6631944445</v>
      </c>
      <c r="C1466" s="3" t="s">
        <v>68</v>
      </c>
      <c r="D1466" s="3" t="s">
        <v>40</v>
      </c>
      <c r="E1466" s="3" t="s">
        <v>41</v>
      </c>
      <c r="F1466" s="3" t="s">
        <v>33</v>
      </c>
      <c r="G1466" s="3" t="s">
        <v>54</v>
      </c>
      <c r="H1466" s="3" t="s">
        <v>3067</v>
      </c>
      <c r="I1466" s="3" t="n">
        <v>4</v>
      </c>
      <c r="J1466" s="3" t="n">
        <v>5</v>
      </c>
      <c r="K1466" s="3" t="n">
        <v>4</v>
      </c>
      <c r="L1466" s="3" t="n">
        <v>4</v>
      </c>
      <c r="M1466" s="3" t="n">
        <v>4</v>
      </c>
      <c r="N1466" s="3" t="n">
        <v>4</v>
      </c>
      <c r="O1466" s="6" t="b">
        <f aca="false">FALSE()</f>
        <v>0</v>
      </c>
      <c r="P1466" s="3"/>
      <c r="Q1466" s="5" t="n">
        <v>46283.6645833333</v>
      </c>
      <c r="R1466" s="5" t="n">
        <v>46283.74375</v>
      </c>
      <c r="S1466" s="3" t="s">
        <v>1699</v>
      </c>
      <c r="T1466" s="7" t="n">
        <f aca="false">ROUND(MIN(IF(OR(O1466=TRUE(),O1466="TRUE",O1466="Yes"),59,100),(I1466*Rubric!$C$2+J1466*Rubric!$C$3+K1466*Rubric!$C$4+L1466*Rubric!$C$5+M1466*Rubric!$C$6+N1466*Rubric!$C$7)/5),1)</f>
        <v>85</v>
      </c>
      <c r="U1466" s="8" t="str">
        <f aca="false">LOOKUP(T1466,Bands!$A$2:$A$6,Bands!$B$2:$B$6)</f>
        <v>Solid Performance</v>
      </c>
      <c r="V1466" s="8" t="n">
        <f aca="false">IF(Q1466="","",ROUND((Q1466-B1466)*24,1))</f>
        <v>0</v>
      </c>
    </row>
    <row r="1467" customFormat="false" ht="15" hidden="false" customHeight="false" outlineLevel="0" collapsed="false">
      <c r="A1467" s="3" t="s">
        <v>3068</v>
      </c>
      <c r="B1467" s="5" t="n">
        <v>46283.4298611111</v>
      </c>
      <c r="C1467" s="3" t="s">
        <v>30</v>
      </c>
      <c r="D1467" s="3" t="s">
        <v>161</v>
      </c>
      <c r="E1467" s="3" t="s">
        <v>162</v>
      </c>
      <c r="F1467" s="3" t="s">
        <v>33</v>
      </c>
      <c r="G1467" s="3" t="s">
        <v>54</v>
      </c>
      <c r="H1467" s="3" t="s">
        <v>3069</v>
      </c>
      <c r="I1467" s="3" t="n">
        <v>5</v>
      </c>
      <c r="J1467" s="3" t="n">
        <v>5</v>
      </c>
      <c r="K1467" s="3" t="n">
        <v>3</v>
      </c>
      <c r="L1467" s="3" t="n">
        <v>4</v>
      </c>
      <c r="M1467" s="3" t="n">
        <v>3</v>
      </c>
      <c r="N1467" s="3" t="n">
        <v>4</v>
      </c>
      <c r="O1467" s="6" t="b">
        <f aca="false">FALSE()</f>
        <v>0</v>
      </c>
      <c r="P1467" s="3"/>
      <c r="Q1467" s="5" t="n">
        <v>46283.43125</v>
      </c>
      <c r="R1467" s="5" t="n">
        <v>46283.4840277778</v>
      </c>
      <c r="S1467" s="3" t="s">
        <v>1699</v>
      </c>
      <c r="T1467" s="7" t="n">
        <f aca="false">ROUND(MIN(IF(OR(O1467=TRUE(),O1467="TRUE",O1467="Yes"),59,100),(I1467*Rubric!$C$2+J1467*Rubric!$C$3+K1467*Rubric!$C$4+L1467*Rubric!$C$5+M1467*Rubric!$C$6+N1467*Rubric!$C$7)/5),1)</f>
        <v>82</v>
      </c>
      <c r="U1467" s="8" t="str">
        <f aca="false">LOOKUP(T1467,Bands!$A$2:$A$6,Bands!$B$2:$B$6)</f>
        <v>Solid Performance</v>
      </c>
      <c r="V1467" s="8" t="n">
        <f aca="false">IF(Q1467="","",ROUND((Q1467-B1467)*24,1))</f>
        <v>0</v>
      </c>
    </row>
    <row r="1468" customFormat="false" ht="15" hidden="false" customHeight="false" outlineLevel="0" collapsed="false">
      <c r="A1468" s="3" t="s">
        <v>3070</v>
      </c>
      <c r="B1468" s="5" t="n">
        <v>46283.4777777778</v>
      </c>
      <c r="C1468" s="3" t="s">
        <v>68</v>
      </c>
      <c r="D1468" s="3" t="s">
        <v>238</v>
      </c>
      <c r="E1468" s="3" t="s">
        <v>239</v>
      </c>
      <c r="F1468" s="3" t="s">
        <v>33</v>
      </c>
      <c r="G1468" s="3" t="s">
        <v>54</v>
      </c>
      <c r="H1468" s="3" t="s">
        <v>3071</v>
      </c>
      <c r="I1468" s="3" t="n">
        <v>5</v>
      </c>
      <c r="J1468" s="3" t="n">
        <v>4</v>
      </c>
      <c r="K1468" s="3" t="n">
        <v>5</v>
      </c>
      <c r="L1468" s="3" t="n">
        <v>3</v>
      </c>
      <c r="M1468" s="3" t="n">
        <v>4</v>
      </c>
      <c r="N1468" s="3" t="n">
        <v>4</v>
      </c>
      <c r="O1468" s="6" t="b">
        <f aca="false">FALSE()</f>
        <v>0</v>
      </c>
      <c r="P1468" s="3"/>
      <c r="Q1468" s="5" t="n">
        <v>46283.4784722222</v>
      </c>
      <c r="R1468" s="5" t="n">
        <v>46284.0319444445</v>
      </c>
      <c r="S1468" s="3" t="s">
        <v>1699</v>
      </c>
      <c r="T1468" s="7" t="n">
        <f aca="false">ROUND(MIN(IF(OR(O1468=TRUE(),O1468="TRUE",O1468="Yes"),59,100),(I1468*Rubric!$C$2+J1468*Rubric!$C$3+K1468*Rubric!$C$4+L1468*Rubric!$C$5+M1468*Rubric!$C$6+N1468*Rubric!$C$7)/5),1)</f>
        <v>84</v>
      </c>
      <c r="U1468" s="8" t="str">
        <f aca="false">LOOKUP(T1468,Bands!$A$2:$A$6,Bands!$B$2:$B$6)</f>
        <v>Solid Performance</v>
      </c>
      <c r="V1468" s="8" t="n">
        <f aca="false">IF(Q1468="","",ROUND((Q1468-B1468)*24,1))</f>
        <v>0</v>
      </c>
    </row>
    <row r="1469" customFormat="false" ht="15" hidden="false" customHeight="false" outlineLevel="0" collapsed="false">
      <c r="A1469" s="3" t="s">
        <v>3072</v>
      </c>
      <c r="B1469" s="5" t="n">
        <v>46283.3840277778</v>
      </c>
      <c r="C1469" s="3" t="s">
        <v>68</v>
      </c>
      <c r="D1469" s="3" t="s">
        <v>115</v>
      </c>
      <c r="E1469" s="3" t="s">
        <v>116</v>
      </c>
      <c r="F1469" s="3" t="s">
        <v>33</v>
      </c>
      <c r="G1469" s="3" t="s">
        <v>54</v>
      </c>
      <c r="H1469" s="3" t="s">
        <v>3073</v>
      </c>
      <c r="I1469" s="3" t="n">
        <v>4</v>
      </c>
      <c r="J1469" s="3" t="n">
        <v>4</v>
      </c>
      <c r="K1469" s="3" t="n">
        <v>5</v>
      </c>
      <c r="L1469" s="3" t="n">
        <v>5</v>
      </c>
      <c r="M1469" s="3" t="n">
        <v>3</v>
      </c>
      <c r="N1469" s="3" t="n">
        <v>4</v>
      </c>
      <c r="O1469" s="6" t="b">
        <f aca="false">FALSE()</f>
        <v>0</v>
      </c>
      <c r="P1469" s="3"/>
      <c r="Q1469" s="5" t="n">
        <v>46283.3847222222</v>
      </c>
      <c r="R1469" s="5" t="n">
        <v>46283.4333333333</v>
      </c>
      <c r="S1469" s="3" t="s">
        <v>1699</v>
      </c>
      <c r="T1469" s="7" t="n">
        <f aca="false">ROUND(MIN(IF(OR(O1469=TRUE(),O1469="TRUE",O1469="Yes"),59,100),(I1469*Rubric!$C$2+J1469*Rubric!$C$3+K1469*Rubric!$C$4+L1469*Rubric!$C$5+M1469*Rubric!$C$6+N1469*Rubric!$C$7)/5),1)</f>
        <v>85</v>
      </c>
      <c r="U1469" s="8" t="str">
        <f aca="false">LOOKUP(T1469,Bands!$A$2:$A$6,Bands!$B$2:$B$6)</f>
        <v>Solid Performance</v>
      </c>
      <c r="V1469" s="8" t="n">
        <f aca="false">IF(Q1469="","",ROUND((Q1469-B1469)*24,1))</f>
        <v>0</v>
      </c>
    </row>
    <row r="1470" customFormat="false" ht="15" hidden="false" customHeight="false" outlineLevel="0" collapsed="false">
      <c r="A1470" s="3" t="s">
        <v>3074</v>
      </c>
      <c r="B1470" s="5" t="n">
        <v>46283.4923611111</v>
      </c>
      <c r="C1470" s="3" t="s">
        <v>39</v>
      </c>
      <c r="D1470" s="3" t="s">
        <v>228</v>
      </c>
      <c r="E1470" s="3" t="s">
        <v>229</v>
      </c>
      <c r="F1470" s="3" t="s">
        <v>65</v>
      </c>
      <c r="G1470" s="3" t="s">
        <v>54</v>
      </c>
      <c r="H1470" s="3" t="s">
        <v>3075</v>
      </c>
      <c r="I1470" s="3" t="n">
        <v>3</v>
      </c>
      <c r="J1470" s="3" t="n">
        <v>4</v>
      </c>
      <c r="K1470" s="3" t="n">
        <v>3</v>
      </c>
      <c r="L1470" s="3" t="n">
        <v>4</v>
      </c>
      <c r="M1470" s="3" t="n">
        <v>3</v>
      </c>
      <c r="N1470" s="3" t="n">
        <v>4</v>
      </c>
      <c r="O1470" s="6" t="b">
        <f aca="false">FALSE()</f>
        <v>0</v>
      </c>
      <c r="P1470" s="3"/>
      <c r="Q1470" s="5" t="n">
        <v>46283.49375</v>
      </c>
      <c r="R1470" s="5" t="n">
        <v>46284.6444444444</v>
      </c>
      <c r="S1470" s="3" t="s">
        <v>1699</v>
      </c>
      <c r="T1470" s="7" t="n">
        <f aca="false">ROUND(MIN(IF(OR(O1470=TRUE(),O1470="TRUE",O1470="Yes"),59,100),(I1470*Rubric!$C$2+J1470*Rubric!$C$3+K1470*Rubric!$C$4+L1470*Rubric!$C$5+M1470*Rubric!$C$6+N1470*Rubric!$C$7)/5),1)</f>
        <v>71</v>
      </c>
      <c r="U1470" s="8" t="str">
        <f aca="false">LOOKUP(T1470,Bands!$A$2:$A$6,Bands!$B$2:$B$6)</f>
        <v>Meets Expectations</v>
      </c>
      <c r="V1470" s="8" t="n">
        <f aca="false">IF(Q1470="","",ROUND((Q1470-B1470)*24,1))</f>
        <v>0</v>
      </c>
    </row>
    <row r="1471" customFormat="false" ht="15" hidden="false" customHeight="false" outlineLevel="0" collapsed="false">
      <c r="A1471" s="3" t="s">
        <v>3076</v>
      </c>
      <c r="B1471" s="5" t="n">
        <v>46283.6118055556</v>
      </c>
      <c r="C1471" s="3" t="s">
        <v>39</v>
      </c>
      <c r="D1471" s="3" t="s">
        <v>167</v>
      </c>
      <c r="E1471" s="3" t="s">
        <v>168</v>
      </c>
      <c r="F1471" s="3" t="s">
        <v>33</v>
      </c>
      <c r="G1471" s="3" t="s">
        <v>54</v>
      </c>
      <c r="H1471" s="3" t="s">
        <v>3077</v>
      </c>
      <c r="I1471" s="3" t="n">
        <v>4</v>
      </c>
      <c r="J1471" s="3" t="n">
        <v>4</v>
      </c>
      <c r="K1471" s="3" t="n">
        <v>4</v>
      </c>
      <c r="L1471" s="3" t="n">
        <v>4</v>
      </c>
      <c r="M1471" s="3" t="n">
        <v>3</v>
      </c>
      <c r="N1471" s="3" t="n">
        <v>3</v>
      </c>
      <c r="O1471" s="6" t="b">
        <f aca="false">FALSE()</f>
        <v>0</v>
      </c>
      <c r="P1471" s="3"/>
      <c r="Q1471" s="5" t="n">
        <v>46283.6125</v>
      </c>
      <c r="R1471" s="5" t="n">
        <v>46283.6680555556</v>
      </c>
      <c r="S1471" s="3" t="s">
        <v>1699</v>
      </c>
      <c r="T1471" s="7" t="n">
        <f aca="false">ROUND(MIN(IF(OR(O1471=TRUE(),O1471="TRUE",O1471="Yes"),59,100),(I1471*Rubric!$C$2+J1471*Rubric!$C$3+K1471*Rubric!$C$4+L1471*Rubric!$C$5+M1471*Rubric!$C$6+N1471*Rubric!$C$7)/5),1)</f>
        <v>75</v>
      </c>
      <c r="U1471" s="8" t="str">
        <f aca="false">LOOKUP(T1471,Bands!$A$2:$A$6,Bands!$B$2:$B$6)</f>
        <v>Meets Expectations</v>
      </c>
      <c r="V1471" s="8" t="n">
        <f aca="false">IF(Q1471="","",ROUND((Q1471-B1471)*24,1))</f>
        <v>0</v>
      </c>
    </row>
    <row r="1472" customFormat="false" ht="15" hidden="false" customHeight="false" outlineLevel="0" collapsed="false">
      <c r="A1472" s="3" t="s">
        <v>3078</v>
      </c>
      <c r="B1472" s="5" t="n">
        <v>46283.4618055556</v>
      </c>
      <c r="C1472" s="3" t="s">
        <v>30</v>
      </c>
      <c r="D1472" s="3" t="s">
        <v>69</v>
      </c>
      <c r="E1472" s="3" t="s">
        <v>70</v>
      </c>
      <c r="F1472" s="3" t="s">
        <v>65</v>
      </c>
      <c r="G1472" s="3" t="s">
        <v>34</v>
      </c>
      <c r="H1472" s="3" t="s">
        <v>3079</v>
      </c>
      <c r="I1472" s="3" t="n">
        <v>5</v>
      </c>
      <c r="J1472" s="3" t="n">
        <v>5</v>
      </c>
      <c r="K1472" s="3" t="n">
        <v>5</v>
      </c>
      <c r="L1472" s="3" t="n">
        <v>4</v>
      </c>
      <c r="M1472" s="3" t="n">
        <v>4</v>
      </c>
      <c r="N1472" s="3" t="n">
        <v>4</v>
      </c>
      <c r="O1472" s="6" t="b">
        <f aca="false">FALSE()</f>
        <v>0</v>
      </c>
      <c r="P1472" s="3"/>
      <c r="Q1472" s="5" t="n">
        <v>46283.4631944444</v>
      </c>
      <c r="R1472" s="5" t="n">
        <v>46283.5833333333</v>
      </c>
      <c r="S1472" s="3" t="s">
        <v>1699</v>
      </c>
      <c r="T1472" s="7" t="n">
        <f aca="false">ROUND(MIN(IF(OR(O1472=TRUE(),O1472="TRUE",O1472="Yes"),59,100),(I1472*Rubric!$C$2+J1472*Rubric!$C$3+K1472*Rubric!$C$4+L1472*Rubric!$C$5+M1472*Rubric!$C$6+N1472*Rubric!$C$7)/5),1)</f>
        <v>92</v>
      </c>
      <c r="U1472" s="8" t="str">
        <f aca="false">LOOKUP(T1472,Bands!$A$2:$A$6,Bands!$B$2:$B$6)</f>
        <v>Outstanding</v>
      </c>
      <c r="V1472" s="8" t="n">
        <f aca="false">IF(Q1472="","",ROUND((Q1472-B1472)*24,1))</f>
        <v>0</v>
      </c>
    </row>
    <row r="1473" customFormat="false" ht="15" hidden="false" customHeight="false" outlineLevel="0" collapsed="false">
      <c r="A1473" s="3" t="s">
        <v>3080</v>
      </c>
      <c r="B1473" s="5" t="n">
        <v>46283.6444444444</v>
      </c>
      <c r="C1473" s="3" t="s">
        <v>39</v>
      </c>
      <c r="D1473" s="3" t="s">
        <v>63</v>
      </c>
      <c r="E1473" s="3" t="s">
        <v>64</v>
      </c>
      <c r="F1473" s="3" t="s">
        <v>65</v>
      </c>
      <c r="G1473" s="3" t="s">
        <v>34</v>
      </c>
      <c r="H1473" s="3" t="s">
        <v>3081</v>
      </c>
      <c r="I1473" s="3" t="n">
        <v>4</v>
      </c>
      <c r="J1473" s="3" t="n">
        <v>3</v>
      </c>
      <c r="K1473" s="3" t="n">
        <v>3</v>
      </c>
      <c r="L1473" s="3" t="n">
        <v>4</v>
      </c>
      <c r="M1473" s="3" t="n">
        <v>3</v>
      </c>
      <c r="N1473" s="3" t="n">
        <v>4</v>
      </c>
      <c r="O1473" s="6" t="b">
        <f aca="false">FALSE()</f>
        <v>0</v>
      </c>
      <c r="P1473" s="3"/>
      <c r="Q1473" s="5" t="n">
        <v>46283.6458333333</v>
      </c>
      <c r="R1473" s="5" t="n">
        <v>46283.6631944445</v>
      </c>
      <c r="S1473" s="3" t="s">
        <v>1699</v>
      </c>
      <c r="T1473" s="7" t="n">
        <f aca="false">ROUND(MIN(IF(OR(O1473=TRUE(),O1473="TRUE",O1473="Yes"),59,100),(I1473*Rubric!$C$2+J1473*Rubric!$C$3+K1473*Rubric!$C$4+L1473*Rubric!$C$5+M1473*Rubric!$C$6+N1473*Rubric!$C$7)/5),1)</f>
        <v>69</v>
      </c>
      <c r="U1473" s="8" t="str">
        <f aca="false">LOOKUP(T1473,Bands!$A$2:$A$6,Bands!$B$2:$B$6)</f>
        <v>Needs Improvement</v>
      </c>
      <c r="V1473" s="8" t="n">
        <f aca="false">IF(Q1473="","",ROUND((Q1473-B1473)*24,1))</f>
        <v>0</v>
      </c>
    </row>
    <row r="1474" customFormat="false" ht="15" hidden="false" customHeight="false" outlineLevel="0" collapsed="false">
      <c r="A1474" s="3" t="s">
        <v>3082</v>
      </c>
      <c r="B1474" s="5" t="n">
        <v>46283.6666666667</v>
      </c>
      <c r="C1474" s="3" t="s">
        <v>39</v>
      </c>
      <c r="D1474" s="3" t="s">
        <v>111</v>
      </c>
      <c r="E1474" s="3" t="s">
        <v>112</v>
      </c>
      <c r="F1474" s="3" t="s">
        <v>33</v>
      </c>
      <c r="G1474" s="3" t="s">
        <v>54</v>
      </c>
      <c r="H1474" s="3" t="s">
        <v>3083</v>
      </c>
      <c r="I1474" s="3" t="n">
        <v>3</v>
      </c>
      <c r="J1474" s="3" t="n">
        <v>4</v>
      </c>
      <c r="K1474" s="3" t="n">
        <v>4</v>
      </c>
      <c r="L1474" s="3" t="n">
        <v>4</v>
      </c>
      <c r="M1474" s="3" t="n">
        <v>4</v>
      </c>
      <c r="N1474" s="3" t="n">
        <v>5</v>
      </c>
      <c r="O1474" s="6" t="b">
        <f aca="false">FALSE()</f>
        <v>0</v>
      </c>
      <c r="P1474" s="3"/>
      <c r="Q1474" s="5" t="n">
        <v>46283.6680555556</v>
      </c>
      <c r="R1474" s="5" t="n">
        <v>46283.6958333333</v>
      </c>
      <c r="S1474" s="3" t="s">
        <v>1699</v>
      </c>
      <c r="T1474" s="7" t="n">
        <f aca="false">ROUND(MIN(IF(OR(O1474=TRUE(),O1474="TRUE",O1474="Yes"),59,100),(I1474*Rubric!$C$2+J1474*Rubric!$C$3+K1474*Rubric!$C$4+L1474*Rubric!$C$5+M1474*Rubric!$C$6+N1474*Rubric!$C$7)/5),1)</f>
        <v>80</v>
      </c>
      <c r="U1474" s="8" t="str">
        <f aca="false">LOOKUP(T1474,Bands!$A$2:$A$6,Bands!$B$2:$B$6)</f>
        <v>Solid Performance</v>
      </c>
      <c r="V1474" s="8" t="n">
        <f aca="false">IF(Q1474="","",ROUND((Q1474-B1474)*24,1))</f>
        <v>0</v>
      </c>
    </row>
    <row r="1475" customFormat="false" ht="15" hidden="false" customHeight="false" outlineLevel="0" collapsed="false">
      <c r="A1475" s="3" t="s">
        <v>3084</v>
      </c>
      <c r="B1475" s="5" t="n">
        <v>46283.5388888889</v>
      </c>
      <c r="C1475" s="3" t="s">
        <v>30</v>
      </c>
      <c r="D1475" s="3" t="s">
        <v>259</v>
      </c>
      <c r="E1475" s="3" t="s">
        <v>260</v>
      </c>
      <c r="F1475" s="3" t="s">
        <v>33</v>
      </c>
      <c r="G1475" s="3" t="s">
        <v>34</v>
      </c>
      <c r="H1475" s="3" t="s">
        <v>3085</v>
      </c>
      <c r="I1475" s="3" t="n">
        <v>5</v>
      </c>
      <c r="J1475" s="3" t="n">
        <v>5</v>
      </c>
      <c r="K1475" s="3" t="n">
        <v>3</v>
      </c>
      <c r="L1475" s="3" t="n">
        <v>5</v>
      </c>
      <c r="M1475" s="3" t="n">
        <v>5</v>
      </c>
      <c r="N1475" s="3" t="n">
        <v>5</v>
      </c>
      <c r="O1475" s="6" t="b">
        <f aca="false">FALSE()</f>
        <v>0</v>
      </c>
      <c r="P1475" s="3"/>
      <c r="Q1475" s="5" t="n">
        <v>46283.5395833333</v>
      </c>
      <c r="R1475" s="5" t="n">
        <v>46283.6958333333</v>
      </c>
      <c r="S1475" s="3" t="s">
        <v>1699</v>
      </c>
      <c r="T1475" s="7" t="n">
        <f aca="false">ROUND(MIN(IF(OR(O1475=TRUE(),O1475="TRUE",O1475="Yes"),59,100),(I1475*Rubric!$C$2+J1475*Rubric!$C$3+K1475*Rubric!$C$4+L1475*Rubric!$C$5+M1475*Rubric!$C$6+N1475*Rubric!$C$7)/5),1)</f>
        <v>92</v>
      </c>
      <c r="U1475" s="8" t="str">
        <f aca="false">LOOKUP(T1475,Bands!$A$2:$A$6,Bands!$B$2:$B$6)</f>
        <v>Outstanding</v>
      </c>
      <c r="V1475" s="8" t="n">
        <f aca="false">IF(Q1475="","",ROUND((Q1475-B1475)*24,1))</f>
        <v>0</v>
      </c>
    </row>
    <row r="1476" customFormat="false" ht="15" hidden="false" customHeight="false" outlineLevel="0" collapsed="false">
      <c r="A1476" s="3" t="s">
        <v>3086</v>
      </c>
      <c r="B1476" s="5" t="n">
        <v>46283.7006944444</v>
      </c>
      <c r="C1476" s="3" t="s">
        <v>39</v>
      </c>
      <c r="D1476" s="3" t="s">
        <v>133</v>
      </c>
      <c r="E1476" s="3" t="s">
        <v>134</v>
      </c>
      <c r="F1476" s="3" t="s">
        <v>33</v>
      </c>
      <c r="G1476" s="3" t="s">
        <v>42</v>
      </c>
      <c r="H1476" s="3" t="s">
        <v>3087</v>
      </c>
      <c r="I1476" s="3" t="n">
        <v>5</v>
      </c>
      <c r="J1476" s="3" t="n">
        <v>2</v>
      </c>
      <c r="K1476" s="3" t="n">
        <v>5</v>
      </c>
      <c r="L1476" s="3" t="n">
        <v>5</v>
      </c>
      <c r="M1476" s="3" t="n">
        <v>5</v>
      </c>
      <c r="N1476" s="3" t="n">
        <v>4</v>
      </c>
      <c r="O1476" s="6" t="b">
        <f aca="false">FALSE()</f>
        <v>0</v>
      </c>
      <c r="P1476" s="3" t="s">
        <v>56</v>
      </c>
      <c r="Q1476" s="5" t="n">
        <v>46283.7027777778</v>
      </c>
      <c r="R1476" s="5" t="n">
        <v>46283.9409722222</v>
      </c>
      <c r="S1476" s="3" t="s">
        <v>1699</v>
      </c>
      <c r="T1476" s="7" t="n">
        <f aca="false">ROUND(MIN(IF(OR(O1476=TRUE(),O1476="TRUE",O1476="Yes"),59,100),(I1476*Rubric!$C$2+J1476*Rubric!$C$3+K1476*Rubric!$C$4+L1476*Rubric!$C$5+M1476*Rubric!$C$6+N1476*Rubric!$C$7)/5),1)</f>
        <v>82</v>
      </c>
      <c r="U1476" s="8" t="str">
        <f aca="false">LOOKUP(T1476,Bands!$A$2:$A$6,Bands!$B$2:$B$6)</f>
        <v>Solid Performance</v>
      </c>
      <c r="V1476" s="8" t="n">
        <f aca="false">IF(Q1476="","",ROUND((Q1476-B1476)*24,1))</f>
        <v>0.1</v>
      </c>
    </row>
    <row r="1477" customFormat="false" ht="15" hidden="false" customHeight="false" outlineLevel="0" collapsed="false">
      <c r="A1477" s="3" t="s">
        <v>3088</v>
      </c>
      <c r="B1477" s="5" t="n">
        <v>46283.7020833333</v>
      </c>
      <c r="C1477" s="3" t="s">
        <v>39</v>
      </c>
      <c r="D1477" s="3" t="s">
        <v>119</v>
      </c>
      <c r="E1477" s="3" t="s">
        <v>120</v>
      </c>
      <c r="F1477" s="3" t="s">
        <v>33</v>
      </c>
      <c r="G1477" s="3" t="s">
        <v>54</v>
      </c>
      <c r="H1477" s="3" t="s">
        <v>3089</v>
      </c>
      <c r="I1477" s="3" t="n">
        <v>4</v>
      </c>
      <c r="J1477" s="3" t="n">
        <v>4</v>
      </c>
      <c r="K1477" s="3" t="n">
        <v>4</v>
      </c>
      <c r="L1477" s="3" t="n">
        <v>4</v>
      </c>
      <c r="M1477" s="3" t="n">
        <v>3</v>
      </c>
      <c r="N1477" s="3" t="n">
        <v>3</v>
      </c>
      <c r="O1477" s="6" t="b">
        <f aca="false">FALSE()</f>
        <v>0</v>
      </c>
      <c r="P1477" s="3"/>
      <c r="Q1477" s="5" t="n">
        <v>46283.7027777778</v>
      </c>
      <c r="R1477" s="5" t="n">
        <v>46284.3506944445</v>
      </c>
      <c r="S1477" s="3" t="s">
        <v>1699</v>
      </c>
      <c r="T1477" s="7" t="n">
        <f aca="false">ROUND(MIN(IF(OR(O1477=TRUE(),O1477="TRUE",O1477="Yes"),59,100),(I1477*Rubric!$C$2+J1477*Rubric!$C$3+K1477*Rubric!$C$4+L1477*Rubric!$C$5+M1477*Rubric!$C$6+N1477*Rubric!$C$7)/5),1)</f>
        <v>75</v>
      </c>
      <c r="U1477" s="8" t="str">
        <f aca="false">LOOKUP(T1477,Bands!$A$2:$A$6,Bands!$B$2:$B$6)</f>
        <v>Meets Expectations</v>
      </c>
      <c r="V1477" s="8" t="n">
        <f aca="false">IF(Q1477="","",ROUND((Q1477-B1477)*24,1))</f>
        <v>0</v>
      </c>
    </row>
    <row r="1478" customFormat="false" ht="15" hidden="false" customHeight="false" outlineLevel="0" collapsed="false">
      <c r="A1478" s="3" t="s">
        <v>3090</v>
      </c>
      <c r="B1478" s="5" t="n">
        <v>46286.4875</v>
      </c>
      <c r="C1478" s="3" t="s">
        <v>39</v>
      </c>
      <c r="D1478" s="3" t="s">
        <v>228</v>
      </c>
      <c r="E1478" s="3" t="s">
        <v>229</v>
      </c>
      <c r="F1478" s="3" t="s">
        <v>65</v>
      </c>
      <c r="G1478" s="3" t="s">
        <v>42</v>
      </c>
      <c r="H1478" s="3" t="s">
        <v>3091</v>
      </c>
      <c r="I1478" s="3" t="n">
        <v>4</v>
      </c>
      <c r="J1478" s="3" t="n">
        <v>4</v>
      </c>
      <c r="K1478" s="3" t="n">
        <v>2</v>
      </c>
      <c r="L1478" s="3" t="n">
        <v>3</v>
      </c>
      <c r="M1478" s="3" t="n">
        <v>5</v>
      </c>
      <c r="N1478" s="3" t="n">
        <v>3</v>
      </c>
      <c r="O1478" s="6" t="b">
        <f aca="false">FALSE()</f>
        <v>0</v>
      </c>
      <c r="P1478" s="3" t="s">
        <v>49</v>
      </c>
      <c r="Q1478" s="5" t="n">
        <v>46286.4881944444</v>
      </c>
      <c r="R1478" s="5" t="n">
        <v>46286.5326388889</v>
      </c>
      <c r="S1478" s="3" t="s">
        <v>1699</v>
      </c>
      <c r="T1478" s="7" t="n">
        <f aca="false">ROUND(MIN(IF(OR(O1478=TRUE(),O1478="TRUE",O1478="Yes"),59,100),(I1478*Rubric!$C$2+J1478*Rubric!$C$3+K1478*Rubric!$C$4+L1478*Rubric!$C$5+M1478*Rubric!$C$6+N1478*Rubric!$C$7)/5),1)</f>
        <v>68</v>
      </c>
      <c r="U1478" s="8" t="str">
        <f aca="false">LOOKUP(T1478,Bands!$A$2:$A$6,Bands!$B$2:$B$6)</f>
        <v>Needs Improvement</v>
      </c>
      <c r="V1478" s="8" t="n">
        <f aca="false">IF(Q1478="","",ROUND((Q1478-B1478)*24,1))</f>
        <v>0</v>
      </c>
    </row>
    <row r="1479" customFormat="false" ht="15" hidden="false" customHeight="false" outlineLevel="0" collapsed="false">
      <c r="A1479" s="3" t="s">
        <v>3092</v>
      </c>
      <c r="B1479" s="5" t="n">
        <v>46286.5444444444</v>
      </c>
      <c r="C1479" s="3" t="s">
        <v>39</v>
      </c>
      <c r="D1479" s="3" t="s">
        <v>100</v>
      </c>
      <c r="E1479" s="3" t="s">
        <v>101</v>
      </c>
      <c r="F1479" s="3" t="s">
        <v>33</v>
      </c>
      <c r="G1479" s="3" t="s">
        <v>54</v>
      </c>
      <c r="H1479" s="3" t="s">
        <v>3093</v>
      </c>
      <c r="I1479" s="3" t="n">
        <v>4</v>
      </c>
      <c r="J1479" s="3" t="n">
        <v>4</v>
      </c>
      <c r="K1479" s="3" t="n">
        <v>5</v>
      </c>
      <c r="L1479" s="3" t="n">
        <v>5</v>
      </c>
      <c r="M1479" s="3" t="n">
        <v>4</v>
      </c>
      <c r="N1479" s="3" t="n">
        <v>5</v>
      </c>
      <c r="O1479" s="6" t="b">
        <f aca="false">FALSE()</f>
        <v>0</v>
      </c>
      <c r="P1479" s="3"/>
      <c r="Q1479" s="5" t="n">
        <v>46286.5465277778</v>
      </c>
      <c r="R1479" s="5" t="n">
        <v>46286.9659722222</v>
      </c>
      <c r="S1479" s="3" t="s">
        <v>1699</v>
      </c>
      <c r="T1479" s="7" t="n">
        <f aca="false">ROUND(MIN(IF(OR(O1479=TRUE(),O1479="TRUE",O1479="Yes"),59,100),(I1479*Rubric!$C$2+J1479*Rubric!$C$3+K1479*Rubric!$C$4+L1479*Rubric!$C$5+M1479*Rubric!$C$6+N1479*Rubric!$C$7)/5),1)</f>
        <v>90</v>
      </c>
      <c r="U1479" s="8" t="str">
        <f aca="false">LOOKUP(T1479,Bands!$A$2:$A$6,Bands!$B$2:$B$6)</f>
        <v>Outstanding</v>
      </c>
      <c r="V1479" s="8" t="n">
        <f aca="false">IF(Q1479="","",ROUND((Q1479-B1479)*24,1))</f>
        <v>0.1</v>
      </c>
    </row>
    <row r="1480" customFormat="false" ht="15" hidden="false" customHeight="false" outlineLevel="0" collapsed="false">
      <c r="A1480" s="3" t="s">
        <v>3094</v>
      </c>
      <c r="B1480" s="5" t="n">
        <v>46286.6243055556</v>
      </c>
      <c r="C1480" s="3" t="s">
        <v>39</v>
      </c>
      <c r="D1480" s="3" t="s">
        <v>77</v>
      </c>
      <c r="E1480" s="3" t="s">
        <v>78</v>
      </c>
      <c r="F1480" s="3" t="s">
        <v>33</v>
      </c>
      <c r="G1480" s="3" t="s">
        <v>54</v>
      </c>
      <c r="H1480" s="3" t="s">
        <v>3095</v>
      </c>
      <c r="I1480" s="3" t="n">
        <v>5</v>
      </c>
      <c r="J1480" s="3" t="n">
        <v>5</v>
      </c>
      <c r="K1480" s="3" t="n">
        <v>4</v>
      </c>
      <c r="L1480" s="3" t="n">
        <v>4</v>
      </c>
      <c r="M1480" s="3" t="n">
        <v>5</v>
      </c>
      <c r="N1480" s="3" t="n">
        <v>5</v>
      </c>
      <c r="O1480" s="6" t="b">
        <f aca="false">FALSE()</f>
        <v>0</v>
      </c>
      <c r="P1480" s="3"/>
      <c r="Q1480" s="5" t="n">
        <v>46286.6256944445</v>
      </c>
      <c r="R1480" s="5" t="n">
        <v>46286.8736111111</v>
      </c>
      <c r="S1480" s="3" t="s">
        <v>1699</v>
      </c>
      <c r="T1480" s="7" t="n">
        <f aca="false">ROUND(MIN(IF(OR(O1480=TRUE(),O1480="TRUE",O1480="Yes"),59,100),(I1480*Rubric!$C$2+J1480*Rubric!$C$3+K1480*Rubric!$C$4+L1480*Rubric!$C$5+M1480*Rubric!$C$6+N1480*Rubric!$C$7)/5),1)</f>
        <v>93</v>
      </c>
      <c r="U1480" s="8" t="str">
        <f aca="false">LOOKUP(T1480,Bands!$A$2:$A$6,Bands!$B$2:$B$6)</f>
        <v>Outstanding</v>
      </c>
      <c r="V1480" s="8" t="n">
        <f aca="false">IF(Q1480="","",ROUND((Q1480-B1480)*24,1))</f>
        <v>0</v>
      </c>
    </row>
    <row r="1481" customFormat="false" ht="15" hidden="false" customHeight="false" outlineLevel="0" collapsed="false">
      <c r="A1481" s="3" t="s">
        <v>3096</v>
      </c>
      <c r="B1481" s="5" t="n">
        <v>46286.54375</v>
      </c>
      <c r="C1481" s="3" t="s">
        <v>39</v>
      </c>
      <c r="D1481" s="3" t="s">
        <v>81</v>
      </c>
      <c r="E1481" s="3" t="s">
        <v>82</v>
      </c>
      <c r="F1481" s="3" t="s">
        <v>65</v>
      </c>
      <c r="G1481" s="3" t="s">
        <v>42</v>
      </c>
      <c r="H1481" s="3" t="s">
        <v>3097</v>
      </c>
      <c r="I1481" s="3" t="n">
        <v>5</v>
      </c>
      <c r="J1481" s="3" t="n">
        <v>4</v>
      </c>
      <c r="K1481" s="3" t="n">
        <v>3</v>
      </c>
      <c r="L1481" s="3" t="n">
        <v>4</v>
      </c>
      <c r="M1481" s="3" t="n">
        <v>3</v>
      </c>
      <c r="N1481" s="3" t="n">
        <v>4</v>
      </c>
      <c r="O1481" s="6" t="b">
        <f aca="false">FALSE()</f>
        <v>0</v>
      </c>
      <c r="P1481" s="3"/>
      <c r="Q1481" s="5" t="n">
        <v>46286.5444444444</v>
      </c>
      <c r="R1481" s="5" t="n">
        <v>46286.8194444445</v>
      </c>
      <c r="S1481" s="3" t="s">
        <v>1699</v>
      </c>
      <c r="T1481" s="7" t="n">
        <f aca="false">ROUND(MIN(IF(OR(O1481=TRUE(),O1481="TRUE",O1481="Yes"),59,100),(I1481*Rubric!$C$2+J1481*Rubric!$C$3+K1481*Rubric!$C$4+L1481*Rubric!$C$5+M1481*Rubric!$C$6+N1481*Rubric!$C$7)/5),1)</f>
        <v>77</v>
      </c>
      <c r="U1481" s="8" t="str">
        <f aca="false">LOOKUP(T1481,Bands!$A$2:$A$6,Bands!$B$2:$B$6)</f>
        <v>Meets Expectations</v>
      </c>
      <c r="V1481" s="8" t="n">
        <f aca="false">IF(Q1481="","",ROUND((Q1481-B1481)*24,1))</f>
        <v>0</v>
      </c>
    </row>
    <row r="1482" customFormat="false" ht="15" hidden="false" customHeight="false" outlineLevel="0" collapsed="false">
      <c r="A1482" s="3" t="s">
        <v>3098</v>
      </c>
      <c r="B1482" s="5" t="n">
        <v>46286.4479166667</v>
      </c>
      <c r="C1482" s="3" t="s">
        <v>39</v>
      </c>
      <c r="D1482" s="3" t="s">
        <v>194</v>
      </c>
      <c r="E1482" s="3" t="s">
        <v>195</v>
      </c>
      <c r="F1482" s="3" t="s">
        <v>53</v>
      </c>
      <c r="G1482" s="3" t="s">
        <v>34</v>
      </c>
      <c r="H1482" s="3" t="s">
        <v>3099</v>
      </c>
      <c r="I1482" s="3" t="n">
        <v>5</v>
      </c>
      <c r="J1482" s="3" t="n">
        <v>5</v>
      </c>
      <c r="K1482" s="3" t="n">
        <v>4</v>
      </c>
      <c r="L1482" s="3" t="n">
        <v>5</v>
      </c>
      <c r="M1482" s="3" t="n">
        <v>4</v>
      </c>
      <c r="N1482" s="3" t="n">
        <v>4</v>
      </c>
      <c r="O1482" s="6" t="b">
        <f aca="false">FALSE()</f>
        <v>0</v>
      </c>
      <c r="P1482" s="3"/>
      <c r="Q1482" s="5" t="n">
        <v>46286.4486111111</v>
      </c>
      <c r="R1482" s="5" t="n">
        <v>46286.7680555556</v>
      </c>
      <c r="S1482" s="3" t="s">
        <v>1699</v>
      </c>
      <c r="T1482" s="7" t="n">
        <f aca="false">ROUND(MIN(IF(OR(O1482=TRUE(),O1482="TRUE",O1482="Yes"),59,100),(I1482*Rubric!$C$2+J1482*Rubric!$C$3+K1482*Rubric!$C$4+L1482*Rubric!$C$5+M1482*Rubric!$C$6+N1482*Rubric!$C$7)/5),1)</f>
        <v>91</v>
      </c>
      <c r="U1482" s="8" t="str">
        <f aca="false">LOOKUP(T1482,Bands!$A$2:$A$6,Bands!$B$2:$B$6)</f>
        <v>Outstanding</v>
      </c>
      <c r="V1482" s="8" t="n">
        <f aca="false">IF(Q1482="","",ROUND((Q1482-B1482)*24,1))</f>
        <v>0</v>
      </c>
    </row>
    <row r="1483" customFormat="false" ht="15" hidden="false" customHeight="false" outlineLevel="0" collapsed="false">
      <c r="A1483" s="3" t="s">
        <v>3100</v>
      </c>
      <c r="B1483" s="5" t="n">
        <v>46286.5868055556</v>
      </c>
      <c r="C1483" s="3" t="s">
        <v>68</v>
      </c>
      <c r="D1483" s="3" t="s">
        <v>58</v>
      </c>
      <c r="E1483" s="3" t="s">
        <v>59</v>
      </c>
      <c r="F1483" s="3" t="s">
        <v>53</v>
      </c>
      <c r="G1483" s="3" t="s">
        <v>54</v>
      </c>
      <c r="H1483" s="3" t="s">
        <v>3101</v>
      </c>
      <c r="I1483" s="3" t="n">
        <v>3</v>
      </c>
      <c r="J1483" s="3" t="n">
        <v>3</v>
      </c>
      <c r="K1483" s="3" t="n">
        <v>4</v>
      </c>
      <c r="L1483" s="3" t="n">
        <v>3</v>
      </c>
      <c r="M1483" s="3" t="n">
        <v>4</v>
      </c>
      <c r="N1483" s="3" t="n">
        <v>4</v>
      </c>
      <c r="O1483" s="6" t="b">
        <f aca="false">FALSE()</f>
        <v>0</v>
      </c>
      <c r="P1483" s="3"/>
      <c r="Q1483" s="5" t="n">
        <v>46286.5875</v>
      </c>
      <c r="R1483" s="5" t="n">
        <v>46286.6118055556</v>
      </c>
      <c r="S1483" s="3" t="s">
        <v>1699</v>
      </c>
      <c r="T1483" s="7" t="n">
        <f aca="false">ROUND(MIN(IF(OR(O1483=TRUE(),O1483="TRUE",O1483="Yes"),59,100),(I1483*Rubric!$C$2+J1483*Rubric!$C$3+K1483*Rubric!$C$4+L1483*Rubric!$C$5+M1483*Rubric!$C$6+N1483*Rubric!$C$7)/5),1)</f>
        <v>69</v>
      </c>
      <c r="U1483" s="8" t="str">
        <f aca="false">LOOKUP(T1483,Bands!$A$2:$A$6,Bands!$B$2:$B$6)</f>
        <v>Needs Improvement</v>
      </c>
      <c r="V1483" s="8" t="n">
        <f aca="false">IF(Q1483="","",ROUND((Q1483-B1483)*24,1))</f>
        <v>0</v>
      </c>
    </row>
    <row r="1484" customFormat="false" ht="15" hidden="false" customHeight="false" outlineLevel="0" collapsed="false">
      <c r="A1484" s="3" t="s">
        <v>3102</v>
      </c>
      <c r="B1484" s="5" t="n">
        <v>46286.5701388889</v>
      </c>
      <c r="C1484" s="3" t="s">
        <v>68</v>
      </c>
      <c r="D1484" s="3" t="s">
        <v>115</v>
      </c>
      <c r="E1484" s="3" t="s">
        <v>116</v>
      </c>
      <c r="F1484" s="3" t="s">
        <v>33</v>
      </c>
      <c r="G1484" s="3" t="s">
        <v>54</v>
      </c>
      <c r="H1484" s="3" t="s">
        <v>3103</v>
      </c>
      <c r="I1484" s="3" t="n">
        <v>4</v>
      </c>
      <c r="J1484" s="3" t="n">
        <v>5</v>
      </c>
      <c r="K1484" s="3" t="n">
        <v>5</v>
      </c>
      <c r="L1484" s="3" t="n">
        <v>4</v>
      </c>
      <c r="M1484" s="3" t="n">
        <v>5</v>
      </c>
      <c r="N1484" s="3" t="n">
        <v>5</v>
      </c>
      <c r="O1484" s="6" t="b">
        <f aca="false">FALSE()</f>
        <v>0</v>
      </c>
      <c r="P1484" s="3"/>
      <c r="Q1484" s="5" t="n">
        <v>46286.5715277778</v>
      </c>
      <c r="R1484" s="5" t="n">
        <v>46286.6326388889</v>
      </c>
      <c r="S1484" s="3" t="s">
        <v>1699</v>
      </c>
      <c r="T1484" s="7" t="n">
        <f aca="false">ROUND(MIN(IF(OR(O1484=TRUE(),O1484="TRUE",O1484="Yes"),59,100),(I1484*Rubric!$C$2+J1484*Rubric!$C$3+K1484*Rubric!$C$4+L1484*Rubric!$C$5+M1484*Rubric!$C$6+N1484*Rubric!$C$7)/5),1)</f>
        <v>94</v>
      </c>
      <c r="U1484" s="8" t="str">
        <f aca="false">LOOKUP(T1484,Bands!$A$2:$A$6,Bands!$B$2:$B$6)</f>
        <v>Outstanding</v>
      </c>
      <c r="V1484" s="8" t="n">
        <f aca="false">IF(Q1484="","",ROUND((Q1484-B1484)*24,1))</f>
        <v>0</v>
      </c>
    </row>
    <row r="1485" customFormat="false" ht="15" hidden="false" customHeight="false" outlineLevel="0" collapsed="false">
      <c r="A1485" s="3" t="s">
        <v>3104</v>
      </c>
      <c r="B1485" s="5" t="n">
        <v>46286.7076388889</v>
      </c>
      <c r="C1485" s="3" t="s">
        <v>30</v>
      </c>
      <c r="D1485" s="3" t="s">
        <v>161</v>
      </c>
      <c r="E1485" s="3" t="s">
        <v>162</v>
      </c>
      <c r="F1485" s="3" t="s">
        <v>33</v>
      </c>
      <c r="G1485" s="3" t="s">
        <v>42</v>
      </c>
      <c r="H1485" s="3" t="s">
        <v>3105</v>
      </c>
      <c r="I1485" s="3" t="n">
        <v>5</v>
      </c>
      <c r="J1485" s="3" t="n">
        <v>4</v>
      </c>
      <c r="K1485" s="3" t="n">
        <v>5</v>
      </c>
      <c r="L1485" s="3" t="n">
        <v>4</v>
      </c>
      <c r="M1485" s="3" t="n">
        <v>3</v>
      </c>
      <c r="N1485" s="3" t="n">
        <v>4</v>
      </c>
      <c r="O1485" s="6" t="b">
        <f aca="false">FALSE()</f>
        <v>0</v>
      </c>
      <c r="P1485" s="3"/>
      <c r="Q1485" s="5" t="n">
        <v>46286.7090277778</v>
      </c>
      <c r="R1485" s="5" t="n">
        <v>46286.8701388889</v>
      </c>
      <c r="S1485" s="3" t="s">
        <v>1699</v>
      </c>
      <c r="T1485" s="7" t="n">
        <f aca="false">ROUND(MIN(IF(OR(O1485=TRUE(),O1485="TRUE",O1485="Yes"),59,100),(I1485*Rubric!$C$2+J1485*Rubric!$C$3+K1485*Rubric!$C$4+L1485*Rubric!$C$5+M1485*Rubric!$C$6+N1485*Rubric!$C$7)/5),1)</f>
        <v>85</v>
      </c>
      <c r="U1485" s="8" t="str">
        <f aca="false">LOOKUP(T1485,Bands!$A$2:$A$6,Bands!$B$2:$B$6)</f>
        <v>Solid Performance</v>
      </c>
      <c r="V1485" s="8" t="n">
        <f aca="false">IF(Q1485="","",ROUND((Q1485-B1485)*24,1))</f>
        <v>0</v>
      </c>
    </row>
    <row r="1486" customFormat="false" ht="15" hidden="false" customHeight="false" outlineLevel="0" collapsed="false">
      <c r="A1486" s="3" t="s">
        <v>3106</v>
      </c>
      <c r="B1486" s="5" t="n">
        <v>46286.5770833333</v>
      </c>
      <c r="C1486" s="3" t="s">
        <v>68</v>
      </c>
      <c r="D1486" s="3" t="s">
        <v>111</v>
      </c>
      <c r="E1486" s="3" t="s">
        <v>112</v>
      </c>
      <c r="F1486" s="3" t="s">
        <v>33</v>
      </c>
      <c r="G1486" s="3" t="s">
        <v>34</v>
      </c>
      <c r="H1486" s="3" t="s">
        <v>3107</v>
      </c>
      <c r="I1486" s="3" t="n">
        <v>2</v>
      </c>
      <c r="J1486" s="3" t="n">
        <v>3</v>
      </c>
      <c r="K1486" s="3" t="n">
        <v>4</v>
      </c>
      <c r="L1486" s="3" t="n">
        <v>4</v>
      </c>
      <c r="M1486" s="3" t="n">
        <v>4</v>
      </c>
      <c r="N1486" s="3" t="n">
        <v>4</v>
      </c>
      <c r="O1486" s="6" t="b">
        <f aca="false">FALSE()</f>
        <v>0</v>
      </c>
      <c r="P1486" s="3" t="s">
        <v>88</v>
      </c>
      <c r="Q1486" s="5" t="n">
        <v>46286.5777777778</v>
      </c>
      <c r="R1486" s="5" t="n">
        <v>46286.9854166667</v>
      </c>
      <c r="S1486" s="3" t="s">
        <v>1699</v>
      </c>
      <c r="T1486" s="7" t="n">
        <f aca="false">ROUND(MIN(IF(OR(O1486=TRUE(),O1486="TRUE",O1486="Yes"),59,100),(I1486*Rubric!$C$2+J1486*Rubric!$C$3+K1486*Rubric!$C$4+L1486*Rubric!$C$5+M1486*Rubric!$C$6+N1486*Rubric!$C$7)/5),1)</f>
        <v>69</v>
      </c>
      <c r="U1486" s="8" t="str">
        <f aca="false">LOOKUP(T1486,Bands!$A$2:$A$6,Bands!$B$2:$B$6)</f>
        <v>Needs Improvement</v>
      </c>
      <c r="V1486" s="8" t="n">
        <f aca="false">IF(Q1486="","",ROUND((Q1486-B1486)*24,1))</f>
        <v>0</v>
      </c>
    </row>
    <row r="1487" customFormat="false" ht="15" hidden="false" customHeight="false" outlineLevel="0" collapsed="false">
      <c r="A1487" s="3" t="s">
        <v>3108</v>
      </c>
      <c r="B1487" s="5" t="n">
        <v>46286.4444444445</v>
      </c>
      <c r="C1487" s="3" t="s">
        <v>68</v>
      </c>
      <c r="D1487" s="3" t="s">
        <v>46</v>
      </c>
      <c r="E1487" s="3" t="s">
        <v>47</v>
      </c>
      <c r="F1487" s="3" t="s">
        <v>33</v>
      </c>
      <c r="G1487" s="3" t="s">
        <v>54</v>
      </c>
      <c r="H1487" s="3" t="s">
        <v>3109</v>
      </c>
      <c r="I1487" s="3" t="n">
        <v>4</v>
      </c>
      <c r="J1487" s="3" t="n">
        <v>5</v>
      </c>
      <c r="K1487" s="3" t="n">
        <v>3</v>
      </c>
      <c r="L1487" s="3" t="n">
        <v>4</v>
      </c>
      <c r="M1487" s="3" t="n">
        <v>4</v>
      </c>
      <c r="N1487" s="3" t="n">
        <v>4</v>
      </c>
      <c r="O1487" s="6" t="b">
        <f aca="false">FALSE()</f>
        <v>0</v>
      </c>
      <c r="P1487" s="3"/>
      <c r="Q1487" s="5" t="n">
        <v>46286.4465277778</v>
      </c>
      <c r="R1487" s="5" t="n">
        <v>46286.4847222222</v>
      </c>
      <c r="S1487" s="3" t="s">
        <v>1699</v>
      </c>
      <c r="T1487" s="7" t="n">
        <f aca="false">ROUND(MIN(IF(OR(O1487=TRUE(),O1487="TRUE",O1487="Yes"),59,100),(I1487*Rubric!$C$2+J1487*Rubric!$C$3+K1487*Rubric!$C$4+L1487*Rubric!$C$5+M1487*Rubric!$C$6+N1487*Rubric!$C$7)/5),1)</f>
        <v>81</v>
      </c>
      <c r="U1487" s="8" t="str">
        <f aca="false">LOOKUP(T1487,Bands!$A$2:$A$6,Bands!$B$2:$B$6)</f>
        <v>Solid Performance</v>
      </c>
      <c r="V1487" s="8" t="n">
        <f aca="false">IF(Q1487="","",ROUND((Q1487-B1487)*24,1))</f>
        <v>0</v>
      </c>
    </row>
    <row r="1488" customFormat="false" ht="15" hidden="false" customHeight="false" outlineLevel="0" collapsed="false">
      <c r="A1488" s="3" t="s">
        <v>3110</v>
      </c>
      <c r="B1488" s="5" t="n">
        <v>46286.4715277778</v>
      </c>
      <c r="C1488" s="3" t="s">
        <v>68</v>
      </c>
      <c r="D1488" s="3" t="s">
        <v>151</v>
      </c>
      <c r="E1488" s="3" t="s">
        <v>152</v>
      </c>
      <c r="F1488" s="3" t="s">
        <v>33</v>
      </c>
      <c r="G1488" s="3" t="s">
        <v>54</v>
      </c>
      <c r="H1488" s="3" t="s">
        <v>3111</v>
      </c>
      <c r="I1488" s="3" t="n">
        <v>5</v>
      </c>
      <c r="J1488" s="3" t="n">
        <v>3</v>
      </c>
      <c r="K1488" s="3" t="n">
        <v>5</v>
      </c>
      <c r="L1488" s="3" t="n">
        <v>5</v>
      </c>
      <c r="M1488" s="3" t="n">
        <v>4</v>
      </c>
      <c r="N1488" s="3" t="n">
        <v>4</v>
      </c>
      <c r="O1488" s="6" t="b">
        <f aca="false">FALSE()</f>
        <v>0</v>
      </c>
      <c r="P1488" s="3"/>
      <c r="Q1488" s="5" t="n">
        <v>46286.4729166667</v>
      </c>
      <c r="R1488" s="5" t="n">
        <v>46286.5930555556</v>
      </c>
      <c r="S1488" s="3" t="s">
        <v>1699</v>
      </c>
      <c r="T1488" s="7" t="n">
        <f aca="false">ROUND(MIN(IF(OR(O1488=TRUE(),O1488="TRUE",O1488="Yes"),59,100),(I1488*Rubric!$C$2+J1488*Rubric!$C$3+K1488*Rubric!$C$4+L1488*Rubric!$C$5+M1488*Rubric!$C$6+N1488*Rubric!$C$7)/5),1)</f>
        <v>85</v>
      </c>
      <c r="U1488" s="8" t="str">
        <f aca="false">LOOKUP(T1488,Bands!$A$2:$A$6,Bands!$B$2:$B$6)</f>
        <v>Solid Performance</v>
      </c>
      <c r="V1488" s="8" t="n">
        <f aca="false">IF(Q1488="","",ROUND((Q1488-B1488)*24,1))</f>
        <v>0</v>
      </c>
    </row>
    <row r="1489" customFormat="false" ht="15" hidden="false" customHeight="false" outlineLevel="0" collapsed="false">
      <c r="A1489" s="3" t="s">
        <v>3112</v>
      </c>
      <c r="B1489" s="5" t="n">
        <v>46286.6847222222</v>
      </c>
      <c r="C1489" s="3" t="s">
        <v>68</v>
      </c>
      <c r="D1489" s="3" t="s">
        <v>119</v>
      </c>
      <c r="E1489" s="3" t="s">
        <v>120</v>
      </c>
      <c r="F1489" s="3" t="s">
        <v>33</v>
      </c>
      <c r="G1489" s="3" t="s">
        <v>54</v>
      </c>
      <c r="H1489" s="3" t="s">
        <v>3113</v>
      </c>
      <c r="I1489" s="3" t="n">
        <v>4</v>
      </c>
      <c r="J1489" s="3" t="n">
        <v>3</v>
      </c>
      <c r="K1489" s="3" t="n">
        <v>4</v>
      </c>
      <c r="L1489" s="3" t="n">
        <v>4</v>
      </c>
      <c r="M1489" s="3" t="n">
        <v>4</v>
      </c>
      <c r="N1489" s="3" t="n">
        <v>4</v>
      </c>
      <c r="O1489" s="6" t="b">
        <f aca="false">FALSE()</f>
        <v>0</v>
      </c>
      <c r="P1489" s="3"/>
      <c r="Q1489" s="5" t="n">
        <v>46286.6854166667</v>
      </c>
      <c r="R1489" s="5" t="n">
        <v>46287.4493055556</v>
      </c>
      <c r="S1489" s="3" t="s">
        <v>1699</v>
      </c>
      <c r="T1489" s="7" t="n">
        <f aca="false">ROUND(MIN(IF(OR(O1489=TRUE(),O1489="TRUE",O1489="Yes"),59,100),(I1489*Rubric!$C$2+J1489*Rubric!$C$3+K1489*Rubric!$C$4+L1489*Rubric!$C$5+M1489*Rubric!$C$6+N1489*Rubric!$C$7)/5),1)</f>
        <v>75</v>
      </c>
      <c r="U1489" s="8" t="str">
        <f aca="false">LOOKUP(T1489,Bands!$A$2:$A$6,Bands!$B$2:$B$6)</f>
        <v>Meets Expectations</v>
      </c>
      <c r="V1489" s="8" t="n">
        <f aca="false">IF(Q1489="","",ROUND((Q1489-B1489)*24,1))</f>
        <v>0</v>
      </c>
    </row>
    <row r="1490" customFormat="false" ht="15" hidden="false" customHeight="false" outlineLevel="0" collapsed="false">
      <c r="A1490" s="3" t="s">
        <v>3114</v>
      </c>
      <c r="B1490" s="5" t="n">
        <v>46287.4243055556</v>
      </c>
      <c r="C1490" s="3" t="s">
        <v>68</v>
      </c>
      <c r="D1490" s="3" t="s">
        <v>486</v>
      </c>
      <c r="E1490" s="3" t="s">
        <v>487</v>
      </c>
      <c r="F1490" s="3" t="s">
        <v>65</v>
      </c>
      <c r="G1490" s="3" t="s">
        <v>34</v>
      </c>
      <c r="H1490" s="3" t="s">
        <v>3115</v>
      </c>
      <c r="I1490" s="3" t="n">
        <v>5</v>
      </c>
      <c r="J1490" s="3" t="n">
        <v>3</v>
      </c>
      <c r="K1490" s="3" t="n">
        <v>5</v>
      </c>
      <c r="L1490" s="3" t="n">
        <v>4</v>
      </c>
      <c r="M1490" s="3" t="n">
        <v>5</v>
      </c>
      <c r="N1490" s="3" t="n">
        <v>5</v>
      </c>
      <c r="O1490" s="6" t="b">
        <f aca="false">FALSE()</f>
        <v>0</v>
      </c>
      <c r="P1490" s="3"/>
      <c r="Q1490" s="5" t="n">
        <v>46287.425</v>
      </c>
      <c r="R1490" s="5" t="n">
        <v>46287.5236111111</v>
      </c>
      <c r="S1490" s="3" t="s">
        <v>1699</v>
      </c>
      <c r="T1490" s="7" t="n">
        <f aca="false">ROUND(MIN(IF(OR(O1490=TRUE(),O1490="TRUE",O1490="Yes"),59,100),(I1490*Rubric!$C$2+J1490*Rubric!$C$3+K1490*Rubric!$C$4+L1490*Rubric!$C$5+M1490*Rubric!$C$6+N1490*Rubric!$C$7)/5),1)</f>
        <v>87</v>
      </c>
      <c r="U1490" s="8" t="str">
        <f aca="false">LOOKUP(T1490,Bands!$A$2:$A$6,Bands!$B$2:$B$6)</f>
        <v>Solid Performance</v>
      </c>
      <c r="V1490" s="8" t="n">
        <f aca="false">IF(Q1490="","",ROUND((Q1490-B1490)*24,1))</f>
        <v>0</v>
      </c>
    </row>
    <row r="1491" customFormat="false" ht="15" hidden="false" customHeight="false" outlineLevel="0" collapsed="false">
      <c r="A1491" s="3" t="s">
        <v>3116</v>
      </c>
      <c r="B1491" s="5" t="n">
        <v>46287.6229166667</v>
      </c>
      <c r="C1491" s="3" t="s">
        <v>39</v>
      </c>
      <c r="D1491" s="3" t="s">
        <v>133</v>
      </c>
      <c r="E1491" s="3" t="s">
        <v>134</v>
      </c>
      <c r="F1491" s="3" t="s">
        <v>33</v>
      </c>
      <c r="G1491" s="3" t="s">
        <v>42</v>
      </c>
      <c r="H1491" s="3" t="s">
        <v>3117</v>
      </c>
      <c r="I1491" s="3" t="n">
        <v>4</v>
      </c>
      <c r="J1491" s="3" t="n">
        <v>3</v>
      </c>
      <c r="K1491" s="3" t="n">
        <v>5</v>
      </c>
      <c r="L1491" s="3" t="n">
        <v>5</v>
      </c>
      <c r="M1491" s="3" t="n">
        <v>5</v>
      </c>
      <c r="N1491" s="3" t="n">
        <v>5</v>
      </c>
      <c r="O1491" s="6" t="b">
        <f aca="false">FALSE()</f>
        <v>0</v>
      </c>
      <c r="P1491" s="3"/>
      <c r="Q1491" s="5" t="n">
        <v>46287.6243055556</v>
      </c>
      <c r="R1491" s="5" t="n">
        <v>46287.8555555556</v>
      </c>
      <c r="S1491" s="3" t="s">
        <v>1699</v>
      </c>
      <c r="T1491" s="7" t="n">
        <f aca="false">ROUND(MIN(IF(OR(O1491=TRUE(),O1491="TRUE",O1491="Yes"),59,100),(I1491*Rubric!$C$2+J1491*Rubric!$C$3+K1491*Rubric!$C$4+L1491*Rubric!$C$5+M1491*Rubric!$C$6+N1491*Rubric!$C$7)/5),1)</f>
        <v>87</v>
      </c>
      <c r="U1491" s="8" t="str">
        <f aca="false">LOOKUP(T1491,Bands!$A$2:$A$6,Bands!$B$2:$B$6)</f>
        <v>Solid Performance</v>
      </c>
      <c r="V1491" s="8" t="n">
        <f aca="false">IF(Q1491="","",ROUND((Q1491-B1491)*24,1))</f>
        <v>0</v>
      </c>
    </row>
    <row r="1492" customFormat="false" ht="15" hidden="false" customHeight="false" outlineLevel="0" collapsed="false">
      <c r="A1492" s="3" t="s">
        <v>3118</v>
      </c>
      <c r="B1492" s="5" t="n">
        <v>46287.6263888889</v>
      </c>
      <c r="C1492" s="3" t="s">
        <v>30</v>
      </c>
      <c r="D1492" s="3" t="s">
        <v>40</v>
      </c>
      <c r="E1492" s="3" t="s">
        <v>41</v>
      </c>
      <c r="F1492" s="3" t="s">
        <v>33</v>
      </c>
      <c r="G1492" s="3" t="s">
        <v>54</v>
      </c>
      <c r="H1492" s="3" t="s">
        <v>3119</v>
      </c>
      <c r="I1492" s="3" t="n">
        <v>4</v>
      </c>
      <c r="J1492" s="3" t="n">
        <v>4</v>
      </c>
      <c r="K1492" s="3" t="n">
        <v>4</v>
      </c>
      <c r="L1492" s="3" t="n">
        <v>4</v>
      </c>
      <c r="M1492" s="3" t="n">
        <v>4</v>
      </c>
      <c r="N1492" s="3" t="n">
        <v>5</v>
      </c>
      <c r="O1492" s="6" t="b">
        <f aca="false">FALSE()</f>
        <v>0</v>
      </c>
      <c r="P1492" s="3"/>
      <c r="Q1492" s="5" t="n">
        <v>46287.6284722222</v>
      </c>
      <c r="R1492" s="5" t="n">
        <v>46287.7104166667</v>
      </c>
      <c r="S1492" s="3" t="s">
        <v>1699</v>
      </c>
      <c r="T1492" s="7" t="n">
        <f aca="false">ROUND(MIN(IF(OR(O1492=TRUE(),O1492="TRUE",O1492="Yes"),59,100),(I1492*Rubric!$C$2+J1492*Rubric!$C$3+K1492*Rubric!$C$4+L1492*Rubric!$C$5+M1492*Rubric!$C$6+N1492*Rubric!$C$7)/5),1)</f>
        <v>83</v>
      </c>
      <c r="U1492" s="8" t="str">
        <f aca="false">LOOKUP(T1492,Bands!$A$2:$A$6,Bands!$B$2:$B$6)</f>
        <v>Solid Performance</v>
      </c>
      <c r="V1492" s="8" t="n">
        <f aca="false">IF(Q1492="","",ROUND((Q1492-B1492)*24,1))</f>
        <v>0</v>
      </c>
    </row>
    <row r="1493" customFormat="false" ht="15" hidden="false" customHeight="false" outlineLevel="0" collapsed="false">
      <c r="A1493" s="3" t="s">
        <v>3120</v>
      </c>
      <c r="B1493" s="5" t="n">
        <v>46287.6722222222</v>
      </c>
      <c r="C1493" s="3" t="s">
        <v>39</v>
      </c>
      <c r="D1493" s="3" t="s">
        <v>46</v>
      </c>
      <c r="E1493" s="3" t="s">
        <v>47</v>
      </c>
      <c r="F1493" s="3" t="s">
        <v>33</v>
      </c>
      <c r="G1493" s="3" t="s">
        <v>54</v>
      </c>
      <c r="H1493" s="3" t="s">
        <v>3121</v>
      </c>
      <c r="I1493" s="3" t="n">
        <v>5</v>
      </c>
      <c r="J1493" s="3" t="n">
        <v>4</v>
      </c>
      <c r="K1493" s="3" t="n">
        <v>3</v>
      </c>
      <c r="L1493" s="3" t="n">
        <v>5</v>
      </c>
      <c r="M1493" s="3" t="n">
        <v>5</v>
      </c>
      <c r="N1493" s="3" t="n">
        <v>5</v>
      </c>
      <c r="O1493" s="6" t="b">
        <f aca="false">FALSE()</f>
        <v>0</v>
      </c>
      <c r="P1493" s="3"/>
      <c r="Q1493" s="5" t="n">
        <v>46287.6729166667</v>
      </c>
      <c r="R1493" s="5" t="n">
        <v>46287.7201388889</v>
      </c>
      <c r="S1493" s="3" t="s">
        <v>1699</v>
      </c>
      <c r="T1493" s="7" t="n">
        <f aca="false">ROUND(MIN(IF(OR(O1493=TRUE(),O1493="TRUE",O1493="Yes"),59,100),(I1493*Rubric!$C$2+J1493*Rubric!$C$3+K1493*Rubric!$C$4+L1493*Rubric!$C$5+M1493*Rubric!$C$6+N1493*Rubric!$C$7)/5),1)</f>
        <v>87</v>
      </c>
      <c r="U1493" s="8" t="str">
        <f aca="false">LOOKUP(T1493,Bands!$A$2:$A$6,Bands!$B$2:$B$6)</f>
        <v>Solid Performance</v>
      </c>
      <c r="V1493" s="8" t="n">
        <f aca="false">IF(Q1493="","",ROUND((Q1493-B1493)*24,1))</f>
        <v>0</v>
      </c>
    </row>
    <row r="1494" customFormat="false" ht="15" hidden="false" customHeight="false" outlineLevel="0" collapsed="false">
      <c r="A1494" s="3" t="s">
        <v>3122</v>
      </c>
      <c r="B1494" s="5" t="n">
        <v>46287.4930555556</v>
      </c>
      <c r="C1494" s="3" t="s">
        <v>68</v>
      </c>
      <c r="D1494" s="3" t="s">
        <v>119</v>
      </c>
      <c r="E1494" s="3" t="s">
        <v>120</v>
      </c>
      <c r="F1494" s="3" t="s">
        <v>33</v>
      </c>
      <c r="G1494" s="3" t="s">
        <v>54</v>
      </c>
      <c r="H1494" s="3" t="s">
        <v>3123</v>
      </c>
      <c r="I1494" s="3" t="n">
        <v>3</v>
      </c>
      <c r="J1494" s="3" t="n">
        <v>3</v>
      </c>
      <c r="K1494" s="3" t="n">
        <v>4</v>
      </c>
      <c r="L1494" s="3" t="n">
        <v>3</v>
      </c>
      <c r="M1494" s="3" t="n">
        <v>3</v>
      </c>
      <c r="N1494" s="3" t="n">
        <v>3</v>
      </c>
      <c r="O1494" s="6" t="b">
        <f aca="false">FALSE()</f>
        <v>0</v>
      </c>
      <c r="P1494" s="3"/>
      <c r="Q1494" s="5" t="n">
        <v>46287.49375</v>
      </c>
      <c r="R1494" s="5" t="n">
        <v>46287.6055555556</v>
      </c>
      <c r="S1494" s="3" t="s">
        <v>1699</v>
      </c>
      <c r="T1494" s="7" t="n">
        <f aca="false">ROUND(MIN(IF(OR(O1494=TRUE(),O1494="TRUE",O1494="Yes"),59,100),(I1494*Rubric!$C$2+J1494*Rubric!$C$3+K1494*Rubric!$C$4+L1494*Rubric!$C$5+M1494*Rubric!$C$6+N1494*Rubric!$C$7)/5),1)</f>
        <v>64</v>
      </c>
      <c r="U1494" s="8" t="str">
        <f aca="false">LOOKUP(T1494,Bands!$A$2:$A$6,Bands!$B$2:$B$6)</f>
        <v>Needs Improvement</v>
      </c>
      <c r="V1494" s="8" t="n">
        <f aca="false">IF(Q1494="","",ROUND((Q1494-B1494)*24,1))</f>
        <v>0</v>
      </c>
    </row>
    <row r="1495" customFormat="false" ht="15" hidden="false" customHeight="false" outlineLevel="0" collapsed="false">
      <c r="A1495" s="3" t="s">
        <v>3124</v>
      </c>
      <c r="B1495" s="5" t="n">
        <v>46287.4458333333</v>
      </c>
      <c r="C1495" s="3" t="s">
        <v>68</v>
      </c>
      <c r="D1495" s="3" t="s">
        <v>63</v>
      </c>
      <c r="E1495" s="3" t="s">
        <v>64</v>
      </c>
      <c r="F1495" s="3" t="s">
        <v>65</v>
      </c>
      <c r="G1495" s="3" t="s">
        <v>54</v>
      </c>
      <c r="H1495" s="3" t="s">
        <v>3125</v>
      </c>
      <c r="I1495" s="3" t="n">
        <v>4</v>
      </c>
      <c r="J1495" s="3" t="n">
        <v>4</v>
      </c>
      <c r="K1495" s="3" t="n">
        <v>4</v>
      </c>
      <c r="L1495" s="3" t="n">
        <v>4</v>
      </c>
      <c r="M1495" s="3" t="n">
        <v>3</v>
      </c>
      <c r="N1495" s="3" t="n">
        <v>5</v>
      </c>
      <c r="O1495" s="6" t="b">
        <f aca="false">FALSE()</f>
        <v>0</v>
      </c>
      <c r="P1495" s="3"/>
      <c r="Q1495" s="5" t="n">
        <v>46287.4465277778</v>
      </c>
      <c r="R1495" s="5" t="n">
        <v>46287.4868055556</v>
      </c>
      <c r="S1495" s="3" t="s">
        <v>1699</v>
      </c>
      <c r="T1495" s="7" t="n">
        <f aca="false">ROUND(MIN(IF(OR(O1495=TRUE(),O1495="TRUE",O1495="Yes"),59,100),(I1495*Rubric!$C$2+J1495*Rubric!$C$3+K1495*Rubric!$C$4+L1495*Rubric!$C$5+M1495*Rubric!$C$6+N1495*Rubric!$C$7)/5),1)</f>
        <v>81</v>
      </c>
      <c r="U1495" s="8" t="str">
        <f aca="false">LOOKUP(T1495,Bands!$A$2:$A$6,Bands!$B$2:$B$6)</f>
        <v>Solid Performance</v>
      </c>
      <c r="V1495" s="8" t="n">
        <f aca="false">IF(Q1495="","",ROUND((Q1495-B1495)*24,1))</f>
        <v>0</v>
      </c>
    </row>
    <row r="1496" customFormat="false" ht="15" hidden="false" customHeight="false" outlineLevel="0" collapsed="false">
      <c r="A1496" s="3" t="s">
        <v>3126</v>
      </c>
      <c r="B1496" s="5" t="n">
        <v>46287.4756944445</v>
      </c>
      <c r="C1496" s="3" t="s">
        <v>30</v>
      </c>
      <c r="D1496" s="3" t="s">
        <v>307</v>
      </c>
      <c r="E1496" s="3" t="s">
        <v>308</v>
      </c>
      <c r="F1496" s="3" t="s">
        <v>33</v>
      </c>
      <c r="G1496" s="3" t="s">
        <v>42</v>
      </c>
      <c r="H1496" s="3" t="s">
        <v>3127</v>
      </c>
      <c r="I1496" s="3" t="n">
        <v>5</v>
      </c>
      <c r="J1496" s="3" t="n">
        <v>4</v>
      </c>
      <c r="K1496" s="3" t="n">
        <v>5</v>
      </c>
      <c r="L1496" s="3" t="n">
        <v>5</v>
      </c>
      <c r="M1496" s="3" t="n">
        <v>5</v>
      </c>
      <c r="N1496" s="3" t="n">
        <v>5</v>
      </c>
      <c r="O1496" s="6" t="b">
        <f aca="false">FALSE()</f>
        <v>0</v>
      </c>
      <c r="P1496" s="3"/>
      <c r="Q1496" s="5" t="n">
        <v>46287.4763888889</v>
      </c>
      <c r="R1496" s="5" t="n">
        <v>46287.5868055556</v>
      </c>
      <c r="S1496" s="3" t="s">
        <v>1699</v>
      </c>
      <c r="T1496" s="7" t="n">
        <f aca="false">ROUND(MIN(IF(OR(O1496=TRUE(),O1496="TRUE",O1496="Yes"),59,100),(I1496*Rubric!$C$2+J1496*Rubric!$C$3+K1496*Rubric!$C$4+L1496*Rubric!$C$5+M1496*Rubric!$C$6+N1496*Rubric!$C$7)/5),1)</f>
        <v>95</v>
      </c>
      <c r="U1496" s="8" t="str">
        <f aca="false">LOOKUP(T1496,Bands!$A$2:$A$6,Bands!$B$2:$B$6)</f>
        <v>Outstanding</v>
      </c>
      <c r="V1496" s="8" t="n">
        <f aca="false">IF(Q1496="","",ROUND((Q1496-B1496)*24,1))</f>
        <v>0</v>
      </c>
    </row>
    <row r="1497" customFormat="false" ht="15" hidden="false" customHeight="false" outlineLevel="0" collapsed="false">
      <c r="A1497" s="3" t="s">
        <v>3128</v>
      </c>
      <c r="B1497" s="5" t="n">
        <v>46287.5444444444</v>
      </c>
      <c r="C1497" s="3" t="s">
        <v>30</v>
      </c>
      <c r="D1497" s="3" t="s">
        <v>155</v>
      </c>
      <c r="E1497" s="3" t="s">
        <v>156</v>
      </c>
      <c r="F1497" s="3" t="s">
        <v>65</v>
      </c>
      <c r="G1497" s="3" t="s">
        <v>42</v>
      </c>
      <c r="H1497" s="3" t="s">
        <v>3129</v>
      </c>
      <c r="I1497" s="3" t="n">
        <v>4</v>
      </c>
      <c r="J1497" s="3" t="n">
        <v>4</v>
      </c>
      <c r="K1497" s="3" t="n">
        <v>5</v>
      </c>
      <c r="L1497" s="3" t="n">
        <v>4</v>
      </c>
      <c r="M1497" s="3" t="n">
        <v>5</v>
      </c>
      <c r="N1497" s="3" t="n">
        <v>4</v>
      </c>
      <c r="O1497" s="6" t="b">
        <f aca="false">FALSE()</f>
        <v>0</v>
      </c>
      <c r="P1497" s="3"/>
      <c r="Q1497" s="5" t="n">
        <v>46287.5451388889</v>
      </c>
      <c r="R1497" s="5" t="n">
        <v>46287.7090277778</v>
      </c>
      <c r="S1497" s="3" t="s">
        <v>1699</v>
      </c>
      <c r="T1497" s="7" t="n">
        <f aca="false">ROUND(MIN(IF(OR(O1497=TRUE(),O1497="TRUE",O1497="Yes"),59,100),(I1497*Rubric!$C$2+J1497*Rubric!$C$3+K1497*Rubric!$C$4+L1497*Rubric!$C$5+M1497*Rubric!$C$6+N1497*Rubric!$C$7)/5),1)</f>
        <v>86</v>
      </c>
      <c r="U1497" s="8" t="str">
        <f aca="false">LOOKUP(T1497,Bands!$A$2:$A$6,Bands!$B$2:$B$6)</f>
        <v>Solid Performance</v>
      </c>
      <c r="V1497" s="8" t="n">
        <f aca="false">IF(Q1497="","",ROUND((Q1497-B1497)*24,1))</f>
        <v>0</v>
      </c>
    </row>
    <row r="1498" customFormat="false" ht="15" hidden="false" customHeight="false" outlineLevel="0" collapsed="false">
      <c r="A1498" s="3" t="s">
        <v>3130</v>
      </c>
      <c r="B1498" s="5" t="n">
        <v>46287.4069444445</v>
      </c>
      <c r="C1498" s="3" t="s">
        <v>68</v>
      </c>
      <c r="D1498" s="3" t="s">
        <v>85</v>
      </c>
      <c r="E1498" s="3" t="s">
        <v>86</v>
      </c>
      <c r="F1498" s="3" t="s">
        <v>33</v>
      </c>
      <c r="G1498" s="3" t="s">
        <v>54</v>
      </c>
      <c r="H1498" s="3" t="s">
        <v>3131</v>
      </c>
      <c r="I1498" s="3" t="n">
        <v>3</v>
      </c>
      <c r="J1498" s="3" t="n">
        <v>4</v>
      </c>
      <c r="K1498" s="3" t="n">
        <v>4</v>
      </c>
      <c r="L1498" s="3" t="n">
        <v>4</v>
      </c>
      <c r="M1498" s="3" t="n">
        <v>4</v>
      </c>
      <c r="N1498" s="3" t="n">
        <v>4</v>
      </c>
      <c r="O1498" s="6" t="b">
        <f aca="false">FALSE()</f>
        <v>0</v>
      </c>
      <c r="P1498" s="3"/>
      <c r="Q1498" s="5" t="n">
        <v>46287.4076388889</v>
      </c>
      <c r="R1498" s="5" t="n">
        <v>46287.4833333333</v>
      </c>
      <c r="S1498" s="3" t="s">
        <v>1699</v>
      </c>
      <c r="T1498" s="7" t="n">
        <f aca="false">ROUND(MIN(IF(OR(O1498=TRUE(),O1498="TRUE",O1498="Yes"),59,100),(I1498*Rubric!$C$2+J1498*Rubric!$C$3+K1498*Rubric!$C$4+L1498*Rubric!$C$5+M1498*Rubric!$C$6+N1498*Rubric!$C$7)/5),1)</f>
        <v>77</v>
      </c>
      <c r="U1498" s="8" t="str">
        <f aca="false">LOOKUP(T1498,Bands!$A$2:$A$6,Bands!$B$2:$B$6)</f>
        <v>Meets Expectations</v>
      </c>
      <c r="V1498" s="8" t="n">
        <f aca="false">IF(Q1498="","",ROUND((Q1498-B1498)*24,1))</f>
        <v>0</v>
      </c>
    </row>
    <row r="1499" customFormat="false" ht="15" hidden="false" customHeight="false" outlineLevel="0" collapsed="false">
      <c r="A1499" s="3" t="s">
        <v>3132</v>
      </c>
      <c r="B1499" s="5" t="n">
        <v>46287.6333333333</v>
      </c>
      <c r="C1499" s="3" t="s">
        <v>39</v>
      </c>
      <c r="D1499" s="3" t="s">
        <v>151</v>
      </c>
      <c r="E1499" s="3" t="s">
        <v>152</v>
      </c>
      <c r="F1499" s="3" t="s">
        <v>33</v>
      </c>
      <c r="G1499" s="3" t="s">
        <v>42</v>
      </c>
      <c r="H1499" s="3" t="s">
        <v>3133</v>
      </c>
      <c r="I1499" s="3" t="n">
        <v>4</v>
      </c>
      <c r="J1499" s="3" t="n">
        <v>3</v>
      </c>
      <c r="K1499" s="3" t="n">
        <v>4</v>
      </c>
      <c r="L1499" s="3" t="n">
        <v>4</v>
      </c>
      <c r="M1499" s="3" t="n">
        <v>5</v>
      </c>
      <c r="N1499" s="3" t="n">
        <v>5</v>
      </c>
      <c r="O1499" s="6" t="b">
        <f aca="false">FALSE()</f>
        <v>0</v>
      </c>
      <c r="P1499" s="3"/>
      <c r="Q1499" s="5" t="n">
        <v>46287.6340277778</v>
      </c>
      <c r="R1499" s="5" t="n">
        <v>46287.9083333333</v>
      </c>
      <c r="S1499" s="3" t="s">
        <v>1699</v>
      </c>
      <c r="T1499" s="7" t="n">
        <f aca="false">ROUND(MIN(IF(OR(O1499=TRUE(),O1499="TRUE",O1499="Yes"),59,100),(I1499*Rubric!$C$2+J1499*Rubric!$C$3+K1499*Rubric!$C$4+L1499*Rubric!$C$5+M1499*Rubric!$C$6+N1499*Rubric!$C$7)/5),1)</f>
        <v>80</v>
      </c>
      <c r="U1499" s="8" t="str">
        <f aca="false">LOOKUP(T1499,Bands!$A$2:$A$6,Bands!$B$2:$B$6)</f>
        <v>Solid Performance</v>
      </c>
      <c r="V1499" s="8" t="n">
        <f aca="false">IF(Q1499="","",ROUND((Q1499-B1499)*24,1))</f>
        <v>0</v>
      </c>
    </row>
    <row r="1500" customFormat="false" ht="15" hidden="false" customHeight="false" outlineLevel="0" collapsed="false">
      <c r="A1500" s="3" t="s">
        <v>3134</v>
      </c>
      <c r="B1500" s="5" t="n">
        <v>46287.4965277778</v>
      </c>
      <c r="C1500" s="3" t="s">
        <v>68</v>
      </c>
      <c r="D1500" s="3" t="s">
        <v>251</v>
      </c>
      <c r="E1500" s="3" t="s">
        <v>252</v>
      </c>
      <c r="F1500" s="3" t="s">
        <v>53</v>
      </c>
      <c r="G1500" s="3" t="s">
        <v>54</v>
      </c>
      <c r="H1500" s="3" t="s">
        <v>3135</v>
      </c>
      <c r="I1500" s="3" t="n">
        <v>3</v>
      </c>
      <c r="J1500" s="3" t="n">
        <v>5</v>
      </c>
      <c r="K1500" s="3" t="n">
        <v>4</v>
      </c>
      <c r="L1500" s="3" t="n">
        <v>5</v>
      </c>
      <c r="M1500" s="3" t="n">
        <v>3</v>
      </c>
      <c r="N1500" s="3" t="n">
        <v>5</v>
      </c>
      <c r="O1500" s="6" t="b">
        <f aca="false">FALSE()</f>
        <v>0</v>
      </c>
      <c r="P1500" s="3"/>
      <c r="Q1500" s="5" t="n">
        <v>46287.4986111111</v>
      </c>
      <c r="R1500" s="5" t="n">
        <v>46287.65625</v>
      </c>
      <c r="S1500" s="3" t="s">
        <v>1699</v>
      </c>
      <c r="T1500" s="7" t="n">
        <f aca="false">ROUND(MIN(IF(OR(O1500=TRUE(),O1500="TRUE",O1500="Yes"),59,100),(I1500*Rubric!$C$2+J1500*Rubric!$C$3+K1500*Rubric!$C$4+L1500*Rubric!$C$5+M1500*Rubric!$C$6+N1500*Rubric!$C$7)/5),1)</f>
        <v>86</v>
      </c>
      <c r="U1500" s="8" t="str">
        <f aca="false">LOOKUP(T1500,Bands!$A$2:$A$6,Bands!$B$2:$B$6)</f>
        <v>Solid Performance</v>
      </c>
      <c r="V1500" s="8" t="n">
        <f aca="false">IF(Q1500="","",ROUND((Q1500-B1500)*24,1))</f>
        <v>0</v>
      </c>
    </row>
    <row r="1501" customFormat="false" ht="15" hidden="false" customHeight="false" outlineLevel="0" collapsed="false">
      <c r="A1501" s="3" t="s">
        <v>3136</v>
      </c>
      <c r="B1501" s="5" t="n">
        <v>46287.5895833333</v>
      </c>
      <c r="C1501" s="3" t="s">
        <v>30</v>
      </c>
      <c r="D1501" s="3" t="s">
        <v>77</v>
      </c>
      <c r="E1501" s="3" t="s">
        <v>78</v>
      </c>
      <c r="F1501" s="3" t="s">
        <v>33</v>
      </c>
      <c r="G1501" s="3" t="s">
        <v>54</v>
      </c>
      <c r="H1501" s="3" t="s">
        <v>3137</v>
      </c>
      <c r="I1501" s="3" t="n">
        <v>5</v>
      </c>
      <c r="J1501" s="3" t="n">
        <v>5</v>
      </c>
      <c r="K1501" s="3" t="n">
        <v>5</v>
      </c>
      <c r="L1501" s="3" t="n">
        <v>5</v>
      </c>
      <c r="M1501" s="3" t="n">
        <v>5</v>
      </c>
      <c r="N1501" s="3" t="n">
        <v>4</v>
      </c>
      <c r="O1501" s="6" t="b">
        <f aca="false">FALSE()</f>
        <v>0</v>
      </c>
      <c r="P1501" s="3"/>
      <c r="Q1501" s="5" t="n">
        <v>46287.5916666667</v>
      </c>
      <c r="R1501" s="5" t="n">
        <v>46288.4819444444</v>
      </c>
      <c r="S1501" s="3" t="s">
        <v>1699</v>
      </c>
      <c r="T1501" s="7" t="n">
        <f aca="false">ROUND(MIN(IF(OR(O1501=TRUE(),O1501="TRUE",O1501="Yes"),59,100),(I1501*Rubric!$C$2+J1501*Rubric!$C$3+K1501*Rubric!$C$4+L1501*Rubric!$C$5+M1501*Rubric!$C$6+N1501*Rubric!$C$7)/5),1)</f>
        <v>97</v>
      </c>
      <c r="U1501" s="8" t="str">
        <f aca="false">LOOKUP(T1501,Bands!$A$2:$A$6,Bands!$B$2:$B$6)</f>
        <v>Outstanding</v>
      </c>
      <c r="V1501" s="8" t="n">
        <f aca="false">IF(Q1501="","",ROUND((Q1501-B1501)*24,1))</f>
        <v>0.1</v>
      </c>
    </row>
    <row r="1502" customFormat="false" ht="15" hidden="false" customHeight="false" outlineLevel="0" collapsed="false">
      <c r="A1502" s="3" t="s">
        <v>3138</v>
      </c>
      <c r="B1502" s="5" t="n">
        <v>46288.5368055556</v>
      </c>
      <c r="C1502" s="3" t="s">
        <v>68</v>
      </c>
      <c r="D1502" s="3" t="s">
        <v>133</v>
      </c>
      <c r="E1502" s="3" t="s">
        <v>134</v>
      </c>
      <c r="F1502" s="3" t="s">
        <v>33</v>
      </c>
      <c r="G1502" s="3" t="s">
        <v>42</v>
      </c>
      <c r="H1502" s="3" t="s">
        <v>3139</v>
      </c>
      <c r="I1502" s="3" t="n">
        <v>5</v>
      </c>
      <c r="J1502" s="3" t="n">
        <v>3</v>
      </c>
      <c r="K1502" s="3" t="n">
        <v>5</v>
      </c>
      <c r="L1502" s="3" t="n">
        <v>4</v>
      </c>
      <c r="M1502" s="3" t="n">
        <v>5</v>
      </c>
      <c r="N1502" s="3" t="n">
        <v>5</v>
      </c>
      <c r="O1502" s="6" t="b">
        <f aca="false">FALSE()</f>
        <v>0</v>
      </c>
      <c r="P1502" s="3"/>
      <c r="Q1502" s="5" t="n">
        <v>46288.5388888889</v>
      </c>
      <c r="R1502" s="5" t="n">
        <v>46288.8041666667</v>
      </c>
      <c r="S1502" s="3" t="s">
        <v>1699</v>
      </c>
      <c r="T1502" s="7" t="n">
        <f aca="false">ROUND(MIN(IF(OR(O1502=TRUE(),O1502="TRUE",O1502="Yes"),59,100),(I1502*Rubric!$C$2+J1502*Rubric!$C$3+K1502*Rubric!$C$4+L1502*Rubric!$C$5+M1502*Rubric!$C$6+N1502*Rubric!$C$7)/5),1)</f>
        <v>87</v>
      </c>
      <c r="U1502" s="8" t="str">
        <f aca="false">LOOKUP(T1502,Bands!$A$2:$A$6,Bands!$B$2:$B$6)</f>
        <v>Solid Performance</v>
      </c>
      <c r="V1502" s="8" t="n">
        <f aca="false">IF(Q1502="","",ROUND((Q1502-B1502)*24,1))</f>
        <v>0</v>
      </c>
    </row>
    <row r="1503" customFormat="false" ht="15" hidden="false" customHeight="false" outlineLevel="0" collapsed="false">
      <c r="A1503" s="3" t="s">
        <v>3140</v>
      </c>
      <c r="B1503" s="5" t="n">
        <v>46288.4027777778</v>
      </c>
      <c r="C1503" s="3" t="s">
        <v>30</v>
      </c>
      <c r="D1503" s="3" t="s">
        <v>31</v>
      </c>
      <c r="E1503" s="3" t="s">
        <v>32</v>
      </c>
      <c r="F1503" s="3" t="s">
        <v>33</v>
      </c>
      <c r="G1503" s="3" t="s">
        <v>42</v>
      </c>
      <c r="H1503" s="3" t="s">
        <v>3141</v>
      </c>
      <c r="I1503" s="3" t="n">
        <v>4</v>
      </c>
      <c r="J1503" s="3" t="n">
        <v>4</v>
      </c>
      <c r="K1503" s="3" t="n">
        <v>4</v>
      </c>
      <c r="L1503" s="3" t="n">
        <v>4</v>
      </c>
      <c r="M1503" s="3" t="n">
        <v>4</v>
      </c>
      <c r="N1503" s="3" t="n">
        <v>1</v>
      </c>
      <c r="O1503" s="6" t="b">
        <f aca="false">TRUE()</f>
        <v>1</v>
      </c>
      <c r="P1503" s="3" t="s">
        <v>36</v>
      </c>
      <c r="Q1503" s="5" t="n">
        <v>46288.4034722222</v>
      </c>
      <c r="R1503" s="5" t="n">
        <v>46289.0083333333</v>
      </c>
      <c r="S1503" s="3" t="s">
        <v>1699</v>
      </c>
      <c r="T1503" s="7" t="n">
        <f aca="false">ROUND(MIN(IF(OR(O1503=TRUE(),O1503="TRUE",O1503="Yes"),59,100),(I1503*Rubric!$C$2+J1503*Rubric!$C$3+K1503*Rubric!$C$4+L1503*Rubric!$C$5+M1503*Rubric!$C$6+N1503*Rubric!$C$7)/5),1)</f>
        <v>59</v>
      </c>
      <c r="U1503" s="8" t="str">
        <f aca="false">LOOKUP(T1503,Bands!$A$2:$A$6,Bands!$B$2:$B$6)</f>
        <v>Critical</v>
      </c>
      <c r="V1503" s="8" t="n">
        <f aca="false">IF(Q1503="","",ROUND((Q1503-B1503)*24,1))</f>
        <v>0</v>
      </c>
    </row>
    <row r="1504" customFormat="false" ht="15" hidden="false" customHeight="false" outlineLevel="0" collapsed="false">
      <c r="A1504" s="3" t="s">
        <v>3142</v>
      </c>
      <c r="B1504" s="5" t="n">
        <v>46288.4430555556</v>
      </c>
      <c r="C1504" s="3" t="s">
        <v>30</v>
      </c>
      <c r="D1504" s="3" t="s">
        <v>228</v>
      </c>
      <c r="E1504" s="3" t="s">
        <v>229</v>
      </c>
      <c r="F1504" s="3" t="s">
        <v>65</v>
      </c>
      <c r="G1504" s="3" t="s">
        <v>42</v>
      </c>
      <c r="H1504" s="3" t="s">
        <v>3143</v>
      </c>
      <c r="I1504" s="3" t="n">
        <v>3</v>
      </c>
      <c r="J1504" s="3" t="n">
        <v>3</v>
      </c>
      <c r="K1504" s="3" t="n">
        <v>3</v>
      </c>
      <c r="L1504" s="3" t="n">
        <v>3</v>
      </c>
      <c r="M1504" s="3" t="n">
        <v>3</v>
      </c>
      <c r="N1504" s="3" t="n">
        <v>5</v>
      </c>
      <c r="O1504" s="6" t="b">
        <f aca="false">FALSE()</f>
        <v>0</v>
      </c>
      <c r="P1504" s="3"/>
      <c r="Q1504" s="5" t="n">
        <v>46288.44375</v>
      </c>
      <c r="R1504" s="5" t="n">
        <v>46288.7833333333</v>
      </c>
      <c r="S1504" s="3" t="s">
        <v>1699</v>
      </c>
      <c r="T1504" s="7" t="n">
        <f aca="false">ROUND(MIN(IF(OR(O1504=TRUE(),O1504="TRUE",O1504="Yes"),59,100),(I1504*Rubric!$C$2+J1504*Rubric!$C$3+K1504*Rubric!$C$4+L1504*Rubric!$C$5+M1504*Rubric!$C$6+N1504*Rubric!$C$7)/5),1)</f>
        <v>66</v>
      </c>
      <c r="U1504" s="8" t="str">
        <f aca="false">LOOKUP(T1504,Bands!$A$2:$A$6,Bands!$B$2:$B$6)</f>
        <v>Needs Improvement</v>
      </c>
      <c r="V1504" s="8" t="n">
        <f aca="false">IF(Q1504="","",ROUND((Q1504-B1504)*24,1))</f>
        <v>0</v>
      </c>
    </row>
    <row r="1505" customFormat="false" ht="15" hidden="false" customHeight="false" outlineLevel="0" collapsed="false">
      <c r="A1505" s="3" t="s">
        <v>3144</v>
      </c>
      <c r="B1505" s="5" t="n">
        <v>46288.6736111111</v>
      </c>
      <c r="C1505" s="3" t="s">
        <v>30</v>
      </c>
      <c r="D1505" s="3" t="s">
        <v>90</v>
      </c>
      <c r="E1505" s="3" t="s">
        <v>91</v>
      </c>
      <c r="F1505" s="3" t="s">
        <v>65</v>
      </c>
      <c r="G1505" s="3" t="s">
        <v>42</v>
      </c>
      <c r="H1505" s="3" t="s">
        <v>3145</v>
      </c>
      <c r="I1505" s="3" t="n">
        <v>3</v>
      </c>
      <c r="J1505" s="3" t="n">
        <v>4</v>
      </c>
      <c r="K1505" s="3" t="n">
        <v>4</v>
      </c>
      <c r="L1505" s="3" t="n">
        <v>3</v>
      </c>
      <c r="M1505" s="3" t="n">
        <v>4</v>
      </c>
      <c r="N1505" s="3" t="n">
        <v>4</v>
      </c>
      <c r="O1505" s="6" t="b">
        <f aca="false">FALSE()</f>
        <v>0</v>
      </c>
      <c r="P1505" s="3"/>
      <c r="Q1505" s="5" t="n">
        <v>46288.6743055556</v>
      </c>
      <c r="R1505" s="5" t="n">
        <v>46288.7423611111</v>
      </c>
      <c r="S1505" s="3" t="s">
        <v>1699</v>
      </c>
      <c r="T1505" s="7" t="n">
        <f aca="false">ROUND(MIN(IF(OR(O1505=TRUE(),O1505="TRUE",O1505="Yes"),59,100),(I1505*Rubric!$C$2+J1505*Rubric!$C$3+K1505*Rubric!$C$4+L1505*Rubric!$C$5+M1505*Rubric!$C$6+N1505*Rubric!$C$7)/5),1)</f>
        <v>74</v>
      </c>
      <c r="U1505" s="8" t="str">
        <f aca="false">LOOKUP(T1505,Bands!$A$2:$A$6,Bands!$B$2:$B$6)</f>
        <v>Meets Expectations</v>
      </c>
      <c r="V1505" s="8" t="n">
        <f aca="false">IF(Q1505="","",ROUND((Q1505-B1505)*24,1))</f>
        <v>0</v>
      </c>
    </row>
    <row r="1506" customFormat="false" ht="15" hidden="false" customHeight="false" outlineLevel="0" collapsed="false">
      <c r="A1506" s="3" t="s">
        <v>3146</v>
      </c>
      <c r="B1506" s="5" t="n">
        <v>46288.5694444445</v>
      </c>
      <c r="C1506" s="3" t="s">
        <v>68</v>
      </c>
      <c r="D1506" s="3" t="s">
        <v>58</v>
      </c>
      <c r="E1506" s="3" t="s">
        <v>59</v>
      </c>
      <c r="F1506" s="3" t="s">
        <v>53</v>
      </c>
      <c r="G1506" s="3" t="s">
        <v>54</v>
      </c>
      <c r="H1506" s="3" t="s">
        <v>3147</v>
      </c>
      <c r="I1506" s="3" t="n">
        <v>4</v>
      </c>
      <c r="J1506" s="3" t="n">
        <v>4</v>
      </c>
      <c r="K1506" s="3" t="n">
        <v>4</v>
      </c>
      <c r="L1506" s="3" t="n">
        <v>2</v>
      </c>
      <c r="M1506" s="3" t="n">
        <v>3</v>
      </c>
      <c r="N1506" s="3" t="n">
        <v>3</v>
      </c>
      <c r="O1506" s="6" t="b">
        <f aca="false">FALSE()</f>
        <v>0</v>
      </c>
      <c r="P1506" s="3" t="s">
        <v>44</v>
      </c>
      <c r="Q1506" s="5" t="n">
        <v>46288.5701388889</v>
      </c>
      <c r="R1506" s="5" t="n">
        <v>46288.5763888889</v>
      </c>
      <c r="S1506" s="3" t="s">
        <v>1699</v>
      </c>
      <c r="T1506" s="7" t="n">
        <f aca="false">ROUND(MIN(IF(OR(O1506=TRUE(),O1506="TRUE",O1506="Yes"),59,100),(I1506*Rubric!$C$2+J1506*Rubric!$C$3+K1506*Rubric!$C$4+L1506*Rubric!$C$5+M1506*Rubric!$C$6+N1506*Rubric!$C$7)/5),1)</f>
        <v>69</v>
      </c>
      <c r="U1506" s="8" t="str">
        <f aca="false">LOOKUP(T1506,Bands!$A$2:$A$6,Bands!$B$2:$B$6)</f>
        <v>Needs Improvement</v>
      </c>
      <c r="V1506" s="8" t="n">
        <f aca="false">IF(Q1506="","",ROUND((Q1506-B1506)*24,1))</f>
        <v>0</v>
      </c>
    </row>
    <row r="1507" customFormat="false" ht="15" hidden="false" customHeight="false" outlineLevel="0" collapsed="false">
      <c r="A1507" s="3" t="s">
        <v>3148</v>
      </c>
      <c r="B1507" s="5" t="n">
        <v>46288.6444444444</v>
      </c>
      <c r="C1507" s="3" t="s">
        <v>39</v>
      </c>
      <c r="D1507" s="3" t="s">
        <v>251</v>
      </c>
      <c r="E1507" s="3" t="s">
        <v>252</v>
      </c>
      <c r="F1507" s="3" t="s">
        <v>53</v>
      </c>
      <c r="G1507" s="3" t="s">
        <v>54</v>
      </c>
      <c r="H1507" s="3" t="s">
        <v>3149</v>
      </c>
      <c r="I1507" s="3" t="n">
        <v>4</v>
      </c>
      <c r="J1507" s="3" t="n">
        <v>3</v>
      </c>
      <c r="K1507" s="3" t="n">
        <v>4</v>
      </c>
      <c r="L1507" s="3" t="n">
        <v>5</v>
      </c>
      <c r="M1507" s="3" t="n">
        <v>4</v>
      </c>
      <c r="N1507" s="3" t="n">
        <v>4</v>
      </c>
      <c r="O1507" s="6" t="b">
        <f aca="false">FALSE()</f>
        <v>0</v>
      </c>
      <c r="P1507" s="3"/>
      <c r="Q1507" s="5" t="n">
        <v>46288.6458333333</v>
      </c>
      <c r="R1507" s="5" t="n">
        <v>46289.4451388889</v>
      </c>
      <c r="S1507" s="3" t="s">
        <v>1699</v>
      </c>
      <c r="T1507" s="7" t="n">
        <f aca="false">ROUND(MIN(IF(OR(O1507=TRUE(),O1507="TRUE",O1507="Yes"),59,100),(I1507*Rubric!$C$2+J1507*Rubric!$C$3+K1507*Rubric!$C$4+L1507*Rubric!$C$5+M1507*Rubric!$C$6+N1507*Rubric!$C$7)/5),1)</f>
        <v>78</v>
      </c>
      <c r="U1507" s="8" t="str">
        <f aca="false">LOOKUP(T1507,Bands!$A$2:$A$6,Bands!$B$2:$B$6)</f>
        <v>Meets Expectations</v>
      </c>
      <c r="V1507" s="8" t="n">
        <f aca="false">IF(Q1507="","",ROUND((Q1507-B1507)*24,1))</f>
        <v>0</v>
      </c>
    </row>
    <row r="1508" customFormat="false" ht="15" hidden="false" customHeight="false" outlineLevel="0" collapsed="false">
      <c r="A1508" s="3" t="s">
        <v>3150</v>
      </c>
      <c r="B1508" s="5" t="n">
        <v>46288.4916666667</v>
      </c>
      <c r="C1508" s="3" t="s">
        <v>68</v>
      </c>
      <c r="D1508" s="3" t="s">
        <v>194</v>
      </c>
      <c r="E1508" s="3" t="s">
        <v>195</v>
      </c>
      <c r="F1508" s="3" t="s">
        <v>53</v>
      </c>
      <c r="G1508" s="3" t="s">
        <v>54</v>
      </c>
      <c r="H1508" s="3" t="s">
        <v>3151</v>
      </c>
      <c r="I1508" s="3" t="n">
        <v>4</v>
      </c>
      <c r="J1508" s="3" t="n">
        <v>4</v>
      </c>
      <c r="K1508" s="3" t="n">
        <v>4</v>
      </c>
      <c r="L1508" s="3" t="n">
        <v>4</v>
      </c>
      <c r="M1508" s="3" t="n">
        <v>4</v>
      </c>
      <c r="N1508" s="3" t="n">
        <v>4</v>
      </c>
      <c r="O1508" s="6" t="b">
        <f aca="false">FALSE()</f>
        <v>0</v>
      </c>
      <c r="P1508" s="3"/>
      <c r="Q1508" s="5" t="n">
        <v>46288.4930555556</v>
      </c>
      <c r="R1508" s="5" t="n">
        <v>46288.7069444444</v>
      </c>
      <c r="S1508" s="3" t="s">
        <v>1699</v>
      </c>
      <c r="T1508" s="7" t="n">
        <f aca="false">ROUND(MIN(IF(OR(O1508=TRUE(),O1508="TRUE",O1508="Yes"),59,100),(I1508*Rubric!$C$2+J1508*Rubric!$C$3+K1508*Rubric!$C$4+L1508*Rubric!$C$5+M1508*Rubric!$C$6+N1508*Rubric!$C$7)/5),1)</f>
        <v>80</v>
      </c>
      <c r="U1508" s="8" t="str">
        <f aca="false">LOOKUP(T1508,Bands!$A$2:$A$6,Bands!$B$2:$B$6)</f>
        <v>Solid Performance</v>
      </c>
      <c r="V1508" s="8" t="n">
        <f aca="false">IF(Q1508="","",ROUND((Q1508-B1508)*24,1))</f>
        <v>0</v>
      </c>
    </row>
    <row r="1509" customFormat="false" ht="15" hidden="false" customHeight="false" outlineLevel="0" collapsed="false">
      <c r="A1509" s="3" t="s">
        <v>3152</v>
      </c>
      <c r="B1509" s="5" t="n">
        <v>46288.5909722222</v>
      </c>
      <c r="C1509" s="3" t="s">
        <v>30</v>
      </c>
      <c r="D1509" s="3" t="s">
        <v>486</v>
      </c>
      <c r="E1509" s="3" t="s">
        <v>487</v>
      </c>
      <c r="F1509" s="3" t="s">
        <v>65</v>
      </c>
      <c r="G1509" s="3" t="s">
        <v>54</v>
      </c>
      <c r="H1509" s="3" t="s">
        <v>3153</v>
      </c>
      <c r="I1509" s="3" t="n">
        <v>5</v>
      </c>
      <c r="J1509" s="3" t="n">
        <v>3</v>
      </c>
      <c r="K1509" s="3" t="n">
        <v>5</v>
      </c>
      <c r="L1509" s="3" t="n">
        <v>4</v>
      </c>
      <c r="M1509" s="3" t="n">
        <v>4</v>
      </c>
      <c r="N1509" s="3" t="n">
        <v>5</v>
      </c>
      <c r="O1509" s="6" t="b">
        <f aca="false">FALSE()</f>
        <v>0</v>
      </c>
      <c r="P1509" s="3"/>
      <c r="Q1509" s="5" t="n">
        <v>46288.5916666667</v>
      </c>
      <c r="R1509" s="5" t="n">
        <v>46288.8493055556</v>
      </c>
      <c r="S1509" s="3" t="s">
        <v>1699</v>
      </c>
      <c r="T1509" s="7" t="n">
        <f aca="false">ROUND(MIN(IF(OR(O1509=TRUE(),O1509="TRUE",O1509="Yes"),59,100),(I1509*Rubric!$C$2+J1509*Rubric!$C$3+K1509*Rubric!$C$4+L1509*Rubric!$C$5+M1509*Rubric!$C$6+N1509*Rubric!$C$7)/5),1)</f>
        <v>85</v>
      </c>
      <c r="U1509" s="8" t="str">
        <f aca="false">LOOKUP(T1509,Bands!$A$2:$A$6,Bands!$B$2:$B$6)</f>
        <v>Solid Performance</v>
      </c>
      <c r="V1509" s="8" t="n">
        <f aca="false">IF(Q1509="","",ROUND((Q1509-B1509)*24,1))</f>
        <v>0</v>
      </c>
    </row>
    <row r="1510" customFormat="false" ht="15" hidden="false" customHeight="false" outlineLevel="0" collapsed="false">
      <c r="A1510" s="3" t="s">
        <v>3154</v>
      </c>
      <c r="B1510" s="5" t="n">
        <v>46288.6833333333</v>
      </c>
      <c r="C1510" s="3" t="s">
        <v>39</v>
      </c>
      <c r="D1510" s="3" t="s">
        <v>265</v>
      </c>
      <c r="E1510" s="3" t="s">
        <v>266</v>
      </c>
      <c r="F1510" s="3" t="s">
        <v>33</v>
      </c>
      <c r="G1510" s="3" t="s">
        <v>54</v>
      </c>
      <c r="H1510" s="3" t="s">
        <v>3155</v>
      </c>
      <c r="I1510" s="3" t="n">
        <v>3</v>
      </c>
      <c r="J1510" s="3" t="n">
        <v>3</v>
      </c>
      <c r="K1510" s="3" t="n">
        <v>4</v>
      </c>
      <c r="L1510" s="3" t="n">
        <v>4</v>
      </c>
      <c r="M1510" s="3" t="n">
        <v>4</v>
      </c>
      <c r="N1510" s="3" t="n">
        <v>4</v>
      </c>
      <c r="O1510" s="6" t="b">
        <f aca="false">FALSE()</f>
        <v>0</v>
      </c>
      <c r="P1510" s="3"/>
      <c r="Q1510" s="5" t="n">
        <v>46288.6840277778</v>
      </c>
      <c r="R1510" s="5" t="n">
        <v>46288.7125</v>
      </c>
      <c r="S1510" s="3" t="s">
        <v>1699</v>
      </c>
      <c r="T1510" s="7" t="n">
        <f aca="false">ROUND(MIN(IF(OR(O1510=TRUE(),O1510="TRUE",O1510="Yes"),59,100),(I1510*Rubric!$C$2+J1510*Rubric!$C$3+K1510*Rubric!$C$4+L1510*Rubric!$C$5+M1510*Rubric!$C$6+N1510*Rubric!$C$7)/5),1)</f>
        <v>72</v>
      </c>
      <c r="U1510" s="8" t="str">
        <f aca="false">LOOKUP(T1510,Bands!$A$2:$A$6,Bands!$B$2:$B$6)</f>
        <v>Meets Expectations</v>
      </c>
      <c r="V1510" s="8" t="n">
        <f aca="false">IF(Q1510="","",ROUND((Q1510-B1510)*24,1))</f>
        <v>0</v>
      </c>
    </row>
    <row r="1511" customFormat="false" ht="15" hidden="false" customHeight="false" outlineLevel="0" collapsed="false">
      <c r="A1511" s="3" t="s">
        <v>3156</v>
      </c>
      <c r="B1511" s="5" t="n">
        <v>46288.5506944444</v>
      </c>
      <c r="C1511" s="3" t="s">
        <v>39</v>
      </c>
      <c r="D1511" s="3" t="s">
        <v>100</v>
      </c>
      <c r="E1511" s="3" t="s">
        <v>101</v>
      </c>
      <c r="F1511" s="3" t="s">
        <v>33</v>
      </c>
      <c r="G1511" s="3" t="s">
        <v>42</v>
      </c>
      <c r="H1511" s="3" t="s">
        <v>3157</v>
      </c>
      <c r="I1511" s="3" t="n">
        <v>3</v>
      </c>
      <c r="J1511" s="3" t="n">
        <v>5</v>
      </c>
      <c r="K1511" s="3" t="n">
        <v>5</v>
      </c>
      <c r="L1511" s="3" t="n">
        <v>4</v>
      </c>
      <c r="M1511" s="3" t="n">
        <v>4</v>
      </c>
      <c r="N1511" s="3" t="n">
        <v>4</v>
      </c>
      <c r="O1511" s="6" t="b">
        <f aca="false">FALSE()</f>
        <v>0</v>
      </c>
      <c r="P1511" s="3"/>
      <c r="Q1511" s="5" t="n">
        <v>46288.5527777778</v>
      </c>
      <c r="R1511" s="5" t="n">
        <v>46288.6604166667</v>
      </c>
      <c r="S1511" s="3" t="s">
        <v>1699</v>
      </c>
      <c r="T1511" s="7" t="n">
        <f aca="false">ROUND(MIN(IF(OR(O1511=TRUE(),O1511="TRUE",O1511="Yes"),59,100),(I1511*Rubric!$C$2+J1511*Rubric!$C$3+K1511*Rubric!$C$4+L1511*Rubric!$C$5+M1511*Rubric!$C$6+N1511*Rubric!$C$7)/5),1)</f>
        <v>86</v>
      </c>
      <c r="U1511" s="8" t="str">
        <f aca="false">LOOKUP(T1511,Bands!$A$2:$A$6,Bands!$B$2:$B$6)</f>
        <v>Solid Performance</v>
      </c>
      <c r="V1511" s="8" t="n">
        <f aca="false">IF(Q1511="","",ROUND((Q1511-B1511)*24,1))</f>
        <v>0.1</v>
      </c>
    </row>
    <row r="1512" customFormat="false" ht="15" hidden="false" customHeight="false" outlineLevel="0" collapsed="false">
      <c r="A1512" s="3" t="s">
        <v>3158</v>
      </c>
      <c r="B1512" s="5" t="n">
        <v>46288.4256944444</v>
      </c>
      <c r="C1512" s="3" t="s">
        <v>39</v>
      </c>
      <c r="D1512" s="3" t="s">
        <v>96</v>
      </c>
      <c r="E1512" s="3" t="s">
        <v>97</v>
      </c>
      <c r="F1512" s="3" t="s">
        <v>33</v>
      </c>
      <c r="G1512" s="3" t="s">
        <v>34</v>
      </c>
      <c r="H1512" s="3" t="s">
        <v>3159</v>
      </c>
      <c r="I1512" s="3" t="n">
        <v>4</v>
      </c>
      <c r="J1512" s="3" t="n">
        <v>3</v>
      </c>
      <c r="K1512" s="3" t="n">
        <v>5</v>
      </c>
      <c r="L1512" s="3" t="n">
        <v>5</v>
      </c>
      <c r="M1512" s="3" t="n">
        <v>4</v>
      </c>
      <c r="N1512" s="3" t="n">
        <v>5</v>
      </c>
      <c r="O1512" s="6" t="b">
        <f aca="false">FALSE()</f>
        <v>0</v>
      </c>
      <c r="P1512" s="3"/>
      <c r="Q1512" s="5" t="n">
        <v>46288.4263888889</v>
      </c>
      <c r="R1512" s="5" t="n">
        <v>46288.8597222222</v>
      </c>
      <c r="S1512" s="3" t="s">
        <v>1699</v>
      </c>
      <c r="T1512" s="7" t="n">
        <f aca="false">ROUND(MIN(IF(OR(O1512=TRUE(),O1512="TRUE",O1512="Yes"),59,100),(I1512*Rubric!$C$2+J1512*Rubric!$C$3+K1512*Rubric!$C$4+L1512*Rubric!$C$5+M1512*Rubric!$C$6+N1512*Rubric!$C$7)/5),1)</f>
        <v>85</v>
      </c>
      <c r="U1512" s="8" t="str">
        <f aca="false">LOOKUP(T1512,Bands!$A$2:$A$6,Bands!$B$2:$B$6)</f>
        <v>Solid Performance</v>
      </c>
      <c r="V1512" s="8" t="n">
        <f aca="false">IF(Q1512="","",ROUND((Q1512-B1512)*24,1))</f>
        <v>0</v>
      </c>
    </row>
    <row r="1513" customFormat="false" ht="15" hidden="false" customHeight="false" outlineLevel="0" collapsed="false">
      <c r="A1513" s="3" t="s">
        <v>3160</v>
      </c>
      <c r="B1513" s="5" t="n">
        <v>46288.6</v>
      </c>
      <c r="C1513" s="3" t="s">
        <v>30</v>
      </c>
      <c r="D1513" s="3" t="s">
        <v>238</v>
      </c>
      <c r="E1513" s="3" t="s">
        <v>239</v>
      </c>
      <c r="F1513" s="3" t="s">
        <v>33</v>
      </c>
      <c r="G1513" s="3" t="s">
        <v>42</v>
      </c>
      <c r="H1513" s="3" t="s">
        <v>3161</v>
      </c>
      <c r="I1513" s="3" t="n">
        <v>4</v>
      </c>
      <c r="J1513" s="3" t="n">
        <v>4</v>
      </c>
      <c r="K1513" s="3" t="n">
        <v>5</v>
      </c>
      <c r="L1513" s="3" t="n">
        <v>5</v>
      </c>
      <c r="M1513" s="3" t="n">
        <v>4</v>
      </c>
      <c r="N1513" s="3" t="n">
        <v>3</v>
      </c>
      <c r="O1513" s="6" t="b">
        <f aca="false">FALSE()</f>
        <v>0</v>
      </c>
      <c r="P1513" s="3"/>
      <c r="Q1513" s="5" t="n">
        <v>46288.6006944445</v>
      </c>
      <c r="R1513" s="5" t="n">
        <v>46288.9979166667</v>
      </c>
      <c r="S1513" s="3" t="s">
        <v>1699</v>
      </c>
      <c r="T1513" s="7" t="n">
        <f aca="false">ROUND(MIN(IF(OR(O1513=TRUE(),O1513="TRUE",O1513="Yes"),59,100),(I1513*Rubric!$C$2+J1513*Rubric!$C$3+K1513*Rubric!$C$4+L1513*Rubric!$C$5+M1513*Rubric!$C$6+N1513*Rubric!$C$7)/5),1)</f>
        <v>84</v>
      </c>
      <c r="U1513" s="8" t="str">
        <f aca="false">LOOKUP(T1513,Bands!$A$2:$A$6,Bands!$B$2:$B$6)</f>
        <v>Solid Performance</v>
      </c>
      <c r="V1513" s="8" t="n">
        <f aca="false">IF(Q1513="","",ROUND((Q1513-B1513)*24,1))</f>
        <v>0</v>
      </c>
    </row>
    <row r="1514" customFormat="false" ht="15" hidden="false" customHeight="false" outlineLevel="0" collapsed="false">
      <c r="A1514" s="3" t="s">
        <v>3162</v>
      </c>
      <c r="B1514" s="5" t="n">
        <v>46289.4388888889</v>
      </c>
      <c r="C1514" s="3" t="s">
        <v>30</v>
      </c>
      <c r="D1514" s="3" t="s">
        <v>40</v>
      </c>
      <c r="E1514" s="3" t="s">
        <v>41</v>
      </c>
      <c r="F1514" s="3" t="s">
        <v>33</v>
      </c>
      <c r="G1514" s="3" t="s">
        <v>42</v>
      </c>
      <c r="H1514" s="3" t="s">
        <v>3163</v>
      </c>
      <c r="I1514" s="3" t="n">
        <v>4</v>
      </c>
      <c r="J1514" s="3" t="n">
        <v>4</v>
      </c>
      <c r="K1514" s="3" t="n">
        <v>4</v>
      </c>
      <c r="L1514" s="3" t="n">
        <v>5</v>
      </c>
      <c r="M1514" s="3" t="n">
        <v>4</v>
      </c>
      <c r="N1514" s="3" t="n">
        <v>4</v>
      </c>
      <c r="O1514" s="6" t="b">
        <f aca="false">FALSE()</f>
        <v>0</v>
      </c>
      <c r="P1514" s="3"/>
      <c r="Q1514" s="5" t="n">
        <v>46289.4395833333</v>
      </c>
      <c r="R1514" s="5" t="n">
        <v>46290.4451388889</v>
      </c>
      <c r="S1514" s="3" t="s">
        <v>1699</v>
      </c>
      <c r="T1514" s="7" t="n">
        <f aca="false">ROUND(MIN(IF(OR(O1514=TRUE(),O1514="TRUE",O1514="Yes"),59,100),(I1514*Rubric!$C$2+J1514*Rubric!$C$3+K1514*Rubric!$C$4+L1514*Rubric!$C$5+M1514*Rubric!$C$6+N1514*Rubric!$C$7)/5),1)</f>
        <v>83</v>
      </c>
      <c r="U1514" s="8" t="str">
        <f aca="false">LOOKUP(T1514,Bands!$A$2:$A$6,Bands!$B$2:$B$6)</f>
        <v>Solid Performance</v>
      </c>
      <c r="V1514" s="8" t="n">
        <f aca="false">IF(Q1514="","",ROUND((Q1514-B1514)*24,1))</f>
        <v>0</v>
      </c>
    </row>
    <row r="1515" customFormat="false" ht="15" hidden="false" customHeight="false" outlineLevel="0" collapsed="false">
      <c r="A1515" s="3" t="s">
        <v>3164</v>
      </c>
      <c r="B1515" s="5" t="n">
        <v>46289.4993055556</v>
      </c>
      <c r="C1515" s="3" t="s">
        <v>39</v>
      </c>
      <c r="D1515" s="3" t="s">
        <v>155</v>
      </c>
      <c r="E1515" s="3" t="s">
        <v>156</v>
      </c>
      <c r="F1515" s="3" t="s">
        <v>65</v>
      </c>
      <c r="G1515" s="3" t="s">
        <v>34</v>
      </c>
      <c r="H1515" s="3" t="s">
        <v>3165</v>
      </c>
      <c r="I1515" s="3" t="n">
        <v>3</v>
      </c>
      <c r="J1515" s="3" t="n">
        <v>4</v>
      </c>
      <c r="K1515" s="3" t="n">
        <v>5</v>
      </c>
      <c r="L1515" s="3" t="n">
        <v>5</v>
      </c>
      <c r="M1515" s="3" t="n">
        <v>3</v>
      </c>
      <c r="N1515" s="3" t="n">
        <v>5</v>
      </c>
      <c r="O1515" s="6" t="b">
        <f aca="false">FALSE()</f>
        <v>0</v>
      </c>
      <c r="P1515" s="3"/>
      <c r="Q1515" s="5" t="n">
        <v>46289.5006944445</v>
      </c>
      <c r="R1515" s="5" t="n">
        <v>46289.5229166667</v>
      </c>
      <c r="S1515" s="3" t="s">
        <v>1699</v>
      </c>
      <c r="T1515" s="7" t="n">
        <f aca="false">ROUND(MIN(IF(OR(O1515=TRUE(),O1515="TRUE",O1515="Yes"),59,100),(I1515*Rubric!$C$2+J1515*Rubric!$C$3+K1515*Rubric!$C$4+L1515*Rubric!$C$5+M1515*Rubric!$C$6+N1515*Rubric!$C$7)/5),1)</f>
        <v>85</v>
      </c>
      <c r="U1515" s="8" t="str">
        <f aca="false">LOOKUP(T1515,Bands!$A$2:$A$6,Bands!$B$2:$B$6)</f>
        <v>Solid Performance</v>
      </c>
      <c r="V1515" s="8" t="n">
        <f aca="false">IF(Q1515="","",ROUND((Q1515-B1515)*24,1))</f>
        <v>0</v>
      </c>
    </row>
    <row r="1516" customFormat="false" ht="15" hidden="false" customHeight="false" outlineLevel="0" collapsed="false">
      <c r="A1516" s="3" t="s">
        <v>3166</v>
      </c>
      <c r="B1516" s="5" t="n">
        <v>46289.5708333333</v>
      </c>
      <c r="C1516" s="3" t="s">
        <v>39</v>
      </c>
      <c r="D1516" s="3" t="s">
        <v>96</v>
      </c>
      <c r="E1516" s="3" t="s">
        <v>97</v>
      </c>
      <c r="F1516" s="3" t="s">
        <v>33</v>
      </c>
      <c r="G1516" s="3" t="s">
        <v>54</v>
      </c>
      <c r="H1516" s="3" t="s">
        <v>3167</v>
      </c>
      <c r="I1516" s="3" t="n">
        <v>5</v>
      </c>
      <c r="J1516" s="3" t="n">
        <v>3</v>
      </c>
      <c r="K1516" s="3" t="n">
        <v>4</v>
      </c>
      <c r="L1516" s="3" t="n">
        <v>4</v>
      </c>
      <c r="M1516" s="3" t="n">
        <v>4</v>
      </c>
      <c r="N1516" s="3" t="n">
        <v>4</v>
      </c>
      <c r="O1516" s="6" t="b">
        <f aca="false">FALSE()</f>
        <v>0</v>
      </c>
      <c r="P1516" s="3"/>
      <c r="Q1516" s="5" t="n">
        <v>46289.5715277778</v>
      </c>
      <c r="R1516" s="5" t="n">
        <v>46289.6125</v>
      </c>
      <c r="S1516" s="3" t="s">
        <v>1699</v>
      </c>
      <c r="T1516" s="7" t="n">
        <f aca="false">ROUND(MIN(IF(OR(O1516=TRUE(),O1516="TRUE",O1516="Yes"),59,100),(I1516*Rubric!$C$2+J1516*Rubric!$C$3+K1516*Rubric!$C$4+L1516*Rubric!$C$5+M1516*Rubric!$C$6+N1516*Rubric!$C$7)/5),1)</f>
        <v>78</v>
      </c>
      <c r="U1516" s="8" t="str">
        <f aca="false">LOOKUP(T1516,Bands!$A$2:$A$6,Bands!$B$2:$B$6)</f>
        <v>Meets Expectations</v>
      </c>
      <c r="V1516" s="8" t="n">
        <f aca="false">IF(Q1516="","",ROUND((Q1516-B1516)*24,1))</f>
        <v>0</v>
      </c>
    </row>
    <row r="1517" customFormat="false" ht="15" hidden="false" customHeight="false" outlineLevel="0" collapsed="false">
      <c r="A1517" s="3" t="s">
        <v>3168</v>
      </c>
      <c r="B1517" s="5" t="n">
        <v>46289.6881944445</v>
      </c>
      <c r="C1517" s="3" t="s">
        <v>30</v>
      </c>
      <c r="D1517" s="3" t="s">
        <v>238</v>
      </c>
      <c r="E1517" s="3" t="s">
        <v>239</v>
      </c>
      <c r="F1517" s="3" t="s">
        <v>33</v>
      </c>
      <c r="G1517" s="3" t="s">
        <v>54</v>
      </c>
      <c r="H1517" s="3" t="s">
        <v>3169</v>
      </c>
      <c r="I1517" s="3" t="n">
        <v>3</v>
      </c>
      <c r="J1517" s="3" t="n">
        <v>5</v>
      </c>
      <c r="K1517" s="3" t="n">
        <v>4</v>
      </c>
      <c r="L1517" s="3" t="n">
        <v>4</v>
      </c>
      <c r="M1517" s="3" t="n">
        <v>3</v>
      </c>
      <c r="N1517" s="3" t="n">
        <v>4</v>
      </c>
      <c r="O1517" s="6" t="b">
        <f aca="false">FALSE()</f>
        <v>0</v>
      </c>
      <c r="P1517" s="3"/>
      <c r="Q1517" s="5" t="n">
        <v>46289.6888888889</v>
      </c>
      <c r="R1517" s="5" t="n">
        <v>46289.8590277778</v>
      </c>
      <c r="S1517" s="3" t="s">
        <v>1699</v>
      </c>
      <c r="T1517" s="7" t="n">
        <f aca="false">ROUND(MIN(IF(OR(O1517=TRUE(),O1517="TRUE",O1517="Yes"),59,100),(I1517*Rubric!$C$2+J1517*Rubric!$C$3+K1517*Rubric!$C$4+L1517*Rubric!$C$5+M1517*Rubric!$C$6+N1517*Rubric!$C$7)/5),1)</f>
        <v>80</v>
      </c>
      <c r="U1517" s="8" t="str">
        <f aca="false">LOOKUP(T1517,Bands!$A$2:$A$6,Bands!$B$2:$B$6)</f>
        <v>Solid Performance</v>
      </c>
      <c r="V1517" s="8" t="n">
        <f aca="false">IF(Q1517="","",ROUND((Q1517-B1517)*24,1))</f>
        <v>0</v>
      </c>
    </row>
    <row r="1518" customFormat="false" ht="15" hidden="false" customHeight="false" outlineLevel="0" collapsed="false">
      <c r="A1518" s="3" t="s">
        <v>3170</v>
      </c>
      <c r="B1518" s="5" t="n">
        <v>46289.6527777778</v>
      </c>
      <c r="C1518" s="3" t="s">
        <v>30</v>
      </c>
      <c r="D1518" s="3" t="s">
        <v>145</v>
      </c>
      <c r="E1518" s="3" t="s">
        <v>146</v>
      </c>
      <c r="F1518" s="3" t="s">
        <v>33</v>
      </c>
      <c r="G1518" s="3" t="s">
        <v>34</v>
      </c>
      <c r="H1518" s="3" t="s">
        <v>3171</v>
      </c>
      <c r="I1518" s="3" t="n">
        <v>5</v>
      </c>
      <c r="J1518" s="3" t="n">
        <v>4</v>
      </c>
      <c r="K1518" s="3" t="n">
        <v>5</v>
      </c>
      <c r="L1518" s="3" t="n">
        <v>4</v>
      </c>
      <c r="M1518" s="3" t="n">
        <v>3</v>
      </c>
      <c r="N1518" s="3" t="n">
        <v>4</v>
      </c>
      <c r="O1518" s="6" t="b">
        <f aca="false">FALSE()</f>
        <v>0</v>
      </c>
      <c r="P1518" s="3"/>
      <c r="Q1518" s="5" t="n">
        <v>46289.6534722222</v>
      </c>
      <c r="R1518" s="5" t="n">
        <v>46290.5951388889</v>
      </c>
      <c r="S1518" s="3" t="s">
        <v>1699</v>
      </c>
      <c r="T1518" s="7" t="n">
        <f aca="false">ROUND(MIN(IF(OR(O1518=TRUE(),O1518="TRUE",O1518="Yes"),59,100),(I1518*Rubric!$C$2+J1518*Rubric!$C$3+K1518*Rubric!$C$4+L1518*Rubric!$C$5+M1518*Rubric!$C$6+N1518*Rubric!$C$7)/5),1)</f>
        <v>85</v>
      </c>
      <c r="U1518" s="8" t="str">
        <f aca="false">LOOKUP(T1518,Bands!$A$2:$A$6,Bands!$B$2:$B$6)</f>
        <v>Solid Performance</v>
      </c>
      <c r="V1518" s="8" t="n">
        <f aca="false">IF(Q1518="","",ROUND((Q1518-B1518)*24,1))</f>
        <v>0</v>
      </c>
    </row>
    <row r="1519" customFormat="false" ht="15" hidden="false" customHeight="false" outlineLevel="0" collapsed="false">
      <c r="A1519" s="3" t="s">
        <v>3172</v>
      </c>
      <c r="B1519" s="5" t="n">
        <v>46289.6340277778</v>
      </c>
      <c r="C1519" s="3" t="s">
        <v>68</v>
      </c>
      <c r="D1519" s="3" t="s">
        <v>115</v>
      </c>
      <c r="E1519" s="3" t="s">
        <v>116</v>
      </c>
      <c r="F1519" s="3" t="s">
        <v>33</v>
      </c>
      <c r="G1519" s="3" t="s">
        <v>42</v>
      </c>
      <c r="H1519" s="3" t="s">
        <v>3173</v>
      </c>
      <c r="I1519" s="3" t="n">
        <v>4</v>
      </c>
      <c r="J1519" s="3" t="n">
        <v>4</v>
      </c>
      <c r="K1519" s="3" t="n">
        <v>4</v>
      </c>
      <c r="L1519" s="3" t="n">
        <v>4</v>
      </c>
      <c r="M1519" s="3" t="n">
        <v>4</v>
      </c>
      <c r="N1519" s="3" t="n">
        <v>3</v>
      </c>
      <c r="O1519" s="6" t="b">
        <f aca="false">FALSE()</f>
        <v>0</v>
      </c>
      <c r="P1519" s="3"/>
      <c r="Q1519" s="5" t="n">
        <v>46289.6354166667</v>
      </c>
      <c r="R1519" s="5" t="n">
        <v>46289.6868055556</v>
      </c>
      <c r="S1519" s="3" t="s">
        <v>1699</v>
      </c>
      <c r="T1519" s="7" t="n">
        <f aca="false">ROUND(MIN(IF(OR(O1519=TRUE(),O1519="TRUE",O1519="Yes"),59,100),(I1519*Rubric!$C$2+J1519*Rubric!$C$3+K1519*Rubric!$C$4+L1519*Rubric!$C$5+M1519*Rubric!$C$6+N1519*Rubric!$C$7)/5),1)</f>
        <v>77</v>
      </c>
      <c r="U1519" s="8" t="str">
        <f aca="false">LOOKUP(T1519,Bands!$A$2:$A$6,Bands!$B$2:$B$6)</f>
        <v>Meets Expectations</v>
      </c>
      <c r="V1519" s="8" t="n">
        <f aca="false">IF(Q1519="","",ROUND((Q1519-B1519)*24,1))</f>
        <v>0</v>
      </c>
    </row>
    <row r="1520" customFormat="false" ht="15" hidden="false" customHeight="false" outlineLevel="0" collapsed="false">
      <c r="A1520" s="3" t="s">
        <v>3174</v>
      </c>
      <c r="B1520" s="5" t="n">
        <v>46289.5520833333</v>
      </c>
      <c r="C1520" s="3" t="s">
        <v>39</v>
      </c>
      <c r="D1520" s="3" t="s">
        <v>69</v>
      </c>
      <c r="E1520" s="3" t="s">
        <v>70</v>
      </c>
      <c r="F1520" s="3" t="s">
        <v>65</v>
      </c>
      <c r="G1520" s="3" t="s">
        <v>42</v>
      </c>
      <c r="H1520" s="3" t="s">
        <v>3175</v>
      </c>
      <c r="I1520" s="3" t="n">
        <v>4</v>
      </c>
      <c r="J1520" s="3" t="n">
        <v>4</v>
      </c>
      <c r="K1520" s="3" t="n">
        <v>5</v>
      </c>
      <c r="L1520" s="3" t="n">
        <v>4</v>
      </c>
      <c r="M1520" s="3" t="n">
        <v>4</v>
      </c>
      <c r="N1520" s="3" t="n">
        <v>5</v>
      </c>
      <c r="O1520" s="6" t="b">
        <f aca="false">FALSE()</f>
        <v>0</v>
      </c>
      <c r="P1520" s="3"/>
      <c r="Q1520" s="5" t="n">
        <v>46289.5534722222</v>
      </c>
      <c r="R1520" s="5" t="n">
        <v>46289.8548611111</v>
      </c>
      <c r="S1520" s="3" t="s">
        <v>1699</v>
      </c>
      <c r="T1520" s="7" t="n">
        <f aca="false">ROUND(MIN(IF(OR(O1520=TRUE(),O1520="TRUE",O1520="Yes"),59,100),(I1520*Rubric!$C$2+J1520*Rubric!$C$3+K1520*Rubric!$C$4+L1520*Rubric!$C$5+M1520*Rubric!$C$6+N1520*Rubric!$C$7)/5),1)</f>
        <v>87</v>
      </c>
      <c r="U1520" s="8" t="str">
        <f aca="false">LOOKUP(T1520,Bands!$A$2:$A$6,Bands!$B$2:$B$6)</f>
        <v>Solid Performance</v>
      </c>
      <c r="V1520" s="8" t="n">
        <f aca="false">IF(Q1520="","",ROUND((Q1520-B1520)*24,1))</f>
        <v>0</v>
      </c>
    </row>
    <row r="1521" customFormat="false" ht="15" hidden="false" customHeight="false" outlineLevel="0" collapsed="false">
      <c r="A1521" s="3" t="s">
        <v>3176</v>
      </c>
      <c r="B1521" s="5" t="n">
        <v>46289.5791666667</v>
      </c>
      <c r="C1521" s="3" t="s">
        <v>30</v>
      </c>
      <c r="D1521" s="3" t="s">
        <v>51</v>
      </c>
      <c r="E1521" s="3" t="s">
        <v>52</v>
      </c>
      <c r="F1521" s="3" t="s">
        <v>53</v>
      </c>
      <c r="G1521" s="3" t="s">
        <v>54</v>
      </c>
      <c r="H1521" s="3" t="s">
        <v>3177</v>
      </c>
      <c r="I1521" s="3" t="n">
        <v>5</v>
      </c>
      <c r="J1521" s="3" t="n">
        <v>5</v>
      </c>
      <c r="K1521" s="3" t="n">
        <v>4</v>
      </c>
      <c r="L1521" s="3" t="n">
        <v>5</v>
      </c>
      <c r="M1521" s="3" t="n">
        <v>4</v>
      </c>
      <c r="N1521" s="3" t="n">
        <v>4</v>
      </c>
      <c r="O1521" s="6" t="b">
        <f aca="false">FALSE()</f>
        <v>0</v>
      </c>
      <c r="P1521" s="3"/>
      <c r="Q1521" s="5" t="n">
        <v>46289.5805555556</v>
      </c>
      <c r="R1521" s="5" t="n">
        <v>46289.9506944444</v>
      </c>
      <c r="S1521" s="3" t="s">
        <v>1699</v>
      </c>
      <c r="T1521" s="7" t="n">
        <f aca="false">ROUND(MIN(IF(OR(O1521=TRUE(),O1521="TRUE",O1521="Yes"),59,100),(I1521*Rubric!$C$2+J1521*Rubric!$C$3+K1521*Rubric!$C$4+L1521*Rubric!$C$5+M1521*Rubric!$C$6+N1521*Rubric!$C$7)/5),1)</f>
        <v>91</v>
      </c>
      <c r="U1521" s="8" t="str">
        <f aca="false">LOOKUP(T1521,Bands!$A$2:$A$6,Bands!$B$2:$B$6)</f>
        <v>Outstanding</v>
      </c>
      <c r="V1521" s="8" t="n">
        <f aca="false">IF(Q1521="","",ROUND((Q1521-B1521)*24,1))</f>
        <v>0</v>
      </c>
    </row>
    <row r="1522" customFormat="false" ht="15" hidden="false" customHeight="false" outlineLevel="0" collapsed="false">
      <c r="A1522" s="3" t="s">
        <v>3178</v>
      </c>
      <c r="B1522" s="5" t="n">
        <v>46289.5652777778</v>
      </c>
      <c r="C1522" s="3" t="s">
        <v>30</v>
      </c>
      <c r="D1522" s="3" t="s">
        <v>58</v>
      </c>
      <c r="E1522" s="3" t="s">
        <v>59</v>
      </c>
      <c r="F1522" s="3" t="s">
        <v>53</v>
      </c>
      <c r="G1522" s="3" t="s">
        <v>54</v>
      </c>
      <c r="H1522" s="3" t="s">
        <v>3179</v>
      </c>
      <c r="I1522" s="3" t="n">
        <v>3</v>
      </c>
      <c r="J1522" s="3" t="n">
        <v>3</v>
      </c>
      <c r="K1522" s="3" t="n">
        <v>3</v>
      </c>
      <c r="L1522" s="3" t="n">
        <v>4</v>
      </c>
      <c r="M1522" s="3" t="n">
        <v>3</v>
      </c>
      <c r="N1522" s="3" t="n">
        <v>4</v>
      </c>
      <c r="O1522" s="6" t="b">
        <f aca="false">FALSE()</f>
        <v>0</v>
      </c>
      <c r="P1522" s="3"/>
      <c r="Q1522" s="5" t="n">
        <v>46289.5673611111</v>
      </c>
      <c r="R1522" s="5" t="n">
        <v>46289.8868055556</v>
      </c>
      <c r="S1522" s="3" t="s">
        <v>1699</v>
      </c>
      <c r="T1522" s="7" t="n">
        <f aca="false">ROUND(MIN(IF(OR(O1522=TRUE(),O1522="TRUE",O1522="Yes"),59,100),(I1522*Rubric!$C$2+J1522*Rubric!$C$3+K1522*Rubric!$C$4+L1522*Rubric!$C$5+M1522*Rubric!$C$6+N1522*Rubric!$C$7)/5),1)</f>
        <v>66</v>
      </c>
      <c r="U1522" s="8" t="str">
        <f aca="false">LOOKUP(T1522,Bands!$A$2:$A$6,Bands!$B$2:$B$6)</f>
        <v>Needs Improvement</v>
      </c>
      <c r="V1522" s="8" t="n">
        <f aca="false">IF(Q1522="","",ROUND((Q1522-B1522)*24,1))</f>
        <v>0</v>
      </c>
    </row>
    <row r="1523" customFormat="false" ht="15" hidden="false" customHeight="false" outlineLevel="0" collapsed="false">
      <c r="A1523" s="3" t="s">
        <v>3180</v>
      </c>
      <c r="B1523" s="5" t="n">
        <v>46289.4506944444</v>
      </c>
      <c r="C1523" s="3" t="s">
        <v>30</v>
      </c>
      <c r="D1523" s="3" t="s">
        <v>125</v>
      </c>
      <c r="E1523" s="3" t="s">
        <v>126</v>
      </c>
      <c r="F1523" s="3" t="s">
        <v>53</v>
      </c>
      <c r="G1523" s="3" t="s">
        <v>34</v>
      </c>
      <c r="H1523" s="3" t="s">
        <v>3181</v>
      </c>
      <c r="I1523" s="3" t="n">
        <v>4</v>
      </c>
      <c r="J1523" s="3" t="n">
        <v>4</v>
      </c>
      <c r="K1523" s="3" t="n">
        <v>5</v>
      </c>
      <c r="L1523" s="3" t="n">
        <v>4</v>
      </c>
      <c r="M1523" s="3" t="n">
        <v>5</v>
      </c>
      <c r="N1523" s="3" t="n">
        <v>4</v>
      </c>
      <c r="O1523" s="6" t="b">
        <f aca="false">FALSE()</f>
        <v>0</v>
      </c>
      <c r="P1523" s="3"/>
      <c r="Q1523" s="5" t="n">
        <v>46289.4513888889</v>
      </c>
      <c r="R1523" s="5" t="n">
        <v>46289.5194444444</v>
      </c>
      <c r="S1523" s="3" t="s">
        <v>1699</v>
      </c>
      <c r="T1523" s="7" t="n">
        <f aca="false">ROUND(MIN(IF(OR(O1523=TRUE(),O1523="TRUE",O1523="Yes"),59,100),(I1523*Rubric!$C$2+J1523*Rubric!$C$3+K1523*Rubric!$C$4+L1523*Rubric!$C$5+M1523*Rubric!$C$6+N1523*Rubric!$C$7)/5),1)</f>
        <v>86</v>
      </c>
      <c r="U1523" s="8" t="str">
        <f aca="false">LOOKUP(T1523,Bands!$A$2:$A$6,Bands!$B$2:$B$6)</f>
        <v>Solid Performance</v>
      </c>
      <c r="V1523" s="8" t="n">
        <f aca="false">IF(Q1523="","",ROUND((Q1523-B1523)*24,1))</f>
        <v>0</v>
      </c>
    </row>
    <row r="1524" customFormat="false" ht="15" hidden="false" customHeight="false" outlineLevel="0" collapsed="false">
      <c r="A1524" s="3" t="s">
        <v>3182</v>
      </c>
      <c r="B1524" s="5" t="n">
        <v>46289.3826388889</v>
      </c>
      <c r="C1524" s="3" t="s">
        <v>30</v>
      </c>
      <c r="D1524" s="3" t="s">
        <v>202</v>
      </c>
      <c r="E1524" s="3" t="s">
        <v>203</v>
      </c>
      <c r="F1524" s="3" t="s">
        <v>53</v>
      </c>
      <c r="G1524" s="3" t="s">
        <v>54</v>
      </c>
      <c r="H1524" s="3" t="s">
        <v>3183</v>
      </c>
      <c r="I1524" s="3" t="n">
        <v>4</v>
      </c>
      <c r="J1524" s="3" t="n">
        <v>4</v>
      </c>
      <c r="K1524" s="3" t="n">
        <v>4</v>
      </c>
      <c r="L1524" s="3" t="n">
        <v>4</v>
      </c>
      <c r="M1524" s="3" t="n">
        <v>4</v>
      </c>
      <c r="N1524" s="3" t="n">
        <v>4</v>
      </c>
      <c r="O1524" s="6" t="b">
        <f aca="false">FALSE()</f>
        <v>0</v>
      </c>
      <c r="P1524" s="3"/>
      <c r="Q1524" s="5" t="n">
        <v>46289.3833333333</v>
      </c>
      <c r="R1524" s="5" t="n">
        <v>46289.4909722222</v>
      </c>
      <c r="S1524" s="3" t="s">
        <v>1699</v>
      </c>
      <c r="T1524" s="7" t="n">
        <f aca="false">ROUND(MIN(IF(OR(O1524=TRUE(),O1524="TRUE",O1524="Yes"),59,100),(I1524*Rubric!$C$2+J1524*Rubric!$C$3+K1524*Rubric!$C$4+L1524*Rubric!$C$5+M1524*Rubric!$C$6+N1524*Rubric!$C$7)/5),1)</f>
        <v>80</v>
      </c>
      <c r="U1524" s="8" t="str">
        <f aca="false">LOOKUP(T1524,Bands!$A$2:$A$6,Bands!$B$2:$B$6)</f>
        <v>Solid Performance</v>
      </c>
      <c r="V1524" s="8" t="n">
        <f aca="false">IF(Q1524="","",ROUND((Q1524-B1524)*24,1))</f>
        <v>0</v>
      </c>
    </row>
    <row r="1525" customFormat="false" ht="15" hidden="false" customHeight="false" outlineLevel="0" collapsed="false">
      <c r="A1525" s="3" t="s">
        <v>3184</v>
      </c>
      <c r="B1525" s="5" t="n">
        <v>46289.5256944444</v>
      </c>
      <c r="C1525" s="3" t="s">
        <v>30</v>
      </c>
      <c r="D1525" s="3" t="s">
        <v>293</v>
      </c>
      <c r="E1525" s="3" t="s">
        <v>294</v>
      </c>
      <c r="F1525" s="3" t="s">
        <v>65</v>
      </c>
      <c r="G1525" s="3" t="s">
        <v>54</v>
      </c>
      <c r="H1525" s="3" t="s">
        <v>3185</v>
      </c>
      <c r="I1525" s="3" t="n">
        <v>4</v>
      </c>
      <c r="J1525" s="3" t="n">
        <v>4</v>
      </c>
      <c r="K1525" s="3" t="n">
        <v>5</v>
      </c>
      <c r="L1525" s="3" t="n">
        <v>4</v>
      </c>
      <c r="M1525" s="3" t="n">
        <v>5</v>
      </c>
      <c r="N1525" s="3" t="n">
        <v>5</v>
      </c>
      <c r="O1525" s="6" t="b">
        <f aca="false">FALSE()</f>
        <v>0</v>
      </c>
      <c r="P1525" s="3"/>
      <c r="Q1525" s="5" t="n">
        <v>46289.5263888889</v>
      </c>
      <c r="R1525" s="5" t="n">
        <v>46289.8597222222</v>
      </c>
      <c r="S1525" s="3" t="s">
        <v>1699</v>
      </c>
      <c r="T1525" s="7" t="n">
        <f aca="false">ROUND(MIN(IF(OR(O1525=TRUE(),O1525="TRUE",O1525="Yes"),59,100),(I1525*Rubric!$C$2+J1525*Rubric!$C$3+K1525*Rubric!$C$4+L1525*Rubric!$C$5+M1525*Rubric!$C$6+N1525*Rubric!$C$7)/5),1)</f>
        <v>89</v>
      </c>
      <c r="U1525" s="8" t="str">
        <f aca="false">LOOKUP(T1525,Bands!$A$2:$A$6,Bands!$B$2:$B$6)</f>
        <v>Solid Performance</v>
      </c>
      <c r="V1525" s="8" t="n">
        <f aca="false">IF(Q1525="","",ROUND((Q1525-B1525)*24,1))</f>
        <v>0</v>
      </c>
    </row>
    <row r="1526" customFormat="false" ht="15" hidden="false" customHeight="false" outlineLevel="0" collapsed="false">
      <c r="A1526" s="3" t="s">
        <v>3186</v>
      </c>
      <c r="B1526" s="5" t="n">
        <v>46290.4555555556</v>
      </c>
      <c r="C1526" s="3" t="s">
        <v>30</v>
      </c>
      <c r="D1526" s="3" t="s">
        <v>111</v>
      </c>
      <c r="E1526" s="3" t="s">
        <v>112</v>
      </c>
      <c r="F1526" s="3" t="s">
        <v>33</v>
      </c>
      <c r="G1526" s="3" t="s">
        <v>54</v>
      </c>
      <c r="H1526" s="3" t="s">
        <v>3187</v>
      </c>
      <c r="I1526" s="3" t="n">
        <v>4</v>
      </c>
      <c r="J1526" s="3" t="n">
        <v>5</v>
      </c>
      <c r="K1526" s="3" t="n">
        <v>4</v>
      </c>
      <c r="L1526" s="3" t="n">
        <v>5</v>
      </c>
      <c r="M1526" s="3" t="n">
        <v>4</v>
      </c>
      <c r="N1526" s="3" t="n">
        <v>4</v>
      </c>
      <c r="O1526" s="6" t="b">
        <f aca="false">FALSE()</f>
        <v>0</v>
      </c>
      <c r="P1526" s="3"/>
      <c r="Q1526" s="5" t="n">
        <v>46290.4569444444</v>
      </c>
      <c r="R1526" s="5" t="n">
        <v>46290.7076388889</v>
      </c>
      <c r="S1526" s="3" t="s">
        <v>1699</v>
      </c>
      <c r="T1526" s="7" t="n">
        <f aca="false">ROUND(MIN(IF(OR(O1526=TRUE(),O1526="TRUE",O1526="Yes"),59,100),(I1526*Rubric!$C$2+J1526*Rubric!$C$3+K1526*Rubric!$C$4+L1526*Rubric!$C$5+M1526*Rubric!$C$6+N1526*Rubric!$C$7)/5),1)</f>
        <v>88</v>
      </c>
      <c r="U1526" s="8" t="str">
        <f aca="false">LOOKUP(T1526,Bands!$A$2:$A$6,Bands!$B$2:$B$6)</f>
        <v>Solid Performance</v>
      </c>
      <c r="V1526" s="8" t="n">
        <f aca="false">IF(Q1526="","",ROUND((Q1526-B1526)*24,1))</f>
        <v>0</v>
      </c>
    </row>
    <row r="1527" customFormat="false" ht="15" hidden="false" customHeight="false" outlineLevel="0" collapsed="false">
      <c r="A1527" s="3" t="s">
        <v>3188</v>
      </c>
      <c r="B1527" s="5" t="n">
        <v>46290.4958333333</v>
      </c>
      <c r="C1527" s="3" t="s">
        <v>68</v>
      </c>
      <c r="D1527" s="3" t="s">
        <v>100</v>
      </c>
      <c r="E1527" s="3" t="s">
        <v>101</v>
      </c>
      <c r="F1527" s="3" t="s">
        <v>33</v>
      </c>
      <c r="G1527" s="3" t="s">
        <v>54</v>
      </c>
      <c r="H1527" s="3" t="s">
        <v>3189</v>
      </c>
      <c r="I1527" s="3" t="n">
        <v>4</v>
      </c>
      <c r="J1527" s="3" t="n">
        <v>4</v>
      </c>
      <c r="K1527" s="3" t="n">
        <v>5</v>
      </c>
      <c r="L1527" s="3" t="n">
        <v>4</v>
      </c>
      <c r="M1527" s="3" t="n">
        <v>3</v>
      </c>
      <c r="N1527" s="3" t="n">
        <v>5</v>
      </c>
      <c r="O1527" s="6" t="b">
        <f aca="false">FALSE()</f>
        <v>0</v>
      </c>
      <c r="P1527" s="3"/>
      <c r="Q1527" s="5" t="n">
        <v>46290.4979166667</v>
      </c>
      <c r="R1527" s="5" t="n">
        <v>46290.9569444444</v>
      </c>
      <c r="S1527" s="3" t="s">
        <v>1699</v>
      </c>
      <c r="T1527" s="7" t="n">
        <f aca="false">ROUND(MIN(IF(OR(O1527=TRUE(),O1527="TRUE",O1527="Yes"),59,100),(I1527*Rubric!$C$2+J1527*Rubric!$C$3+K1527*Rubric!$C$4+L1527*Rubric!$C$5+M1527*Rubric!$C$6+N1527*Rubric!$C$7)/5),1)</f>
        <v>85</v>
      </c>
      <c r="U1527" s="8" t="str">
        <f aca="false">LOOKUP(T1527,Bands!$A$2:$A$6,Bands!$B$2:$B$6)</f>
        <v>Solid Performance</v>
      </c>
      <c r="V1527" s="8" t="n">
        <f aca="false">IF(Q1527="","",ROUND((Q1527-B1527)*24,1))</f>
        <v>0.1</v>
      </c>
    </row>
    <row r="1528" customFormat="false" ht="15" hidden="false" customHeight="false" outlineLevel="0" collapsed="false">
      <c r="A1528" s="3" t="s">
        <v>3190</v>
      </c>
      <c r="B1528" s="5" t="n">
        <v>46290.6840277778</v>
      </c>
      <c r="C1528" s="3" t="s">
        <v>30</v>
      </c>
      <c r="D1528" s="3" t="s">
        <v>69</v>
      </c>
      <c r="E1528" s="3" t="s">
        <v>70</v>
      </c>
      <c r="F1528" s="3" t="s">
        <v>65</v>
      </c>
      <c r="G1528" s="3" t="s">
        <v>42</v>
      </c>
      <c r="H1528" s="3" t="s">
        <v>3191</v>
      </c>
      <c r="I1528" s="3" t="n">
        <v>4</v>
      </c>
      <c r="J1528" s="3" t="n">
        <v>4</v>
      </c>
      <c r="K1528" s="3" t="n">
        <v>4</v>
      </c>
      <c r="L1528" s="3" t="n">
        <v>4</v>
      </c>
      <c r="M1528" s="3" t="n">
        <v>4</v>
      </c>
      <c r="N1528" s="3" t="n">
        <v>3</v>
      </c>
      <c r="O1528" s="6" t="b">
        <f aca="false">FALSE()</f>
        <v>0</v>
      </c>
      <c r="P1528" s="3"/>
      <c r="Q1528" s="5" t="n">
        <v>46290.6847222222</v>
      </c>
      <c r="R1528" s="5" t="n">
        <v>46290.8944444444</v>
      </c>
      <c r="S1528" s="3" t="s">
        <v>1699</v>
      </c>
      <c r="T1528" s="7" t="n">
        <f aca="false">ROUND(MIN(IF(OR(O1528=TRUE(),O1528="TRUE",O1528="Yes"),59,100),(I1528*Rubric!$C$2+J1528*Rubric!$C$3+K1528*Rubric!$C$4+L1528*Rubric!$C$5+M1528*Rubric!$C$6+N1528*Rubric!$C$7)/5),1)</f>
        <v>77</v>
      </c>
      <c r="U1528" s="8" t="str">
        <f aca="false">LOOKUP(T1528,Bands!$A$2:$A$6,Bands!$B$2:$B$6)</f>
        <v>Meets Expectations</v>
      </c>
      <c r="V1528" s="8" t="n">
        <f aca="false">IF(Q1528="","",ROUND((Q1528-B1528)*24,1))</f>
        <v>0</v>
      </c>
    </row>
    <row r="1529" customFormat="false" ht="15" hidden="false" customHeight="false" outlineLevel="0" collapsed="false">
      <c r="A1529" s="3" t="s">
        <v>3192</v>
      </c>
      <c r="B1529" s="5" t="n">
        <v>46290.6576388889</v>
      </c>
      <c r="C1529" s="3" t="s">
        <v>30</v>
      </c>
      <c r="D1529" s="3" t="s">
        <v>77</v>
      </c>
      <c r="E1529" s="3" t="s">
        <v>78</v>
      </c>
      <c r="F1529" s="3" t="s">
        <v>33</v>
      </c>
      <c r="G1529" s="3" t="s">
        <v>42</v>
      </c>
      <c r="H1529" s="3" t="s">
        <v>3193</v>
      </c>
      <c r="I1529" s="3" t="n">
        <v>5</v>
      </c>
      <c r="J1529" s="3" t="n">
        <v>5</v>
      </c>
      <c r="K1529" s="3" t="n">
        <v>4</v>
      </c>
      <c r="L1529" s="3" t="n">
        <v>5</v>
      </c>
      <c r="M1529" s="3" t="n">
        <v>5</v>
      </c>
      <c r="N1529" s="3" t="n">
        <v>5</v>
      </c>
      <c r="O1529" s="6" t="b">
        <f aca="false">FALSE()</f>
        <v>0</v>
      </c>
      <c r="P1529" s="3"/>
      <c r="Q1529" s="5" t="n">
        <v>46290.6597222222</v>
      </c>
      <c r="R1529" s="5" t="n">
        <v>46290.7881944445</v>
      </c>
      <c r="S1529" s="3" t="s">
        <v>1699</v>
      </c>
      <c r="T1529" s="7" t="n">
        <f aca="false">ROUND(MIN(IF(OR(O1529=TRUE(),O1529="TRUE",O1529="Yes"),59,100),(I1529*Rubric!$C$2+J1529*Rubric!$C$3+K1529*Rubric!$C$4+L1529*Rubric!$C$5+M1529*Rubric!$C$6+N1529*Rubric!$C$7)/5),1)</f>
        <v>96</v>
      </c>
      <c r="U1529" s="8" t="str">
        <f aca="false">LOOKUP(T1529,Bands!$A$2:$A$6,Bands!$B$2:$B$6)</f>
        <v>Outstanding</v>
      </c>
      <c r="V1529" s="8" t="n">
        <f aca="false">IF(Q1529="","",ROUND((Q1529-B1529)*24,1))</f>
        <v>0</v>
      </c>
    </row>
    <row r="1530" customFormat="false" ht="15" hidden="false" customHeight="false" outlineLevel="0" collapsed="false">
      <c r="A1530" s="3" t="s">
        <v>3194</v>
      </c>
      <c r="B1530" s="5" t="n">
        <v>46290.4847222222</v>
      </c>
      <c r="C1530" s="3" t="s">
        <v>30</v>
      </c>
      <c r="D1530" s="3" t="s">
        <v>265</v>
      </c>
      <c r="E1530" s="3" t="s">
        <v>266</v>
      </c>
      <c r="F1530" s="3" t="s">
        <v>33</v>
      </c>
      <c r="G1530" s="3" t="s">
        <v>42</v>
      </c>
      <c r="H1530" s="3" t="s">
        <v>3195</v>
      </c>
      <c r="I1530" s="3" t="n">
        <v>4</v>
      </c>
      <c r="J1530" s="3" t="n">
        <v>2</v>
      </c>
      <c r="K1530" s="3" t="n">
        <v>3</v>
      </c>
      <c r="L1530" s="3" t="n">
        <v>4</v>
      </c>
      <c r="M1530" s="3" t="n">
        <v>3</v>
      </c>
      <c r="N1530" s="3" t="n">
        <v>4</v>
      </c>
      <c r="O1530" s="6" t="b">
        <f aca="false">FALSE()</f>
        <v>0</v>
      </c>
      <c r="P1530" s="3" t="s">
        <v>56</v>
      </c>
      <c r="Q1530" s="5" t="n">
        <v>46290.4868055556</v>
      </c>
      <c r="R1530" s="5" t="n">
        <v>46290.8701388889</v>
      </c>
      <c r="S1530" s="3" t="s">
        <v>1699</v>
      </c>
      <c r="T1530" s="7" t="n">
        <f aca="false">ROUND(MIN(IF(OR(O1530=TRUE(),O1530="TRUE",O1530="Yes"),59,100),(I1530*Rubric!$C$2+J1530*Rubric!$C$3+K1530*Rubric!$C$4+L1530*Rubric!$C$5+M1530*Rubric!$C$6+N1530*Rubric!$C$7)/5),1)</f>
        <v>64</v>
      </c>
      <c r="U1530" s="8" t="str">
        <f aca="false">LOOKUP(T1530,Bands!$A$2:$A$6,Bands!$B$2:$B$6)</f>
        <v>Needs Improvement</v>
      </c>
      <c r="V1530" s="8" t="n">
        <f aca="false">IF(Q1530="","",ROUND((Q1530-B1530)*24,1))</f>
        <v>0.1</v>
      </c>
    </row>
    <row r="1531" customFormat="false" ht="15" hidden="false" customHeight="false" outlineLevel="0" collapsed="false">
      <c r="A1531" s="3" t="s">
        <v>3196</v>
      </c>
      <c r="B1531" s="5" t="n">
        <v>46290.6715277778</v>
      </c>
      <c r="C1531" s="3" t="s">
        <v>39</v>
      </c>
      <c r="D1531" s="3" t="s">
        <v>194</v>
      </c>
      <c r="E1531" s="3" t="s">
        <v>195</v>
      </c>
      <c r="F1531" s="3" t="s">
        <v>53</v>
      </c>
      <c r="G1531" s="3" t="s">
        <v>54</v>
      </c>
      <c r="H1531" s="3" t="s">
        <v>3197</v>
      </c>
      <c r="I1531" s="3" t="n">
        <v>4</v>
      </c>
      <c r="J1531" s="3" t="n">
        <v>4</v>
      </c>
      <c r="K1531" s="3" t="n">
        <v>5</v>
      </c>
      <c r="L1531" s="3" t="n">
        <v>4</v>
      </c>
      <c r="M1531" s="3" t="n">
        <v>4</v>
      </c>
      <c r="N1531" s="3" t="n">
        <v>5</v>
      </c>
      <c r="O1531" s="6" t="b">
        <f aca="false">FALSE()</f>
        <v>0</v>
      </c>
      <c r="P1531" s="3"/>
      <c r="Q1531" s="5" t="n">
        <v>46290.6736111111</v>
      </c>
      <c r="R1531" s="5" t="n">
        <v>46291.0666666667</v>
      </c>
      <c r="S1531" s="3" t="s">
        <v>1699</v>
      </c>
      <c r="T1531" s="7" t="n">
        <f aca="false">ROUND(MIN(IF(OR(O1531=TRUE(),O1531="TRUE",O1531="Yes"),59,100),(I1531*Rubric!$C$2+J1531*Rubric!$C$3+K1531*Rubric!$C$4+L1531*Rubric!$C$5+M1531*Rubric!$C$6+N1531*Rubric!$C$7)/5),1)</f>
        <v>87</v>
      </c>
      <c r="U1531" s="8" t="str">
        <f aca="false">LOOKUP(T1531,Bands!$A$2:$A$6,Bands!$B$2:$B$6)</f>
        <v>Solid Performance</v>
      </c>
      <c r="V1531" s="8" t="n">
        <f aca="false">IF(Q1531="","",ROUND((Q1531-B1531)*24,1))</f>
        <v>0</v>
      </c>
    </row>
    <row r="1532" customFormat="false" ht="15" hidden="false" customHeight="false" outlineLevel="0" collapsed="false">
      <c r="A1532" s="3" t="s">
        <v>3198</v>
      </c>
      <c r="B1532" s="5" t="n">
        <v>46290.6277777778</v>
      </c>
      <c r="C1532" s="3" t="s">
        <v>39</v>
      </c>
      <c r="D1532" s="3" t="s">
        <v>96</v>
      </c>
      <c r="E1532" s="3" t="s">
        <v>97</v>
      </c>
      <c r="F1532" s="3" t="s">
        <v>33</v>
      </c>
      <c r="G1532" s="3" t="s">
        <v>42</v>
      </c>
      <c r="H1532" s="3" t="s">
        <v>3199</v>
      </c>
      <c r="I1532" s="3" t="n">
        <v>4</v>
      </c>
      <c r="J1532" s="3" t="n">
        <v>3</v>
      </c>
      <c r="K1532" s="3" t="n">
        <v>5</v>
      </c>
      <c r="L1532" s="3" t="n">
        <v>4</v>
      </c>
      <c r="M1532" s="3" t="n">
        <v>5</v>
      </c>
      <c r="N1532" s="3" t="n">
        <v>5</v>
      </c>
      <c r="O1532" s="6" t="b">
        <f aca="false">FALSE()</f>
        <v>0</v>
      </c>
      <c r="P1532" s="3"/>
      <c r="Q1532" s="5" t="n">
        <v>46290.6291666667</v>
      </c>
      <c r="R1532" s="5" t="n">
        <v>46290.6423611111</v>
      </c>
      <c r="S1532" s="3" t="s">
        <v>1699</v>
      </c>
      <c r="T1532" s="7" t="n">
        <f aca="false">ROUND(MIN(IF(OR(O1532=TRUE(),O1532="TRUE",O1532="Yes"),59,100),(I1532*Rubric!$C$2+J1532*Rubric!$C$3+K1532*Rubric!$C$4+L1532*Rubric!$C$5+M1532*Rubric!$C$6+N1532*Rubric!$C$7)/5),1)</f>
        <v>84</v>
      </c>
      <c r="U1532" s="8" t="str">
        <f aca="false">LOOKUP(T1532,Bands!$A$2:$A$6,Bands!$B$2:$B$6)</f>
        <v>Solid Performance</v>
      </c>
      <c r="V1532" s="8" t="n">
        <f aca="false">IF(Q1532="","",ROUND((Q1532-B1532)*24,1))</f>
        <v>0</v>
      </c>
    </row>
    <row r="1533" customFormat="false" ht="15" hidden="false" customHeight="false" outlineLevel="0" collapsed="false">
      <c r="A1533" s="3" t="s">
        <v>3200</v>
      </c>
      <c r="B1533" s="5" t="n">
        <v>46290.5604166667</v>
      </c>
      <c r="C1533" s="3" t="s">
        <v>39</v>
      </c>
      <c r="D1533" s="3" t="s">
        <v>161</v>
      </c>
      <c r="E1533" s="3" t="s">
        <v>162</v>
      </c>
      <c r="F1533" s="3" t="s">
        <v>33</v>
      </c>
      <c r="G1533" s="3" t="s">
        <v>34</v>
      </c>
      <c r="H1533" s="3" t="s">
        <v>3201</v>
      </c>
      <c r="I1533" s="3" t="n">
        <v>4</v>
      </c>
      <c r="J1533" s="3" t="n">
        <v>5</v>
      </c>
      <c r="K1533" s="3" t="n">
        <v>5</v>
      </c>
      <c r="L1533" s="3" t="n">
        <v>4</v>
      </c>
      <c r="M1533" s="3" t="n">
        <v>2</v>
      </c>
      <c r="N1533" s="3" t="n">
        <v>3</v>
      </c>
      <c r="O1533" s="6" t="b">
        <f aca="false">FALSE()</f>
        <v>0</v>
      </c>
      <c r="P1533" s="3" t="s">
        <v>103</v>
      </c>
      <c r="Q1533" s="5" t="n">
        <v>46290.5618055556</v>
      </c>
      <c r="R1533" s="5" t="n">
        <v>46290.5645833333</v>
      </c>
      <c r="S1533" s="3" t="s">
        <v>1699</v>
      </c>
      <c r="T1533" s="7" t="n">
        <f aca="false">ROUND(MIN(IF(OR(O1533=TRUE(),O1533="TRUE",O1533="Yes"),59,100),(I1533*Rubric!$C$2+J1533*Rubric!$C$3+K1533*Rubric!$C$4+L1533*Rubric!$C$5+M1533*Rubric!$C$6+N1533*Rubric!$C$7)/5),1)</f>
        <v>82</v>
      </c>
      <c r="U1533" s="8" t="str">
        <f aca="false">LOOKUP(T1533,Bands!$A$2:$A$6,Bands!$B$2:$B$6)</f>
        <v>Solid Performance</v>
      </c>
      <c r="V1533" s="8" t="n">
        <f aca="false">IF(Q1533="","",ROUND((Q1533-B1533)*24,1))</f>
        <v>0</v>
      </c>
    </row>
    <row r="1534" customFormat="false" ht="15" hidden="false" customHeight="false" outlineLevel="0" collapsed="false">
      <c r="A1534" s="3" t="s">
        <v>3202</v>
      </c>
      <c r="B1534" s="5" t="n">
        <v>46290.4673611111</v>
      </c>
      <c r="C1534" s="3" t="s">
        <v>39</v>
      </c>
      <c r="D1534" s="3" t="s">
        <v>46</v>
      </c>
      <c r="E1534" s="3" t="s">
        <v>47</v>
      </c>
      <c r="F1534" s="3" t="s">
        <v>33</v>
      </c>
      <c r="G1534" s="3" t="s">
        <v>34</v>
      </c>
      <c r="H1534" s="3" t="s">
        <v>3203</v>
      </c>
      <c r="I1534" s="3" t="n">
        <v>4</v>
      </c>
      <c r="J1534" s="3" t="n">
        <v>4</v>
      </c>
      <c r="K1534" s="3" t="n">
        <v>3</v>
      </c>
      <c r="L1534" s="3" t="n">
        <v>5</v>
      </c>
      <c r="M1534" s="3" t="n">
        <v>5</v>
      </c>
      <c r="N1534" s="3" t="n">
        <v>5</v>
      </c>
      <c r="O1534" s="6" t="b">
        <f aca="false">FALSE()</f>
        <v>0</v>
      </c>
      <c r="P1534" s="3"/>
      <c r="Q1534" s="5" t="n">
        <v>46290.46875</v>
      </c>
      <c r="R1534" s="5" t="n">
        <v>46290.7534722222</v>
      </c>
      <c r="S1534" s="3" t="s">
        <v>1699</v>
      </c>
      <c r="T1534" s="7" t="n">
        <f aca="false">ROUND(MIN(IF(OR(O1534=TRUE(),O1534="TRUE",O1534="Yes"),59,100),(I1534*Rubric!$C$2+J1534*Rubric!$C$3+K1534*Rubric!$C$4+L1534*Rubric!$C$5+M1534*Rubric!$C$6+N1534*Rubric!$C$7)/5),1)</f>
        <v>84</v>
      </c>
      <c r="U1534" s="8" t="str">
        <f aca="false">LOOKUP(T1534,Bands!$A$2:$A$6,Bands!$B$2:$B$6)</f>
        <v>Solid Performance</v>
      </c>
      <c r="V1534" s="8" t="n">
        <f aca="false">IF(Q1534="","",ROUND((Q1534-B1534)*24,1))</f>
        <v>0</v>
      </c>
    </row>
    <row r="1535" customFormat="false" ht="15" hidden="false" customHeight="false" outlineLevel="0" collapsed="false">
      <c r="A1535" s="3" t="s">
        <v>3204</v>
      </c>
      <c r="B1535" s="5" t="n">
        <v>46290.44375</v>
      </c>
      <c r="C1535" s="3" t="s">
        <v>30</v>
      </c>
      <c r="D1535" s="3" t="s">
        <v>155</v>
      </c>
      <c r="E1535" s="3" t="s">
        <v>156</v>
      </c>
      <c r="F1535" s="3" t="s">
        <v>65</v>
      </c>
      <c r="G1535" s="3" t="s">
        <v>42</v>
      </c>
      <c r="H1535" s="3" t="s">
        <v>3205</v>
      </c>
      <c r="I1535" s="3" t="n">
        <v>4</v>
      </c>
      <c r="J1535" s="3" t="n">
        <v>5</v>
      </c>
      <c r="K1535" s="3" t="n">
        <v>4</v>
      </c>
      <c r="L1535" s="3" t="n">
        <v>4</v>
      </c>
      <c r="M1535" s="3" t="n">
        <v>4</v>
      </c>
      <c r="N1535" s="3" t="n">
        <v>4</v>
      </c>
      <c r="O1535" s="6" t="b">
        <f aca="false">FALSE()</f>
        <v>0</v>
      </c>
      <c r="P1535" s="3"/>
      <c r="Q1535" s="5" t="n">
        <v>46290.4444444445</v>
      </c>
      <c r="R1535" s="5" t="n">
        <v>46291.1333333333</v>
      </c>
      <c r="S1535" s="3" t="s">
        <v>1699</v>
      </c>
      <c r="T1535" s="7" t="n">
        <f aca="false">ROUND(MIN(IF(OR(O1535=TRUE(),O1535="TRUE",O1535="Yes"),59,100),(I1535*Rubric!$C$2+J1535*Rubric!$C$3+K1535*Rubric!$C$4+L1535*Rubric!$C$5+M1535*Rubric!$C$6+N1535*Rubric!$C$7)/5),1)</f>
        <v>85</v>
      </c>
      <c r="U1535" s="8" t="str">
        <f aca="false">LOOKUP(T1535,Bands!$A$2:$A$6,Bands!$B$2:$B$6)</f>
        <v>Solid Performance</v>
      </c>
      <c r="V1535" s="8" t="n">
        <f aca="false">IF(Q1535="","",ROUND((Q1535-B1535)*24,1))</f>
        <v>0</v>
      </c>
    </row>
    <row r="1536" customFormat="false" ht="15" hidden="false" customHeight="false" outlineLevel="0" collapsed="false">
      <c r="A1536" s="3" t="s">
        <v>3206</v>
      </c>
      <c r="B1536" s="5" t="n">
        <v>46290.6034722222</v>
      </c>
      <c r="C1536" s="3" t="s">
        <v>39</v>
      </c>
      <c r="D1536" s="3" t="s">
        <v>145</v>
      </c>
      <c r="E1536" s="3" t="s">
        <v>146</v>
      </c>
      <c r="F1536" s="3" t="s">
        <v>33</v>
      </c>
      <c r="G1536" s="3" t="s">
        <v>54</v>
      </c>
      <c r="H1536" s="3" t="s">
        <v>3207</v>
      </c>
      <c r="I1536" s="3" t="n">
        <v>4</v>
      </c>
      <c r="J1536" s="3" t="n">
        <v>4</v>
      </c>
      <c r="K1536" s="3" t="n">
        <v>4</v>
      </c>
      <c r="L1536" s="3" t="n">
        <v>3</v>
      </c>
      <c r="M1536" s="3" t="n">
        <v>4</v>
      </c>
      <c r="N1536" s="3" t="n">
        <v>1</v>
      </c>
      <c r="O1536" s="6" t="b">
        <f aca="false">TRUE()</f>
        <v>1</v>
      </c>
      <c r="P1536" s="3" t="s">
        <v>36</v>
      </c>
      <c r="Q1536" s="5" t="n">
        <v>46290.6055555556</v>
      </c>
      <c r="R1536" s="5" t="n">
        <v>46290.8083333333</v>
      </c>
      <c r="S1536" s="3" t="s">
        <v>1699</v>
      </c>
      <c r="T1536" s="7" t="n">
        <f aca="false">ROUND(MIN(IF(OR(O1536=TRUE(),O1536="TRUE",O1536="Yes"),59,100),(I1536*Rubric!$C$2+J1536*Rubric!$C$3+K1536*Rubric!$C$4+L1536*Rubric!$C$5+M1536*Rubric!$C$6+N1536*Rubric!$C$7)/5),1)</f>
        <v>59</v>
      </c>
      <c r="U1536" s="8" t="str">
        <f aca="false">LOOKUP(T1536,Bands!$A$2:$A$6,Bands!$B$2:$B$6)</f>
        <v>Critical</v>
      </c>
      <c r="V1536" s="8" t="n">
        <f aca="false">IF(Q1536="","",ROUND((Q1536-B1536)*24,1))</f>
        <v>0.1</v>
      </c>
    </row>
    <row r="1537" customFormat="false" ht="15" hidden="false" customHeight="false" outlineLevel="0" collapsed="false">
      <c r="A1537" s="3" t="s">
        <v>3208</v>
      </c>
      <c r="B1537" s="5" t="n">
        <v>46290.4041666667</v>
      </c>
      <c r="C1537" s="3" t="s">
        <v>39</v>
      </c>
      <c r="D1537" s="3" t="s">
        <v>85</v>
      </c>
      <c r="E1537" s="3" t="s">
        <v>86</v>
      </c>
      <c r="F1537" s="3" t="s">
        <v>33</v>
      </c>
      <c r="G1537" s="3" t="s">
        <v>42</v>
      </c>
      <c r="H1537" s="3" t="s">
        <v>3209</v>
      </c>
      <c r="I1537" s="3" t="n">
        <v>3</v>
      </c>
      <c r="J1537" s="3" t="n">
        <v>4</v>
      </c>
      <c r="K1537" s="3" t="n">
        <v>4</v>
      </c>
      <c r="L1537" s="3" t="n">
        <v>5</v>
      </c>
      <c r="M1537" s="3" t="n">
        <v>4</v>
      </c>
      <c r="N1537" s="3" t="n">
        <v>4</v>
      </c>
      <c r="O1537" s="6" t="b">
        <f aca="false">FALSE()</f>
        <v>0</v>
      </c>
      <c r="P1537" s="3"/>
      <c r="Q1537" s="5" t="n">
        <v>46290.40625</v>
      </c>
      <c r="R1537" s="5" t="n">
        <v>46290.7388888889</v>
      </c>
      <c r="S1537" s="3" t="s">
        <v>1699</v>
      </c>
      <c r="T1537" s="7" t="n">
        <f aca="false">ROUND(MIN(IF(OR(O1537=TRUE(),O1537="TRUE",O1537="Yes"),59,100),(I1537*Rubric!$C$2+J1537*Rubric!$C$3+K1537*Rubric!$C$4+L1537*Rubric!$C$5+M1537*Rubric!$C$6+N1537*Rubric!$C$7)/5),1)</f>
        <v>80</v>
      </c>
      <c r="U1537" s="8" t="str">
        <f aca="false">LOOKUP(T1537,Bands!$A$2:$A$6,Bands!$B$2:$B$6)</f>
        <v>Solid Performance</v>
      </c>
      <c r="V1537" s="8" t="n">
        <f aca="false">IF(Q1537="","",ROUND((Q1537-B1537)*24,1))</f>
        <v>0</v>
      </c>
    </row>
    <row r="1538" customFormat="false" ht="15" hidden="false" customHeight="false" outlineLevel="0" collapsed="false">
      <c r="A1538" s="3" t="s">
        <v>3210</v>
      </c>
      <c r="B1538" s="5" t="n">
        <v>46293.5673611111</v>
      </c>
      <c r="C1538" s="3" t="s">
        <v>39</v>
      </c>
      <c r="D1538" s="3" t="s">
        <v>31</v>
      </c>
      <c r="E1538" s="3" t="s">
        <v>32</v>
      </c>
      <c r="F1538" s="3" t="s">
        <v>33</v>
      </c>
      <c r="G1538" s="3" t="s">
        <v>42</v>
      </c>
      <c r="H1538" s="3" t="s">
        <v>3211</v>
      </c>
      <c r="I1538" s="3" t="n">
        <v>4</v>
      </c>
      <c r="J1538" s="3" t="n">
        <v>4</v>
      </c>
      <c r="K1538" s="3" t="n">
        <v>4</v>
      </c>
      <c r="L1538" s="3" t="n">
        <v>4</v>
      </c>
      <c r="M1538" s="3" t="n">
        <v>4</v>
      </c>
      <c r="N1538" s="3" t="n">
        <v>5</v>
      </c>
      <c r="O1538" s="6" t="b">
        <f aca="false">FALSE()</f>
        <v>0</v>
      </c>
      <c r="P1538" s="3"/>
      <c r="Q1538" s="5" t="n">
        <v>46293.5680555556</v>
      </c>
      <c r="R1538" s="5" t="n">
        <v>46293.7180555556</v>
      </c>
      <c r="S1538" s="3" t="s">
        <v>1699</v>
      </c>
      <c r="T1538" s="7" t="n">
        <f aca="false">ROUND(MIN(IF(OR(O1538=TRUE(),O1538="TRUE",O1538="Yes"),59,100),(I1538*Rubric!$C$2+J1538*Rubric!$C$3+K1538*Rubric!$C$4+L1538*Rubric!$C$5+M1538*Rubric!$C$6+N1538*Rubric!$C$7)/5),1)</f>
        <v>83</v>
      </c>
      <c r="U1538" s="8" t="str">
        <f aca="false">LOOKUP(T1538,Bands!$A$2:$A$6,Bands!$B$2:$B$6)</f>
        <v>Solid Performance</v>
      </c>
      <c r="V1538" s="8" t="n">
        <f aca="false">IF(Q1538="","",ROUND((Q1538-B1538)*24,1))</f>
        <v>0</v>
      </c>
    </row>
    <row r="1539" customFormat="false" ht="15" hidden="false" customHeight="false" outlineLevel="0" collapsed="false">
      <c r="A1539" s="3" t="s">
        <v>3212</v>
      </c>
      <c r="B1539" s="5" t="n">
        <v>46293.5652777778</v>
      </c>
      <c r="C1539" s="3" t="s">
        <v>39</v>
      </c>
      <c r="D1539" s="3" t="s">
        <v>137</v>
      </c>
      <c r="E1539" s="3" t="s">
        <v>138</v>
      </c>
      <c r="F1539" s="3" t="s">
        <v>65</v>
      </c>
      <c r="G1539" s="3" t="s">
        <v>54</v>
      </c>
      <c r="H1539" s="3" t="s">
        <v>3213</v>
      </c>
      <c r="I1539" s="3" t="n">
        <v>4</v>
      </c>
      <c r="J1539" s="3" t="n">
        <v>4</v>
      </c>
      <c r="K1539" s="3" t="n">
        <v>5</v>
      </c>
      <c r="L1539" s="3" t="n">
        <v>5</v>
      </c>
      <c r="M1539" s="3" t="n">
        <v>5</v>
      </c>
      <c r="N1539" s="3" t="n">
        <v>5</v>
      </c>
      <c r="O1539" s="6" t="b">
        <f aca="false">FALSE()</f>
        <v>0</v>
      </c>
      <c r="P1539" s="3"/>
      <c r="Q1539" s="5" t="n">
        <v>46293.5659722222</v>
      </c>
      <c r="R1539" s="5" t="n">
        <v>46293.8222222222</v>
      </c>
      <c r="S1539" s="3" t="s">
        <v>1699</v>
      </c>
      <c r="T1539" s="7" t="n">
        <f aca="false">ROUND(MIN(IF(OR(O1539=TRUE(),O1539="TRUE",O1539="Yes"),59,100),(I1539*Rubric!$C$2+J1539*Rubric!$C$3+K1539*Rubric!$C$4+L1539*Rubric!$C$5+M1539*Rubric!$C$6+N1539*Rubric!$C$7)/5),1)</f>
        <v>92</v>
      </c>
      <c r="U1539" s="8" t="str">
        <f aca="false">LOOKUP(T1539,Bands!$A$2:$A$6,Bands!$B$2:$B$6)</f>
        <v>Outstanding</v>
      </c>
      <c r="V1539" s="8" t="n">
        <f aca="false">IF(Q1539="","",ROUND((Q1539-B1539)*24,1))</f>
        <v>0</v>
      </c>
    </row>
    <row r="1540" customFormat="false" ht="15" hidden="false" customHeight="false" outlineLevel="0" collapsed="false">
      <c r="A1540" s="3" t="s">
        <v>3214</v>
      </c>
      <c r="B1540" s="5" t="n">
        <v>46293.6090277778</v>
      </c>
      <c r="C1540" s="3" t="s">
        <v>30</v>
      </c>
      <c r="D1540" s="3" t="s">
        <v>167</v>
      </c>
      <c r="E1540" s="3" t="s">
        <v>168</v>
      </c>
      <c r="F1540" s="3" t="s">
        <v>33</v>
      </c>
      <c r="G1540" s="3" t="s">
        <v>42</v>
      </c>
      <c r="H1540" s="3" t="s">
        <v>3215</v>
      </c>
      <c r="I1540" s="3" t="n">
        <v>3</v>
      </c>
      <c r="J1540" s="3" t="n">
        <v>3</v>
      </c>
      <c r="K1540" s="3" t="n">
        <v>4</v>
      </c>
      <c r="L1540" s="3" t="n">
        <v>3</v>
      </c>
      <c r="M1540" s="3" t="n">
        <v>3</v>
      </c>
      <c r="N1540" s="3" t="n">
        <v>4</v>
      </c>
      <c r="O1540" s="6" t="b">
        <f aca="false">FALSE()</f>
        <v>0</v>
      </c>
      <c r="P1540" s="3"/>
      <c r="Q1540" s="5" t="n">
        <v>46293.6111111111</v>
      </c>
      <c r="R1540" s="5" t="n">
        <v>46293.6826388889</v>
      </c>
      <c r="S1540" s="3" t="s">
        <v>1699</v>
      </c>
      <c r="T1540" s="7" t="n">
        <f aca="false">ROUND(MIN(IF(OR(O1540=TRUE(),O1540="TRUE",O1540="Yes"),59,100),(I1540*Rubric!$C$2+J1540*Rubric!$C$3+K1540*Rubric!$C$4+L1540*Rubric!$C$5+M1540*Rubric!$C$6+N1540*Rubric!$C$7)/5),1)</f>
        <v>67</v>
      </c>
      <c r="U1540" s="8" t="str">
        <f aca="false">LOOKUP(T1540,Bands!$A$2:$A$6,Bands!$B$2:$B$6)</f>
        <v>Needs Improvement</v>
      </c>
      <c r="V1540" s="8" t="n">
        <f aca="false">IF(Q1540="","",ROUND((Q1540-B1540)*24,1))</f>
        <v>0</v>
      </c>
    </row>
    <row r="1541" customFormat="false" ht="15" hidden="false" customHeight="false" outlineLevel="0" collapsed="false">
      <c r="A1541" s="3" t="s">
        <v>3216</v>
      </c>
      <c r="B1541" s="5" t="n">
        <v>46293.5534722222</v>
      </c>
      <c r="C1541" s="3" t="s">
        <v>68</v>
      </c>
      <c r="D1541" s="3" t="s">
        <v>145</v>
      </c>
      <c r="E1541" s="3" t="s">
        <v>146</v>
      </c>
      <c r="F1541" s="3" t="s">
        <v>33</v>
      </c>
      <c r="G1541" s="3" t="s">
        <v>54</v>
      </c>
      <c r="H1541" s="3" t="s">
        <v>3217</v>
      </c>
      <c r="I1541" s="3" t="n">
        <v>4</v>
      </c>
      <c r="J1541" s="3" t="n">
        <v>3</v>
      </c>
      <c r="K1541" s="3" t="n">
        <v>4</v>
      </c>
      <c r="L1541" s="3" t="n">
        <v>5</v>
      </c>
      <c r="M1541" s="3" t="n">
        <v>4</v>
      </c>
      <c r="N1541" s="3" t="n">
        <v>4</v>
      </c>
      <c r="O1541" s="6" t="b">
        <f aca="false">FALSE()</f>
        <v>0</v>
      </c>
      <c r="P1541" s="3"/>
      <c r="Q1541" s="5" t="n">
        <v>46293.5548611111</v>
      </c>
      <c r="R1541" s="5" t="n">
        <v>46293.6729166667</v>
      </c>
      <c r="S1541" s="3" t="s">
        <v>1699</v>
      </c>
      <c r="T1541" s="7" t="n">
        <f aca="false">ROUND(MIN(IF(OR(O1541=TRUE(),O1541="TRUE",O1541="Yes"),59,100),(I1541*Rubric!$C$2+J1541*Rubric!$C$3+K1541*Rubric!$C$4+L1541*Rubric!$C$5+M1541*Rubric!$C$6+N1541*Rubric!$C$7)/5),1)</f>
        <v>78</v>
      </c>
      <c r="U1541" s="8" t="str">
        <f aca="false">LOOKUP(T1541,Bands!$A$2:$A$6,Bands!$B$2:$B$6)</f>
        <v>Meets Expectations</v>
      </c>
      <c r="V1541" s="8" t="n">
        <f aca="false">IF(Q1541="","",ROUND((Q1541-B1541)*24,1))</f>
        <v>0</v>
      </c>
    </row>
    <row r="1542" customFormat="false" ht="15" hidden="false" customHeight="false" outlineLevel="0" collapsed="false">
      <c r="A1542" s="3" t="s">
        <v>3218</v>
      </c>
      <c r="B1542" s="5" t="n">
        <v>46293.6291666667</v>
      </c>
      <c r="C1542" s="3" t="s">
        <v>68</v>
      </c>
      <c r="D1542" s="3" t="s">
        <v>90</v>
      </c>
      <c r="E1542" s="3" t="s">
        <v>91</v>
      </c>
      <c r="F1542" s="3" t="s">
        <v>65</v>
      </c>
      <c r="G1542" s="3" t="s">
        <v>42</v>
      </c>
      <c r="H1542" s="3" t="s">
        <v>3219</v>
      </c>
      <c r="I1542" s="3" t="n">
        <v>5</v>
      </c>
      <c r="J1542" s="3" t="n">
        <v>5</v>
      </c>
      <c r="K1542" s="3" t="n">
        <v>5</v>
      </c>
      <c r="L1542" s="3" t="n">
        <v>3</v>
      </c>
      <c r="M1542" s="3" t="n">
        <v>4</v>
      </c>
      <c r="N1542" s="3" t="n">
        <v>5</v>
      </c>
      <c r="O1542" s="6" t="b">
        <f aca="false">FALSE()</f>
        <v>0</v>
      </c>
      <c r="P1542" s="3"/>
      <c r="Q1542" s="5" t="n">
        <v>46293.63125</v>
      </c>
      <c r="R1542" s="5" t="n">
        <v>46294.2083333333</v>
      </c>
      <c r="S1542" s="3" t="s">
        <v>1699</v>
      </c>
      <c r="T1542" s="7" t="n">
        <f aca="false">ROUND(MIN(IF(OR(O1542=TRUE(),O1542="TRUE",O1542="Yes"),59,100),(I1542*Rubric!$C$2+J1542*Rubric!$C$3+K1542*Rubric!$C$4+L1542*Rubric!$C$5+M1542*Rubric!$C$6+N1542*Rubric!$C$7)/5),1)</f>
        <v>92</v>
      </c>
      <c r="U1542" s="8" t="str">
        <f aca="false">LOOKUP(T1542,Bands!$A$2:$A$6,Bands!$B$2:$B$6)</f>
        <v>Outstanding</v>
      </c>
      <c r="V1542" s="8" t="n">
        <f aca="false">IF(Q1542="","",ROUND((Q1542-B1542)*24,1))</f>
        <v>0</v>
      </c>
    </row>
    <row r="1543" customFormat="false" ht="15" hidden="false" customHeight="false" outlineLevel="0" collapsed="false">
      <c r="A1543" s="3" t="s">
        <v>3220</v>
      </c>
      <c r="B1543" s="5" t="n">
        <v>46293.4729166667</v>
      </c>
      <c r="C1543" s="3" t="s">
        <v>68</v>
      </c>
      <c r="D1543" s="3" t="s">
        <v>151</v>
      </c>
      <c r="E1543" s="3" t="s">
        <v>152</v>
      </c>
      <c r="F1543" s="3" t="s">
        <v>33</v>
      </c>
      <c r="G1543" s="3" t="s">
        <v>54</v>
      </c>
      <c r="H1543" s="3" t="s">
        <v>3221</v>
      </c>
      <c r="I1543" s="3" t="n">
        <v>5</v>
      </c>
      <c r="J1543" s="3" t="n">
        <v>4</v>
      </c>
      <c r="K1543" s="3" t="n">
        <v>5</v>
      </c>
      <c r="L1543" s="3" t="n">
        <v>5</v>
      </c>
      <c r="M1543" s="3" t="n">
        <v>4</v>
      </c>
      <c r="N1543" s="3" t="n">
        <v>4</v>
      </c>
      <c r="O1543" s="6" t="b">
        <f aca="false">FALSE()</f>
        <v>0</v>
      </c>
      <c r="P1543" s="3"/>
      <c r="Q1543" s="5" t="n">
        <v>46293.475</v>
      </c>
      <c r="R1543" s="5" t="n">
        <v>46293.5395833333</v>
      </c>
      <c r="S1543" s="3" t="s">
        <v>1699</v>
      </c>
      <c r="T1543" s="7" t="n">
        <f aca="false">ROUND(MIN(IF(OR(O1543=TRUE(),O1543="TRUE",O1543="Yes"),59,100),(I1543*Rubric!$C$2+J1543*Rubric!$C$3+K1543*Rubric!$C$4+L1543*Rubric!$C$5+M1543*Rubric!$C$6+N1543*Rubric!$C$7)/5),1)</f>
        <v>90</v>
      </c>
      <c r="U1543" s="8" t="str">
        <f aca="false">LOOKUP(T1543,Bands!$A$2:$A$6,Bands!$B$2:$B$6)</f>
        <v>Outstanding</v>
      </c>
      <c r="V1543" s="8" t="n">
        <f aca="false">IF(Q1543="","",ROUND((Q1543-B1543)*24,1))</f>
        <v>0</v>
      </c>
    </row>
    <row r="1544" customFormat="false" ht="15" hidden="false" customHeight="false" outlineLevel="0" collapsed="false">
      <c r="A1544" s="3" t="s">
        <v>3222</v>
      </c>
      <c r="B1544" s="5" t="n">
        <v>46293.6222222222</v>
      </c>
      <c r="C1544" s="3" t="s">
        <v>30</v>
      </c>
      <c r="D1544" s="3" t="s">
        <v>111</v>
      </c>
      <c r="E1544" s="3" t="s">
        <v>112</v>
      </c>
      <c r="F1544" s="3" t="s">
        <v>33</v>
      </c>
      <c r="G1544" s="3" t="s">
        <v>54</v>
      </c>
      <c r="H1544" s="3" t="s">
        <v>3223</v>
      </c>
      <c r="I1544" s="3" t="n">
        <v>3</v>
      </c>
      <c r="J1544" s="3" t="n">
        <v>4</v>
      </c>
      <c r="K1544" s="3" t="n">
        <v>4</v>
      </c>
      <c r="L1544" s="3" t="n">
        <v>4</v>
      </c>
      <c r="M1544" s="3" t="n">
        <v>5</v>
      </c>
      <c r="N1544" s="3" t="n">
        <v>5</v>
      </c>
      <c r="O1544" s="6" t="b">
        <f aca="false">FALSE()</f>
        <v>0</v>
      </c>
      <c r="P1544" s="3"/>
      <c r="Q1544" s="5" t="n">
        <v>46293.6236111111</v>
      </c>
      <c r="R1544" s="5" t="n">
        <v>46293.9486111111</v>
      </c>
      <c r="S1544" s="3" t="s">
        <v>1699</v>
      </c>
      <c r="T1544" s="7" t="n">
        <f aca="false">ROUND(MIN(IF(OR(O1544=TRUE(),O1544="TRUE",O1544="Yes"),59,100),(I1544*Rubric!$C$2+J1544*Rubric!$C$3+K1544*Rubric!$C$4+L1544*Rubric!$C$5+M1544*Rubric!$C$6+N1544*Rubric!$C$7)/5),1)</f>
        <v>82</v>
      </c>
      <c r="U1544" s="8" t="str">
        <f aca="false">LOOKUP(T1544,Bands!$A$2:$A$6,Bands!$B$2:$B$6)</f>
        <v>Solid Performance</v>
      </c>
      <c r="V1544" s="8" t="n">
        <f aca="false">IF(Q1544="","",ROUND((Q1544-B1544)*24,1))</f>
        <v>0</v>
      </c>
    </row>
    <row r="1545" customFormat="false" ht="15" hidden="false" customHeight="false" outlineLevel="0" collapsed="false">
      <c r="A1545" s="3" t="s">
        <v>3224</v>
      </c>
      <c r="B1545" s="5" t="n">
        <v>46293.6215277778</v>
      </c>
      <c r="C1545" s="3" t="s">
        <v>39</v>
      </c>
      <c r="D1545" s="3" t="s">
        <v>212</v>
      </c>
      <c r="E1545" s="3" t="s">
        <v>213</v>
      </c>
      <c r="F1545" s="3" t="s">
        <v>33</v>
      </c>
      <c r="G1545" s="3" t="s">
        <v>42</v>
      </c>
      <c r="H1545" s="3" t="s">
        <v>3225</v>
      </c>
      <c r="I1545" s="3" t="n">
        <v>4</v>
      </c>
      <c r="J1545" s="3" t="n">
        <v>3</v>
      </c>
      <c r="K1545" s="3" t="n">
        <v>3</v>
      </c>
      <c r="L1545" s="3" t="n">
        <v>3</v>
      </c>
      <c r="M1545" s="3" t="n">
        <v>3</v>
      </c>
      <c r="N1545" s="3" t="n">
        <v>4</v>
      </c>
      <c r="O1545" s="6" t="b">
        <f aca="false">FALSE()</f>
        <v>0</v>
      </c>
      <c r="P1545" s="3"/>
      <c r="Q1545" s="5" t="n">
        <v>46293.6222222222</v>
      </c>
      <c r="R1545" s="5" t="n">
        <v>46294.3236111111</v>
      </c>
      <c r="S1545" s="3" t="s">
        <v>1699</v>
      </c>
      <c r="T1545" s="7" t="n">
        <f aca="false">ROUND(MIN(IF(OR(O1545=TRUE(),O1545="TRUE",O1545="Yes"),59,100),(I1545*Rubric!$C$2+J1545*Rubric!$C$3+K1545*Rubric!$C$4+L1545*Rubric!$C$5+M1545*Rubric!$C$6+N1545*Rubric!$C$7)/5),1)</f>
        <v>66</v>
      </c>
      <c r="U1545" s="8" t="str">
        <f aca="false">LOOKUP(T1545,Bands!$A$2:$A$6,Bands!$B$2:$B$6)</f>
        <v>Needs Improvement</v>
      </c>
      <c r="V1545" s="8" t="n">
        <f aca="false">IF(Q1545="","",ROUND((Q1545-B1545)*24,1))</f>
        <v>0</v>
      </c>
    </row>
    <row r="1546" customFormat="false" ht="15" hidden="false" customHeight="false" outlineLevel="0" collapsed="false">
      <c r="A1546" s="3" t="s">
        <v>3226</v>
      </c>
      <c r="B1546" s="5" t="n">
        <v>46293.6069444444</v>
      </c>
      <c r="C1546" s="3" t="s">
        <v>39</v>
      </c>
      <c r="D1546" s="3" t="s">
        <v>259</v>
      </c>
      <c r="E1546" s="3" t="s">
        <v>260</v>
      </c>
      <c r="F1546" s="3" t="s">
        <v>33</v>
      </c>
      <c r="G1546" s="3" t="s">
        <v>42</v>
      </c>
      <c r="H1546" s="3" t="s">
        <v>3227</v>
      </c>
      <c r="I1546" s="3" t="n">
        <v>5</v>
      </c>
      <c r="J1546" s="3" t="n">
        <v>5</v>
      </c>
      <c r="K1546" s="3" t="n">
        <v>3</v>
      </c>
      <c r="L1546" s="3" t="n">
        <v>5</v>
      </c>
      <c r="M1546" s="3" t="n">
        <v>4</v>
      </c>
      <c r="N1546" s="3" t="n">
        <v>5</v>
      </c>
      <c r="O1546" s="6" t="b">
        <f aca="false">FALSE()</f>
        <v>0</v>
      </c>
      <c r="P1546" s="3"/>
      <c r="Q1546" s="5" t="n">
        <v>46293.6083333333</v>
      </c>
      <c r="R1546" s="5" t="n">
        <v>46293.7034722222</v>
      </c>
      <c r="S1546" s="3" t="s">
        <v>1699</v>
      </c>
      <c r="T1546" s="7" t="n">
        <f aca="false">ROUND(MIN(IF(OR(O1546=TRUE(),O1546="TRUE",O1546="Yes"),59,100),(I1546*Rubric!$C$2+J1546*Rubric!$C$3+K1546*Rubric!$C$4+L1546*Rubric!$C$5+M1546*Rubric!$C$6+N1546*Rubric!$C$7)/5),1)</f>
        <v>90</v>
      </c>
      <c r="U1546" s="8" t="str">
        <f aca="false">LOOKUP(T1546,Bands!$A$2:$A$6,Bands!$B$2:$B$6)</f>
        <v>Outstanding</v>
      </c>
      <c r="V1546" s="8" t="n">
        <f aca="false">IF(Q1546="","",ROUND((Q1546-B1546)*24,1))</f>
        <v>0</v>
      </c>
    </row>
    <row r="1547" customFormat="false" ht="15" hidden="false" customHeight="false" outlineLevel="0" collapsed="false">
      <c r="A1547" s="3" t="s">
        <v>3228</v>
      </c>
      <c r="B1547" s="5" t="n">
        <v>46293.5791666667</v>
      </c>
      <c r="C1547" s="3" t="s">
        <v>68</v>
      </c>
      <c r="D1547" s="3" t="s">
        <v>73</v>
      </c>
      <c r="E1547" s="3" t="s">
        <v>74</v>
      </c>
      <c r="F1547" s="3" t="s">
        <v>33</v>
      </c>
      <c r="G1547" s="3" t="s">
        <v>42</v>
      </c>
      <c r="H1547" s="3" t="s">
        <v>3229</v>
      </c>
      <c r="I1547" s="3" t="n">
        <v>4</v>
      </c>
      <c r="J1547" s="3" t="n">
        <v>5</v>
      </c>
      <c r="K1547" s="3" t="n">
        <v>4</v>
      </c>
      <c r="L1547" s="3" t="n">
        <v>4</v>
      </c>
      <c r="M1547" s="3" t="n">
        <v>4</v>
      </c>
      <c r="N1547" s="3" t="n">
        <v>4</v>
      </c>
      <c r="O1547" s="6" t="b">
        <f aca="false">FALSE()</f>
        <v>0</v>
      </c>
      <c r="P1547" s="3"/>
      <c r="Q1547" s="5" t="n">
        <v>46293.5798611111</v>
      </c>
      <c r="R1547" s="5" t="n">
        <v>46293.7166666667</v>
      </c>
      <c r="S1547" s="3" t="s">
        <v>1699</v>
      </c>
      <c r="T1547" s="7" t="n">
        <f aca="false">ROUND(MIN(IF(OR(O1547=TRUE(),O1547="TRUE",O1547="Yes"),59,100),(I1547*Rubric!$C$2+J1547*Rubric!$C$3+K1547*Rubric!$C$4+L1547*Rubric!$C$5+M1547*Rubric!$C$6+N1547*Rubric!$C$7)/5),1)</f>
        <v>85</v>
      </c>
      <c r="U1547" s="8" t="str">
        <f aca="false">LOOKUP(T1547,Bands!$A$2:$A$6,Bands!$B$2:$B$6)</f>
        <v>Solid Performance</v>
      </c>
      <c r="V1547" s="8" t="n">
        <f aca="false">IF(Q1547="","",ROUND((Q1547-B1547)*24,1))</f>
        <v>0</v>
      </c>
    </row>
    <row r="1548" customFormat="false" ht="15" hidden="false" customHeight="false" outlineLevel="0" collapsed="false">
      <c r="A1548" s="3" t="s">
        <v>3230</v>
      </c>
      <c r="B1548" s="5" t="n">
        <v>46293.6402777778</v>
      </c>
      <c r="C1548" s="3" t="s">
        <v>30</v>
      </c>
      <c r="D1548" s="3" t="s">
        <v>125</v>
      </c>
      <c r="E1548" s="3" t="s">
        <v>126</v>
      </c>
      <c r="F1548" s="3" t="s">
        <v>53</v>
      </c>
      <c r="G1548" s="3" t="s">
        <v>42</v>
      </c>
      <c r="H1548" s="3" t="s">
        <v>3231</v>
      </c>
      <c r="I1548" s="3" t="n">
        <v>4</v>
      </c>
      <c r="J1548" s="3" t="n">
        <v>5</v>
      </c>
      <c r="K1548" s="3" t="n">
        <v>4</v>
      </c>
      <c r="L1548" s="3" t="n">
        <v>4</v>
      </c>
      <c r="M1548" s="3" t="n">
        <v>3</v>
      </c>
      <c r="N1548" s="3" t="n">
        <v>4</v>
      </c>
      <c r="O1548" s="6" t="b">
        <f aca="false">FALSE()</f>
        <v>0</v>
      </c>
      <c r="P1548" s="3"/>
      <c r="Q1548" s="5" t="n">
        <v>46293.6409722222</v>
      </c>
      <c r="R1548" s="5" t="n">
        <v>46293.6868055556</v>
      </c>
      <c r="S1548" s="3" t="s">
        <v>1699</v>
      </c>
      <c r="T1548" s="7" t="n">
        <f aca="false">ROUND(MIN(IF(OR(O1548=TRUE(),O1548="TRUE",O1548="Yes"),59,100),(I1548*Rubric!$C$2+J1548*Rubric!$C$3+K1548*Rubric!$C$4+L1548*Rubric!$C$5+M1548*Rubric!$C$6+N1548*Rubric!$C$7)/5),1)</f>
        <v>83</v>
      </c>
      <c r="U1548" s="8" t="str">
        <f aca="false">LOOKUP(T1548,Bands!$A$2:$A$6,Bands!$B$2:$B$6)</f>
        <v>Solid Performance</v>
      </c>
      <c r="V1548" s="8" t="n">
        <f aca="false">IF(Q1548="","",ROUND((Q1548-B1548)*24,1))</f>
        <v>0</v>
      </c>
    </row>
    <row r="1549" customFormat="false" ht="15" hidden="false" customHeight="false" outlineLevel="0" collapsed="false">
      <c r="A1549" s="3" t="s">
        <v>3232</v>
      </c>
      <c r="B1549" s="5" t="n">
        <v>46293.3770833333</v>
      </c>
      <c r="C1549" s="3" t="s">
        <v>30</v>
      </c>
      <c r="D1549" s="3" t="s">
        <v>238</v>
      </c>
      <c r="E1549" s="3" t="s">
        <v>239</v>
      </c>
      <c r="F1549" s="3" t="s">
        <v>33</v>
      </c>
      <c r="G1549" s="3" t="s">
        <v>54</v>
      </c>
      <c r="H1549" s="3" t="s">
        <v>3233</v>
      </c>
      <c r="I1549" s="3" t="n">
        <v>4</v>
      </c>
      <c r="J1549" s="3" t="n">
        <v>4</v>
      </c>
      <c r="K1549" s="3" t="n">
        <v>4</v>
      </c>
      <c r="L1549" s="3" t="n">
        <v>4</v>
      </c>
      <c r="M1549" s="3" t="n">
        <v>4</v>
      </c>
      <c r="N1549" s="3" t="n">
        <v>3</v>
      </c>
      <c r="O1549" s="6" t="b">
        <f aca="false">FALSE()</f>
        <v>0</v>
      </c>
      <c r="P1549" s="3"/>
      <c r="Q1549" s="5" t="n">
        <v>46293.3777777778</v>
      </c>
      <c r="R1549" s="5" t="n">
        <v>46293.6138888889</v>
      </c>
      <c r="S1549" s="3" t="s">
        <v>1699</v>
      </c>
      <c r="T1549" s="7" t="n">
        <f aca="false">ROUND(MIN(IF(OR(O1549=TRUE(),O1549="TRUE",O1549="Yes"),59,100),(I1549*Rubric!$C$2+J1549*Rubric!$C$3+K1549*Rubric!$C$4+L1549*Rubric!$C$5+M1549*Rubric!$C$6+N1549*Rubric!$C$7)/5),1)</f>
        <v>77</v>
      </c>
      <c r="U1549" s="8" t="str">
        <f aca="false">LOOKUP(T1549,Bands!$A$2:$A$6,Bands!$B$2:$B$6)</f>
        <v>Meets Expectations</v>
      </c>
      <c r="V1549" s="8" t="n">
        <f aca="false">IF(Q1549="","",ROUND((Q1549-B1549)*24,1))</f>
        <v>0</v>
      </c>
    </row>
    <row r="1550" customFormat="false" ht="15" hidden="false" customHeight="false" outlineLevel="0" collapsed="false">
      <c r="A1550" s="3" t="s">
        <v>3234</v>
      </c>
      <c r="B1550" s="5" t="n">
        <v>46294.4638888889</v>
      </c>
      <c r="C1550" s="3" t="s">
        <v>39</v>
      </c>
      <c r="D1550" s="3" t="s">
        <v>58</v>
      </c>
      <c r="E1550" s="3" t="s">
        <v>59</v>
      </c>
      <c r="F1550" s="3" t="s">
        <v>53</v>
      </c>
      <c r="G1550" s="3" t="s">
        <v>54</v>
      </c>
      <c r="H1550" s="3" t="s">
        <v>3235</v>
      </c>
      <c r="I1550" s="3" t="n">
        <v>3</v>
      </c>
      <c r="J1550" s="3" t="n">
        <v>4</v>
      </c>
      <c r="K1550" s="3" t="n">
        <v>3</v>
      </c>
      <c r="L1550" s="3" t="n">
        <v>5</v>
      </c>
      <c r="M1550" s="3" t="n">
        <v>3</v>
      </c>
      <c r="N1550" s="3" t="n">
        <v>4</v>
      </c>
      <c r="O1550" s="6" t="b">
        <f aca="false">FALSE()</f>
        <v>0</v>
      </c>
      <c r="P1550" s="3"/>
      <c r="Q1550" s="5" t="n">
        <v>46294.4659722222</v>
      </c>
      <c r="R1550" s="5" t="n">
        <v>46294.63125</v>
      </c>
      <c r="S1550" s="3" t="s">
        <v>1699</v>
      </c>
      <c r="T1550" s="7" t="n">
        <f aca="false">ROUND(MIN(IF(OR(O1550=TRUE(),O1550="TRUE",O1550="Yes"),59,100),(I1550*Rubric!$C$2+J1550*Rubric!$C$3+K1550*Rubric!$C$4+L1550*Rubric!$C$5+M1550*Rubric!$C$6+N1550*Rubric!$C$7)/5),1)</f>
        <v>74</v>
      </c>
      <c r="U1550" s="8" t="str">
        <f aca="false">LOOKUP(T1550,Bands!$A$2:$A$6,Bands!$B$2:$B$6)</f>
        <v>Meets Expectations</v>
      </c>
      <c r="V1550" s="8" t="n">
        <f aca="false">IF(Q1550="","",ROUND((Q1550-B1550)*24,1))</f>
        <v>0</v>
      </c>
    </row>
    <row r="1551" customFormat="false" ht="15" hidden="false" customHeight="false" outlineLevel="0" collapsed="false">
      <c r="A1551" s="3" t="s">
        <v>3236</v>
      </c>
      <c r="B1551" s="5" t="n">
        <v>46294.4097222222</v>
      </c>
      <c r="C1551" s="3" t="s">
        <v>39</v>
      </c>
      <c r="D1551" s="3" t="s">
        <v>366</v>
      </c>
      <c r="E1551" s="3" t="s">
        <v>367</v>
      </c>
      <c r="F1551" s="3" t="s">
        <v>53</v>
      </c>
      <c r="G1551" s="3" t="s">
        <v>54</v>
      </c>
      <c r="H1551" s="3" t="s">
        <v>3237</v>
      </c>
      <c r="I1551" s="3" t="n">
        <v>4</v>
      </c>
      <c r="J1551" s="3" t="n">
        <v>4</v>
      </c>
      <c r="K1551" s="3" t="n">
        <v>3</v>
      </c>
      <c r="L1551" s="3" t="n">
        <v>5</v>
      </c>
      <c r="M1551" s="3" t="n">
        <v>4</v>
      </c>
      <c r="N1551" s="3" t="n">
        <v>4</v>
      </c>
      <c r="O1551" s="6" t="b">
        <f aca="false">FALSE()</f>
        <v>0</v>
      </c>
      <c r="P1551" s="3"/>
      <c r="Q1551" s="5" t="n">
        <v>46294.4104166667</v>
      </c>
      <c r="R1551" s="5" t="n">
        <v>46294.7263888889</v>
      </c>
      <c r="S1551" s="3" t="s">
        <v>1699</v>
      </c>
      <c r="T1551" s="7" t="n">
        <f aca="false">ROUND(MIN(IF(OR(O1551=TRUE(),O1551="TRUE",O1551="Yes"),59,100),(I1551*Rubric!$C$2+J1551*Rubric!$C$3+K1551*Rubric!$C$4+L1551*Rubric!$C$5+M1551*Rubric!$C$6+N1551*Rubric!$C$7)/5),1)</f>
        <v>79</v>
      </c>
      <c r="U1551" s="8" t="str">
        <f aca="false">LOOKUP(T1551,Bands!$A$2:$A$6,Bands!$B$2:$B$6)</f>
        <v>Meets Expectations</v>
      </c>
      <c r="V1551" s="8" t="n">
        <f aca="false">IF(Q1551="","",ROUND((Q1551-B1551)*24,1))</f>
        <v>0</v>
      </c>
    </row>
    <row r="1552" customFormat="false" ht="15" hidden="false" customHeight="false" outlineLevel="0" collapsed="false">
      <c r="A1552" s="3" t="s">
        <v>3238</v>
      </c>
      <c r="B1552" s="5" t="n">
        <v>46294.5673611111</v>
      </c>
      <c r="C1552" s="3" t="s">
        <v>39</v>
      </c>
      <c r="D1552" s="3" t="s">
        <v>31</v>
      </c>
      <c r="E1552" s="3" t="s">
        <v>32</v>
      </c>
      <c r="F1552" s="3" t="s">
        <v>33</v>
      </c>
      <c r="G1552" s="3" t="s">
        <v>34</v>
      </c>
      <c r="H1552" s="3" t="s">
        <v>3239</v>
      </c>
      <c r="I1552" s="3" t="n">
        <v>4</v>
      </c>
      <c r="J1552" s="3" t="n">
        <v>5</v>
      </c>
      <c r="K1552" s="3" t="n">
        <v>4</v>
      </c>
      <c r="L1552" s="3" t="n">
        <v>4</v>
      </c>
      <c r="M1552" s="3" t="n">
        <v>4</v>
      </c>
      <c r="N1552" s="3" t="n">
        <v>5</v>
      </c>
      <c r="O1552" s="6" t="b">
        <f aca="false">FALSE()</f>
        <v>0</v>
      </c>
      <c r="P1552" s="3"/>
      <c r="Q1552" s="5" t="n">
        <v>46294.5680555556</v>
      </c>
      <c r="R1552" s="5" t="n">
        <v>46295.0576388889</v>
      </c>
      <c r="S1552" s="3" t="s">
        <v>1699</v>
      </c>
      <c r="T1552" s="7" t="n">
        <f aca="false">ROUND(MIN(IF(OR(O1552=TRUE(),O1552="TRUE",O1552="Yes"),59,100),(I1552*Rubric!$C$2+J1552*Rubric!$C$3+K1552*Rubric!$C$4+L1552*Rubric!$C$5+M1552*Rubric!$C$6+N1552*Rubric!$C$7)/5),1)</f>
        <v>88</v>
      </c>
      <c r="U1552" s="8" t="str">
        <f aca="false">LOOKUP(T1552,Bands!$A$2:$A$6,Bands!$B$2:$B$6)</f>
        <v>Solid Performance</v>
      </c>
      <c r="V1552" s="8" t="n">
        <f aca="false">IF(Q1552="","",ROUND((Q1552-B1552)*24,1))</f>
        <v>0</v>
      </c>
    </row>
    <row r="1553" customFormat="false" ht="15" hidden="false" customHeight="false" outlineLevel="0" collapsed="false">
      <c r="A1553" s="3" t="s">
        <v>3240</v>
      </c>
      <c r="B1553" s="5" t="n">
        <v>46294.6222222222</v>
      </c>
      <c r="C1553" s="3" t="s">
        <v>30</v>
      </c>
      <c r="D1553" s="3" t="s">
        <v>293</v>
      </c>
      <c r="E1553" s="3" t="s">
        <v>294</v>
      </c>
      <c r="F1553" s="3" t="s">
        <v>65</v>
      </c>
      <c r="G1553" s="3" t="s">
        <v>42</v>
      </c>
      <c r="H1553" s="3" t="s">
        <v>3241</v>
      </c>
      <c r="I1553" s="3" t="n">
        <v>5</v>
      </c>
      <c r="J1553" s="3" t="n">
        <v>5</v>
      </c>
      <c r="K1553" s="3" t="n">
        <v>4</v>
      </c>
      <c r="L1553" s="3" t="n">
        <v>4</v>
      </c>
      <c r="M1553" s="3" t="n">
        <v>5</v>
      </c>
      <c r="N1553" s="3" t="n">
        <v>4</v>
      </c>
      <c r="O1553" s="6" t="b">
        <f aca="false">FALSE()</f>
        <v>0</v>
      </c>
      <c r="P1553" s="3"/>
      <c r="Q1553" s="5" t="n">
        <v>46294.6229166667</v>
      </c>
      <c r="R1553" s="5" t="n">
        <v>46294.7520833333</v>
      </c>
      <c r="S1553" s="3" t="s">
        <v>1699</v>
      </c>
      <c r="T1553" s="7" t="n">
        <f aca="false">ROUND(MIN(IF(OR(O1553=TRUE(),O1553="TRUE",O1553="Yes"),59,100),(I1553*Rubric!$C$2+J1553*Rubric!$C$3+K1553*Rubric!$C$4+L1553*Rubric!$C$5+M1553*Rubric!$C$6+N1553*Rubric!$C$7)/5),1)</f>
        <v>90</v>
      </c>
      <c r="U1553" s="8" t="str">
        <f aca="false">LOOKUP(T1553,Bands!$A$2:$A$6,Bands!$B$2:$B$6)</f>
        <v>Outstanding</v>
      </c>
      <c r="V1553" s="8" t="n">
        <f aca="false">IF(Q1553="","",ROUND((Q1553-B1553)*24,1))</f>
        <v>0</v>
      </c>
    </row>
    <row r="1554" customFormat="false" ht="15" hidden="false" customHeight="false" outlineLevel="0" collapsed="false">
      <c r="A1554" s="3" t="s">
        <v>3242</v>
      </c>
      <c r="B1554" s="5" t="n">
        <v>46294.6631944445</v>
      </c>
      <c r="C1554" s="3" t="s">
        <v>68</v>
      </c>
      <c r="D1554" s="3" t="s">
        <v>133</v>
      </c>
      <c r="E1554" s="3" t="s">
        <v>134</v>
      </c>
      <c r="F1554" s="3" t="s">
        <v>33</v>
      </c>
      <c r="G1554" s="3" t="s">
        <v>42</v>
      </c>
      <c r="H1554" s="3" t="s">
        <v>3243</v>
      </c>
      <c r="I1554" s="3" t="n">
        <v>4</v>
      </c>
      <c r="J1554" s="3" t="n">
        <v>4</v>
      </c>
      <c r="K1554" s="3" t="n">
        <v>4</v>
      </c>
      <c r="L1554" s="3" t="n">
        <v>4</v>
      </c>
      <c r="M1554" s="3" t="n">
        <v>4</v>
      </c>
      <c r="N1554" s="3" t="n">
        <v>4</v>
      </c>
      <c r="O1554" s="6" t="b">
        <f aca="false">FALSE()</f>
        <v>0</v>
      </c>
      <c r="P1554" s="3"/>
      <c r="Q1554" s="5" t="n">
        <v>46294.6645833333</v>
      </c>
      <c r="R1554" s="5" t="n">
        <v>46294.7972222222</v>
      </c>
      <c r="S1554" s="3" t="s">
        <v>1699</v>
      </c>
      <c r="T1554" s="7" t="n">
        <f aca="false">ROUND(MIN(IF(OR(O1554=TRUE(),O1554="TRUE",O1554="Yes"),59,100),(I1554*Rubric!$C$2+J1554*Rubric!$C$3+K1554*Rubric!$C$4+L1554*Rubric!$C$5+M1554*Rubric!$C$6+N1554*Rubric!$C$7)/5),1)</f>
        <v>80</v>
      </c>
      <c r="U1554" s="8" t="str">
        <f aca="false">LOOKUP(T1554,Bands!$A$2:$A$6,Bands!$B$2:$B$6)</f>
        <v>Solid Performance</v>
      </c>
      <c r="V1554" s="8" t="n">
        <f aca="false">IF(Q1554="","",ROUND((Q1554-B1554)*24,1))</f>
        <v>0</v>
      </c>
    </row>
    <row r="1555" customFormat="false" ht="15" hidden="false" customHeight="false" outlineLevel="0" collapsed="false">
      <c r="A1555" s="3" t="s">
        <v>3244</v>
      </c>
      <c r="B1555" s="5" t="n">
        <v>46294.5569444444</v>
      </c>
      <c r="C1555" s="3" t="s">
        <v>30</v>
      </c>
      <c r="D1555" s="3" t="s">
        <v>90</v>
      </c>
      <c r="E1555" s="3" t="s">
        <v>91</v>
      </c>
      <c r="F1555" s="3" t="s">
        <v>65</v>
      </c>
      <c r="G1555" s="3" t="s">
        <v>42</v>
      </c>
      <c r="H1555" s="3" t="s">
        <v>3245</v>
      </c>
      <c r="I1555" s="3" t="n">
        <v>4</v>
      </c>
      <c r="J1555" s="3" t="n">
        <v>4</v>
      </c>
      <c r="K1555" s="3" t="n">
        <v>5</v>
      </c>
      <c r="L1555" s="3" t="n">
        <v>4</v>
      </c>
      <c r="M1555" s="3" t="n">
        <v>4</v>
      </c>
      <c r="N1555" s="3" t="n">
        <v>4</v>
      </c>
      <c r="O1555" s="6" t="b">
        <f aca="false">FALSE()</f>
        <v>0</v>
      </c>
      <c r="P1555" s="3"/>
      <c r="Q1555" s="5" t="n">
        <v>46294.5576388889</v>
      </c>
      <c r="R1555" s="5" t="n">
        <v>46294.9319444444</v>
      </c>
      <c r="S1555" s="3" t="s">
        <v>1699</v>
      </c>
      <c r="T1555" s="7" t="n">
        <f aca="false">ROUND(MIN(IF(OR(O1555=TRUE(),O1555="TRUE",O1555="Yes"),59,100),(I1555*Rubric!$C$2+J1555*Rubric!$C$3+K1555*Rubric!$C$4+L1555*Rubric!$C$5+M1555*Rubric!$C$6+N1555*Rubric!$C$7)/5),1)</f>
        <v>84</v>
      </c>
      <c r="U1555" s="8" t="str">
        <f aca="false">LOOKUP(T1555,Bands!$A$2:$A$6,Bands!$B$2:$B$6)</f>
        <v>Solid Performance</v>
      </c>
      <c r="V1555" s="8" t="n">
        <f aca="false">IF(Q1555="","",ROUND((Q1555-B1555)*24,1))</f>
        <v>0</v>
      </c>
    </row>
    <row r="1556" customFormat="false" ht="15" hidden="false" customHeight="false" outlineLevel="0" collapsed="false">
      <c r="A1556" s="3" t="s">
        <v>3246</v>
      </c>
      <c r="B1556" s="5" t="n">
        <v>46294.4548611111</v>
      </c>
      <c r="C1556" s="3" t="s">
        <v>30</v>
      </c>
      <c r="D1556" s="3" t="s">
        <v>307</v>
      </c>
      <c r="E1556" s="3" t="s">
        <v>308</v>
      </c>
      <c r="F1556" s="3" t="s">
        <v>33</v>
      </c>
      <c r="G1556" s="3" t="s">
        <v>54</v>
      </c>
      <c r="H1556" s="3" t="s">
        <v>3247</v>
      </c>
      <c r="I1556" s="3" t="n">
        <v>5</v>
      </c>
      <c r="J1556" s="3" t="n">
        <v>4</v>
      </c>
      <c r="K1556" s="3" t="n">
        <v>5</v>
      </c>
      <c r="L1556" s="3" t="n">
        <v>5</v>
      </c>
      <c r="M1556" s="3" t="n">
        <v>4</v>
      </c>
      <c r="N1556" s="3" t="n">
        <v>5</v>
      </c>
      <c r="O1556" s="6" t="b">
        <f aca="false">FALSE()</f>
        <v>0</v>
      </c>
      <c r="P1556" s="3"/>
      <c r="Q1556" s="5" t="n">
        <v>46294.45625</v>
      </c>
      <c r="R1556" s="5" t="n">
        <v>46294.7756944444</v>
      </c>
      <c r="S1556" s="3" t="s">
        <v>1699</v>
      </c>
      <c r="T1556" s="7" t="n">
        <f aca="false">ROUND(MIN(IF(OR(O1556=TRUE(),O1556="TRUE",O1556="Yes"),59,100),(I1556*Rubric!$C$2+J1556*Rubric!$C$3+K1556*Rubric!$C$4+L1556*Rubric!$C$5+M1556*Rubric!$C$6+N1556*Rubric!$C$7)/5),1)</f>
        <v>93</v>
      </c>
      <c r="U1556" s="8" t="str">
        <f aca="false">LOOKUP(T1556,Bands!$A$2:$A$6,Bands!$B$2:$B$6)</f>
        <v>Outstanding</v>
      </c>
      <c r="V1556" s="8" t="n">
        <f aca="false">IF(Q1556="","",ROUND((Q1556-B1556)*24,1))</f>
        <v>0</v>
      </c>
    </row>
    <row r="1557" customFormat="false" ht="15" hidden="false" customHeight="false" outlineLevel="0" collapsed="false">
      <c r="A1557" s="3" t="s">
        <v>3248</v>
      </c>
      <c r="B1557" s="5" t="n">
        <v>46294.4555555556</v>
      </c>
      <c r="C1557" s="3" t="s">
        <v>39</v>
      </c>
      <c r="D1557" s="3" t="s">
        <v>46</v>
      </c>
      <c r="E1557" s="3" t="s">
        <v>47</v>
      </c>
      <c r="F1557" s="3" t="s">
        <v>33</v>
      </c>
      <c r="G1557" s="3" t="s">
        <v>54</v>
      </c>
      <c r="H1557" s="3" t="s">
        <v>3249</v>
      </c>
      <c r="I1557" s="3" t="n">
        <v>5</v>
      </c>
      <c r="J1557" s="3" t="n">
        <v>5</v>
      </c>
      <c r="K1557" s="3" t="n">
        <v>4</v>
      </c>
      <c r="L1557" s="3" t="n">
        <v>5</v>
      </c>
      <c r="M1557" s="3" t="n">
        <v>4</v>
      </c>
      <c r="N1557" s="3" t="n">
        <v>4</v>
      </c>
      <c r="O1557" s="6" t="b">
        <f aca="false">FALSE()</f>
        <v>0</v>
      </c>
      <c r="P1557" s="3"/>
      <c r="Q1557" s="5" t="n">
        <v>46294.45625</v>
      </c>
      <c r="R1557" s="5" t="n">
        <v>46294.4618055556</v>
      </c>
      <c r="S1557" s="3" t="s">
        <v>1699</v>
      </c>
      <c r="T1557" s="7" t="n">
        <f aca="false">ROUND(MIN(IF(OR(O1557=TRUE(),O1557="TRUE",O1557="Yes"),59,100),(I1557*Rubric!$C$2+J1557*Rubric!$C$3+K1557*Rubric!$C$4+L1557*Rubric!$C$5+M1557*Rubric!$C$6+N1557*Rubric!$C$7)/5),1)</f>
        <v>91</v>
      </c>
      <c r="U1557" s="8" t="str">
        <f aca="false">LOOKUP(T1557,Bands!$A$2:$A$6,Bands!$B$2:$B$6)</f>
        <v>Outstanding</v>
      </c>
      <c r="V1557" s="8" t="n">
        <f aca="false">IF(Q1557="","",ROUND((Q1557-B1557)*24,1))</f>
        <v>0</v>
      </c>
    </row>
    <row r="1558" customFormat="false" ht="15" hidden="false" customHeight="false" outlineLevel="0" collapsed="false">
      <c r="A1558" s="3" t="s">
        <v>3250</v>
      </c>
      <c r="B1558" s="5" t="n">
        <v>46294.6256944445</v>
      </c>
      <c r="C1558" s="3" t="s">
        <v>39</v>
      </c>
      <c r="D1558" s="3" t="s">
        <v>115</v>
      </c>
      <c r="E1558" s="3" t="s">
        <v>116</v>
      </c>
      <c r="F1558" s="3" t="s">
        <v>33</v>
      </c>
      <c r="G1558" s="3" t="s">
        <v>54</v>
      </c>
      <c r="H1558" s="3" t="s">
        <v>3251</v>
      </c>
      <c r="I1558" s="3" t="n">
        <v>4</v>
      </c>
      <c r="J1558" s="3" t="n">
        <v>5</v>
      </c>
      <c r="K1558" s="3" t="n">
        <v>5</v>
      </c>
      <c r="L1558" s="3" t="n">
        <v>4</v>
      </c>
      <c r="M1558" s="3" t="n">
        <v>3</v>
      </c>
      <c r="N1558" s="3" t="n">
        <v>5</v>
      </c>
      <c r="O1558" s="6" t="b">
        <f aca="false">FALSE()</f>
        <v>0</v>
      </c>
      <c r="P1558" s="3"/>
      <c r="Q1558" s="5" t="n">
        <v>46294.6263888889</v>
      </c>
      <c r="R1558" s="5" t="n">
        <v>46294.8166666667</v>
      </c>
      <c r="S1558" s="3" t="s">
        <v>1699</v>
      </c>
      <c r="T1558" s="7" t="n">
        <f aca="false">ROUND(MIN(IF(OR(O1558=TRUE(),O1558="TRUE",O1558="Yes"),59,100),(I1558*Rubric!$C$2+J1558*Rubric!$C$3+K1558*Rubric!$C$4+L1558*Rubric!$C$5+M1558*Rubric!$C$6+N1558*Rubric!$C$7)/5),1)</f>
        <v>90</v>
      </c>
      <c r="U1558" s="8" t="str">
        <f aca="false">LOOKUP(T1558,Bands!$A$2:$A$6,Bands!$B$2:$B$6)</f>
        <v>Outstanding</v>
      </c>
      <c r="V1558" s="8" t="n">
        <f aca="false">IF(Q1558="","",ROUND((Q1558-B1558)*24,1))</f>
        <v>0</v>
      </c>
    </row>
    <row r="1559" customFormat="false" ht="15" hidden="false" customHeight="false" outlineLevel="0" collapsed="false">
      <c r="A1559" s="3" t="s">
        <v>3252</v>
      </c>
      <c r="B1559" s="5" t="n">
        <v>46294.4645833333</v>
      </c>
      <c r="C1559" s="3" t="s">
        <v>39</v>
      </c>
      <c r="D1559" s="3" t="s">
        <v>119</v>
      </c>
      <c r="E1559" s="3" t="s">
        <v>120</v>
      </c>
      <c r="F1559" s="3" t="s">
        <v>33</v>
      </c>
      <c r="G1559" s="3" t="s">
        <v>54</v>
      </c>
      <c r="H1559" s="3" t="s">
        <v>3253</v>
      </c>
      <c r="I1559" s="3" t="n">
        <v>3</v>
      </c>
      <c r="J1559" s="3" t="n">
        <v>4</v>
      </c>
      <c r="K1559" s="3" t="n">
        <v>4</v>
      </c>
      <c r="L1559" s="3" t="n">
        <v>4</v>
      </c>
      <c r="M1559" s="3" t="n">
        <v>4</v>
      </c>
      <c r="N1559" s="3" t="n">
        <v>4</v>
      </c>
      <c r="O1559" s="6" t="b">
        <f aca="false">FALSE()</f>
        <v>0</v>
      </c>
      <c r="P1559" s="3"/>
      <c r="Q1559" s="5" t="n">
        <v>46294.4666666667</v>
      </c>
      <c r="R1559" s="5" t="n">
        <v>46294.5743055556</v>
      </c>
      <c r="S1559" s="3" t="s">
        <v>1699</v>
      </c>
      <c r="T1559" s="7" t="n">
        <f aca="false">ROUND(MIN(IF(OR(O1559=TRUE(),O1559="TRUE",O1559="Yes"),59,100),(I1559*Rubric!$C$2+J1559*Rubric!$C$3+K1559*Rubric!$C$4+L1559*Rubric!$C$5+M1559*Rubric!$C$6+N1559*Rubric!$C$7)/5),1)</f>
        <v>77</v>
      </c>
      <c r="U1559" s="8" t="str">
        <f aca="false">LOOKUP(T1559,Bands!$A$2:$A$6,Bands!$B$2:$B$6)</f>
        <v>Meets Expectations</v>
      </c>
      <c r="V1559" s="8" t="n">
        <f aca="false">IF(Q1559="","",ROUND((Q1559-B1559)*24,1))</f>
        <v>0.1</v>
      </c>
    </row>
    <row r="1560" customFormat="false" ht="15" hidden="false" customHeight="false" outlineLevel="0" collapsed="false">
      <c r="A1560" s="3" t="s">
        <v>3254</v>
      </c>
      <c r="B1560" s="5" t="n">
        <v>46294.5993055556</v>
      </c>
      <c r="C1560" s="3" t="s">
        <v>39</v>
      </c>
      <c r="D1560" s="3" t="s">
        <v>251</v>
      </c>
      <c r="E1560" s="3" t="s">
        <v>252</v>
      </c>
      <c r="F1560" s="3" t="s">
        <v>53</v>
      </c>
      <c r="G1560" s="3" t="s">
        <v>54</v>
      </c>
      <c r="H1560" s="3" t="s">
        <v>3255</v>
      </c>
      <c r="I1560" s="3" t="n">
        <v>4</v>
      </c>
      <c r="J1560" s="3" t="n">
        <v>4</v>
      </c>
      <c r="K1560" s="3" t="n">
        <v>4</v>
      </c>
      <c r="L1560" s="3" t="n">
        <v>4</v>
      </c>
      <c r="M1560" s="3" t="n">
        <v>4</v>
      </c>
      <c r="N1560" s="3" t="n">
        <v>4</v>
      </c>
      <c r="O1560" s="6" t="b">
        <f aca="false">FALSE()</f>
        <v>0</v>
      </c>
      <c r="P1560" s="3"/>
      <c r="Q1560" s="5" t="n">
        <v>46294.6006944445</v>
      </c>
      <c r="R1560" s="5" t="n">
        <v>46294.6277777778</v>
      </c>
      <c r="S1560" s="3" t="s">
        <v>1699</v>
      </c>
      <c r="T1560" s="7" t="n">
        <f aca="false">ROUND(MIN(IF(OR(O1560=TRUE(),O1560="TRUE",O1560="Yes"),59,100),(I1560*Rubric!$C$2+J1560*Rubric!$C$3+K1560*Rubric!$C$4+L1560*Rubric!$C$5+M1560*Rubric!$C$6+N1560*Rubric!$C$7)/5),1)</f>
        <v>80</v>
      </c>
      <c r="U1560" s="8" t="str">
        <f aca="false">LOOKUP(T1560,Bands!$A$2:$A$6,Bands!$B$2:$B$6)</f>
        <v>Solid Performance</v>
      </c>
      <c r="V1560" s="8" t="n">
        <f aca="false">IF(Q1560="","",ROUND((Q1560-B1560)*24,1))</f>
        <v>0</v>
      </c>
    </row>
    <row r="1561" customFormat="false" ht="15" hidden="false" customHeight="false" outlineLevel="0" collapsed="false">
      <c r="A1561" s="3" t="s">
        <v>3256</v>
      </c>
      <c r="B1561" s="5" t="n">
        <v>46294.6625</v>
      </c>
      <c r="C1561" s="3" t="s">
        <v>30</v>
      </c>
      <c r="D1561" s="3" t="s">
        <v>145</v>
      </c>
      <c r="E1561" s="3" t="s">
        <v>146</v>
      </c>
      <c r="F1561" s="3" t="s">
        <v>33</v>
      </c>
      <c r="G1561" s="3" t="s">
        <v>42</v>
      </c>
      <c r="H1561" s="3" t="s">
        <v>3257</v>
      </c>
      <c r="I1561" s="3" t="n">
        <v>4</v>
      </c>
      <c r="J1561" s="3" t="n">
        <v>4</v>
      </c>
      <c r="K1561" s="3" t="n">
        <v>3</v>
      </c>
      <c r="L1561" s="3" t="n">
        <v>3</v>
      </c>
      <c r="M1561" s="3" t="n">
        <v>3</v>
      </c>
      <c r="N1561" s="3" t="n">
        <v>5</v>
      </c>
      <c r="O1561" s="6" t="b">
        <f aca="false">FALSE()</f>
        <v>0</v>
      </c>
      <c r="P1561" s="3"/>
      <c r="Q1561" s="5" t="n">
        <v>46294.6638888889</v>
      </c>
      <c r="R1561" s="5" t="n">
        <v>46294.6805555556</v>
      </c>
      <c r="S1561" s="3" t="s">
        <v>1699</v>
      </c>
      <c r="T1561" s="7" t="n">
        <f aca="false">ROUND(MIN(IF(OR(O1561=TRUE(),O1561="TRUE",O1561="Yes"),59,100),(I1561*Rubric!$C$2+J1561*Rubric!$C$3+K1561*Rubric!$C$4+L1561*Rubric!$C$5+M1561*Rubric!$C$6+N1561*Rubric!$C$7)/5),1)</f>
        <v>74</v>
      </c>
      <c r="U1561" s="8" t="str">
        <f aca="false">LOOKUP(T1561,Bands!$A$2:$A$6,Bands!$B$2:$B$6)</f>
        <v>Meets Expectations</v>
      </c>
      <c r="V1561" s="8" t="n">
        <f aca="false">IF(Q1561="","",ROUND((Q1561-B1561)*24,1))</f>
        <v>0</v>
      </c>
    </row>
    <row r="1562" customFormat="false" ht="15" hidden="false" customHeight="false" outlineLevel="0" collapsed="false">
      <c r="A1562" s="3" t="s">
        <v>3258</v>
      </c>
      <c r="B1562" s="5" t="n">
        <v>46295.3777777778</v>
      </c>
      <c r="C1562" s="3" t="s">
        <v>30</v>
      </c>
      <c r="D1562" s="3" t="s">
        <v>58</v>
      </c>
      <c r="E1562" s="3" t="s">
        <v>59</v>
      </c>
      <c r="F1562" s="3" t="s">
        <v>53</v>
      </c>
      <c r="G1562" s="3" t="s">
        <v>54</v>
      </c>
      <c r="H1562" s="3" t="s">
        <v>3259</v>
      </c>
      <c r="I1562" s="3" t="n">
        <v>3</v>
      </c>
      <c r="J1562" s="3" t="n">
        <v>3</v>
      </c>
      <c r="K1562" s="3" t="n">
        <v>3</v>
      </c>
      <c r="L1562" s="3" t="n">
        <v>3</v>
      </c>
      <c r="M1562" s="3" t="n">
        <v>3</v>
      </c>
      <c r="N1562" s="3" t="n">
        <v>3</v>
      </c>
      <c r="O1562" s="6" t="b">
        <f aca="false">FALSE()</f>
        <v>0</v>
      </c>
      <c r="P1562" s="3"/>
      <c r="Q1562" s="5" t="n">
        <v>46295.3791666667</v>
      </c>
      <c r="R1562" s="5" t="n">
        <v>46295.3819444445</v>
      </c>
      <c r="S1562" s="3" t="s">
        <v>1699</v>
      </c>
      <c r="T1562" s="7" t="n">
        <f aca="false">ROUND(MIN(IF(OR(O1562=TRUE(),O1562="TRUE",O1562="Yes"),59,100),(I1562*Rubric!$C$2+J1562*Rubric!$C$3+K1562*Rubric!$C$4+L1562*Rubric!$C$5+M1562*Rubric!$C$6+N1562*Rubric!$C$7)/5),1)</f>
        <v>60</v>
      </c>
      <c r="U1562" s="8" t="str">
        <f aca="false">LOOKUP(T1562,Bands!$A$2:$A$6,Bands!$B$2:$B$6)</f>
        <v>Needs Improvement</v>
      </c>
      <c r="V1562" s="8" t="n">
        <f aca="false">IF(Q1562="","",ROUND((Q1562-B1562)*24,1))</f>
        <v>0</v>
      </c>
    </row>
    <row r="1563" customFormat="false" ht="15" hidden="false" customHeight="false" outlineLevel="0" collapsed="false">
      <c r="A1563" s="3" t="s">
        <v>3260</v>
      </c>
      <c r="B1563" s="5" t="n">
        <v>46295.6208333333</v>
      </c>
      <c r="C1563" s="3" t="s">
        <v>68</v>
      </c>
      <c r="D1563" s="3" t="s">
        <v>96</v>
      </c>
      <c r="E1563" s="3" t="s">
        <v>97</v>
      </c>
      <c r="F1563" s="3" t="s">
        <v>33</v>
      </c>
      <c r="G1563" s="3" t="s">
        <v>34</v>
      </c>
      <c r="H1563" s="3" t="s">
        <v>3261</v>
      </c>
      <c r="I1563" s="3" t="n">
        <v>5</v>
      </c>
      <c r="J1563" s="3" t="n">
        <v>5</v>
      </c>
      <c r="K1563" s="3" t="n">
        <v>5</v>
      </c>
      <c r="L1563" s="3" t="n">
        <v>5</v>
      </c>
      <c r="M1563" s="3" t="n">
        <v>5</v>
      </c>
      <c r="N1563" s="3" t="n">
        <v>5</v>
      </c>
      <c r="O1563" s="6" t="b">
        <f aca="false">FALSE()</f>
        <v>0</v>
      </c>
      <c r="P1563" s="3"/>
      <c r="Q1563" s="5" t="n">
        <v>46295.6215277778</v>
      </c>
      <c r="R1563" s="5" t="n">
        <v>46296.1770833333</v>
      </c>
      <c r="S1563" s="3" t="s">
        <v>1699</v>
      </c>
      <c r="T1563" s="7" t="n">
        <f aca="false">ROUND(MIN(IF(OR(O1563=TRUE(),O1563="TRUE",O1563="Yes"),59,100),(I1563*Rubric!$C$2+J1563*Rubric!$C$3+K1563*Rubric!$C$4+L1563*Rubric!$C$5+M1563*Rubric!$C$6+N1563*Rubric!$C$7)/5),1)</f>
        <v>100</v>
      </c>
      <c r="U1563" s="8" t="str">
        <f aca="false">LOOKUP(T1563,Bands!$A$2:$A$6,Bands!$B$2:$B$6)</f>
        <v>Outstanding</v>
      </c>
      <c r="V1563" s="8" t="n">
        <f aca="false">IF(Q1563="","",ROUND((Q1563-B1563)*24,1))</f>
        <v>0</v>
      </c>
    </row>
    <row r="1564" customFormat="false" ht="15" hidden="false" customHeight="false" outlineLevel="0" collapsed="false">
      <c r="A1564" s="3" t="s">
        <v>3262</v>
      </c>
      <c r="B1564" s="5" t="n">
        <v>46295.4486111111</v>
      </c>
      <c r="C1564" s="3" t="s">
        <v>68</v>
      </c>
      <c r="D1564" s="3" t="s">
        <v>228</v>
      </c>
      <c r="E1564" s="3" t="s">
        <v>229</v>
      </c>
      <c r="F1564" s="3" t="s">
        <v>65</v>
      </c>
      <c r="G1564" s="3" t="s">
        <v>54</v>
      </c>
      <c r="H1564" s="3" t="s">
        <v>3263</v>
      </c>
      <c r="I1564" s="3" t="n">
        <v>3</v>
      </c>
      <c r="J1564" s="3" t="n">
        <v>3</v>
      </c>
      <c r="K1564" s="3" t="n">
        <v>4</v>
      </c>
      <c r="L1564" s="3" t="n">
        <v>4</v>
      </c>
      <c r="M1564" s="3" t="n">
        <v>4</v>
      </c>
      <c r="N1564" s="3" t="n">
        <v>4</v>
      </c>
      <c r="O1564" s="6" t="b">
        <f aca="false">FALSE()</f>
        <v>0</v>
      </c>
      <c r="P1564" s="3"/>
      <c r="Q1564" s="5" t="n">
        <v>46295.4506944444</v>
      </c>
      <c r="R1564" s="5" t="n">
        <v>46295.5909722222</v>
      </c>
      <c r="S1564" s="3" t="s">
        <v>1699</v>
      </c>
      <c r="T1564" s="7" t="n">
        <f aca="false">ROUND(MIN(IF(OR(O1564=TRUE(),O1564="TRUE",O1564="Yes"),59,100),(I1564*Rubric!$C$2+J1564*Rubric!$C$3+K1564*Rubric!$C$4+L1564*Rubric!$C$5+M1564*Rubric!$C$6+N1564*Rubric!$C$7)/5),1)</f>
        <v>72</v>
      </c>
      <c r="U1564" s="8" t="str">
        <f aca="false">LOOKUP(T1564,Bands!$A$2:$A$6,Bands!$B$2:$B$6)</f>
        <v>Meets Expectations</v>
      </c>
      <c r="V1564" s="8" t="n">
        <f aca="false">IF(Q1564="","",ROUND((Q1564-B1564)*24,1))</f>
        <v>0</v>
      </c>
    </row>
    <row r="1565" customFormat="false" ht="15" hidden="false" customHeight="false" outlineLevel="0" collapsed="false">
      <c r="A1565" s="3" t="s">
        <v>3264</v>
      </c>
      <c r="B1565" s="5" t="n">
        <v>46295.4527777778</v>
      </c>
      <c r="C1565" s="3" t="s">
        <v>68</v>
      </c>
      <c r="D1565" s="3" t="s">
        <v>265</v>
      </c>
      <c r="E1565" s="3" t="s">
        <v>266</v>
      </c>
      <c r="F1565" s="3" t="s">
        <v>33</v>
      </c>
      <c r="G1565" s="3" t="s">
        <v>42</v>
      </c>
      <c r="H1565" s="3" t="s">
        <v>3265</v>
      </c>
      <c r="I1565" s="3" t="n">
        <v>3</v>
      </c>
      <c r="J1565" s="3" t="n">
        <v>2</v>
      </c>
      <c r="K1565" s="3" t="n">
        <v>4</v>
      </c>
      <c r="L1565" s="3" t="n">
        <v>4</v>
      </c>
      <c r="M1565" s="3" t="n">
        <v>3</v>
      </c>
      <c r="N1565" s="3" t="n">
        <v>4</v>
      </c>
      <c r="O1565" s="6" t="b">
        <f aca="false">FALSE()</f>
        <v>0</v>
      </c>
      <c r="P1565" s="3" t="s">
        <v>56</v>
      </c>
      <c r="Q1565" s="5" t="n">
        <v>46295.4548611111</v>
      </c>
      <c r="R1565" s="5" t="n">
        <v>46295.5326388889</v>
      </c>
      <c r="S1565" s="3" t="s">
        <v>1699</v>
      </c>
      <c r="T1565" s="7" t="n">
        <f aca="false">ROUND(MIN(IF(OR(O1565=TRUE(),O1565="TRUE",O1565="Yes"),59,100),(I1565*Rubric!$C$2+J1565*Rubric!$C$3+K1565*Rubric!$C$4+L1565*Rubric!$C$5+M1565*Rubric!$C$6+N1565*Rubric!$C$7)/5),1)</f>
        <v>65</v>
      </c>
      <c r="U1565" s="8" t="str">
        <f aca="false">LOOKUP(T1565,Bands!$A$2:$A$6,Bands!$B$2:$B$6)</f>
        <v>Needs Improvement</v>
      </c>
      <c r="V1565" s="8" t="n">
        <f aca="false">IF(Q1565="","",ROUND((Q1565-B1565)*24,1))</f>
        <v>0</v>
      </c>
    </row>
    <row r="1566" customFormat="false" ht="15" hidden="false" customHeight="false" outlineLevel="0" collapsed="false">
      <c r="A1566" s="3" t="s">
        <v>3266</v>
      </c>
      <c r="B1566" s="5" t="n">
        <v>46295.38125</v>
      </c>
      <c r="C1566" s="3" t="s">
        <v>39</v>
      </c>
      <c r="D1566" s="3" t="s">
        <v>111</v>
      </c>
      <c r="E1566" s="3" t="s">
        <v>112</v>
      </c>
      <c r="F1566" s="3" t="s">
        <v>33</v>
      </c>
      <c r="G1566" s="3" t="s">
        <v>54</v>
      </c>
      <c r="H1566" s="3" t="s">
        <v>3267</v>
      </c>
      <c r="I1566" s="3" t="n">
        <v>4</v>
      </c>
      <c r="J1566" s="3" t="n">
        <v>5</v>
      </c>
      <c r="K1566" s="3" t="n">
        <v>4</v>
      </c>
      <c r="L1566" s="3" t="n">
        <v>4</v>
      </c>
      <c r="M1566" s="3" t="n">
        <v>5</v>
      </c>
      <c r="N1566" s="3" t="n">
        <v>3</v>
      </c>
      <c r="O1566" s="6" t="b">
        <f aca="false">FALSE()</f>
        <v>0</v>
      </c>
      <c r="P1566" s="3"/>
      <c r="Q1566" s="5" t="n">
        <v>46295.3826388889</v>
      </c>
      <c r="R1566" s="5" t="n">
        <v>46295.4645833333</v>
      </c>
      <c r="S1566" s="3" t="s">
        <v>1699</v>
      </c>
      <c r="T1566" s="7" t="n">
        <f aca="false">ROUND(MIN(IF(OR(O1566=TRUE(),O1566="TRUE",O1566="Yes"),59,100),(I1566*Rubric!$C$2+J1566*Rubric!$C$3+K1566*Rubric!$C$4+L1566*Rubric!$C$5+M1566*Rubric!$C$6+N1566*Rubric!$C$7)/5),1)</f>
        <v>84</v>
      </c>
      <c r="U1566" s="8" t="str">
        <f aca="false">LOOKUP(T1566,Bands!$A$2:$A$6,Bands!$B$2:$B$6)</f>
        <v>Solid Performance</v>
      </c>
      <c r="V1566" s="8" t="n">
        <f aca="false">IF(Q1566="","",ROUND((Q1566-B1566)*24,1))</f>
        <v>0</v>
      </c>
    </row>
    <row r="1567" customFormat="false" ht="15" hidden="false" customHeight="false" outlineLevel="0" collapsed="false">
      <c r="A1567" s="3" t="s">
        <v>3268</v>
      </c>
      <c r="B1567" s="5" t="n">
        <v>46295.4763888889</v>
      </c>
      <c r="C1567" s="3" t="s">
        <v>68</v>
      </c>
      <c r="D1567" s="3" t="s">
        <v>366</v>
      </c>
      <c r="E1567" s="3" t="s">
        <v>367</v>
      </c>
      <c r="F1567" s="3" t="s">
        <v>53</v>
      </c>
      <c r="G1567" s="3" t="s">
        <v>54</v>
      </c>
      <c r="H1567" s="3" t="s">
        <v>3269</v>
      </c>
      <c r="I1567" s="3" t="n">
        <v>3</v>
      </c>
      <c r="J1567" s="3" t="n">
        <v>5</v>
      </c>
      <c r="K1567" s="3" t="n">
        <v>3</v>
      </c>
      <c r="L1567" s="3" t="n">
        <v>5</v>
      </c>
      <c r="M1567" s="3" t="n">
        <v>5</v>
      </c>
      <c r="N1567" s="3" t="n">
        <v>5</v>
      </c>
      <c r="O1567" s="6" t="b">
        <f aca="false">FALSE()</f>
        <v>0</v>
      </c>
      <c r="P1567" s="3"/>
      <c r="Q1567" s="5" t="n">
        <v>46295.4784722222</v>
      </c>
      <c r="R1567" s="5" t="n">
        <v>46295.6694444444</v>
      </c>
      <c r="S1567" s="3" t="s">
        <v>1699</v>
      </c>
      <c r="T1567" s="7" t="n">
        <f aca="false">ROUND(MIN(IF(OR(O1567=TRUE(),O1567="TRUE",O1567="Yes"),59,100),(I1567*Rubric!$C$2+J1567*Rubric!$C$3+K1567*Rubric!$C$4+L1567*Rubric!$C$5+M1567*Rubric!$C$6+N1567*Rubric!$C$7)/5),1)</f>
        <v>86</v>
      </c>
      <c r="U1567" s="8" t="str">
        <f aca="false">LOOKUP(T1567,Bands!$A$2:$A$6,Bands!$B$2:$B$6)</f>
        <v>Solid Performance</v>
      </c>
      <c r="V1567" s="8" t="n">
        <f aca="false">IF(Q1567="","",ROUND((Q1567-B1567)*24,1))</f>
        <v>0</v>
      </c>
    </row>
    <row r="1568" customFormat="false" ht="15" hidden="false" customHeight="false" outlineLevel="0" collapsed="false">
      <c r="A1568" s="3" t="s">
        <v>3270</v>
      </c>
      <c r="B1568" s="5" t="n">
        <v>46295.6972222222</v>
      </c>
      <c r="C1568" s="3" t="s">
        <v>30</v>
      </c>
      <c r="D1568" s="3" t="s">
        <v>151</v>
      </c>
      <c r="E1568" s="3" t="s">
        <v>152</v>
      </c>
      <c r="F1568" s="3" t="s">
        <v>33</v>
      </c>
      <c r="G1568" s="3" t="s">
        <v>54</v>
      </c>
      <c r="H1568" s="3" t="s">
        <v>3271</v>
      </c>
      <c r="I1568" s="3" t="n">
        <v>4</v>
      </c>
      <c r="J1568" s="3" t="n">
        <v>4</v>
      </c>
      <c r="K1568" s="3" t="n">
        <v>5</v>
      </c>
      <c r="L1568" s="3" t="n">
        <v>5</v>
      </c>
      <c r="M1568" s="3" t="n">
        <v>4</v>
      </c>
      <c r="N1568" s="3" t="n">
        <v>5</v>
      </c>
      <c r="O1568" s="6" t="b">
        <f aca="false">FALSE()</f>
        <v>0</v>
      </c>
      <c r="P1568" s="3"/>
      <c r="Q1568" s="5" t="n">
        <v>46295.6986111111</v>
      </c>
      <c r="R1568" s="5" t="n">
        <v>46295.8166666667</v>
      </c>
      <c r="S1568" s="3" t="s">
        <v>1699</v>
      </c>
      <c r="T1568" s="7" t="n">
        <f aca="false">ROUND(MIN(IF(OR(O1568=TRUE(),O1568="TRUE",O1568="Yes"),59,100),(I1568*Rubric!$C$2+J1568*Rubric!$C$3+K1568*Rubric!$C$4+L1568*Rubric!$C$5+M1568*Rubric!$C$6+N1568*Rubric!$C$7)/5),1)</f>
        <v>90</v>
      </c>
      <c r="U1568" s="8" t="str">
        <f aca="false">LOOKUP(T1568,Bands!$A$2:$A$6,Bands!$B$2:$B$6)</f>
        <v>Outstanding</v>
      </c>
      <c r="V1568" s="8" t="n">
        <f aca="false">IF(Q1568="","",ROUND((Q1568-B1568)*24,1))</f>
        <v>0</v>
      </c>
    </row>
    <row r="1569" customFormat="false" ht="15" hidden="false" customHeight="false" outlineLevel="0" collapsed="false">
      <c r="A1569" s="3" t="s">
        <v>3272</v>
      </c>
      <c r="B1569" s="5" t="n">
        <v>46295.64375</v>
      </c>
      <c r="C1569" s="3" t="s">
        <v>30</v>
      </c>
      <c r="D1569" s="3" t="s">
        <v>251</v>
      </c>
      <c r="E1569" s="3" t="s">
        <v>252</v>
      </c>
      <c r="F1569" s="3" t="s">
        <v>53</v>
      </c>
      <c r="G1569" s="3" t="s">
        <v>54</v>
      </c>
      <c r="H1569" s="3" t="s">
        <v>3273</v>
      </c>
      <c r="I1569" s="3" t="n">
        <v>4</v>
      </c>
      <c r="J1569" s="3" t="n">
        <v>4</v>
      </c>
      <c r="K1569" s="3" t="n">
        <v>4</v>
      </c>
      <c r="L1569" s="3" t="n">
        <v>4</v>
      </c>
      <c r="M1569" s="3" t="n">
        <v>3</v>
      </c>
      <c r="N1569" s="3" t="n">
        <v>4</v>
      </c>
      <c r="O1569" s="6" t="b">
        <f aca="false">FALSE()</f>
        <v>0</v>
      </c>
      <c r="P1569" s="3"/>
      <c r="Q1569" s="5" t="n">
        <v>46295.6458333333</v>
      </c>
      <c r="R1569" s="5" t="n">
        <v>46295.81875</v>
      </c>
      <c r="S1569" s="3" t="s">
        <v>1699</v>
      </c>
      <c r="T1569" s="7" t="n">
        <f aca="false">ROUND(MIN(IF(OR(O1569=TRUE(),O1569="TRUE",O1569="Yes"),59,100),(I1569*Rubric!$C$2+J1569*Rubric!$C$3+K1569*Rubric!$C$4+L1569*Rubric!$C$5+M1569*Rubric!$C$6+N1569*Rubric!$C$7)/5),1)</f>
        <v>78</v>
      </c>
      <c r="U1569" s="8" t="str">
        <f aca="false">LOOKUP(T1569,Bands!$A$2:$A$6,Bands!$B$2:$B$6)</f>
        <v>Meets Expectations</v>
      </c>
      <c r="V1569" s="8" t="n">
        <f aca="false">IF(Q1569="","",ROUND((Q1569-B1569)*24,1))</f>
        <v>0</v>
      </c>
    </row>
    <row r="1570" customFormat="false" ht="15" hidden="false" customHeight="false" outlineLevel="0" collapsed="false">
      <c r="A1570" s="3" t="s">
        <v>3274</v>
      </c>
      <c r="B1570" s="5" t="n">
        <v>46295.6979166667</v>
      </c>
      <c r="C1570" s="3" t="s">
        <v>39</v>
      </c>
      <c r="D1570" s="3" t="s">
        <v>238</v>
      </c>
      <c r="E1570" s="3" t="s">
        <v>239</v>
      </c>
      <c r="F1570" s="3" t="s">
        <v>33</v>
      </c>
      <c r="G1570" s="3" t="s">
        <v>54</v>
      </c>
      <c r="H1570" s="3" t="s">
        <v>3275</v>
      </c>
      <c r="I1570" s="3" t="n">
        <v>4</v>
      </c>
      <c r="J1570" s="3" t="n">
        <v>4</v>
      </c>
      <c r="K1570" s="3" t="n">
        <v>4</v>
      </c>
      <c r="L1570" s="3" t="n">
        <v>3</v>
      </c>
      <c r="M1570" s="3" t="n">
        <v>5</v>
      </c>
      <c r="N1570" s="3" t="n">
        <v>5</v>
      </c>
      <c r="O1570" s="6" t="b">
        <f aca="false">FALSE()</f>
        <v>0</v>
      </c>
      <c r="P1570" s="3"/>
      <c r="Q1570" s="5" t="n">
        <v>46295.6993055556</v>
      </c>
      <c r="R1570" s="5" t="n">
        <v>46295.7256944445</v>
      </c>
      <c r="S1570" s="3" t="s">
        <v>1699</v>
      </c>
      <c r="T1570" s="7" t="n">
        <f aca="false">ROUND(MIN(IF(OR(O1570=TRUE(),O1570="TRUE",O1570="Yes"),59,100),(I1570*Rubric!$C$2+J1570*Rubric!$C$3+K1570*Rubric!$C$4+L1570*Rubric!$C$5+M1570*Rubric!$C$6+N1570*Rubric!$C$7)/5),1)</f>
        <v>82</v>
      </c>
      <c r="U1570" s="8" t="str">
        <f aca="false">LOOKUP(T1570,Bands!$A$2:$A$6,Bands!$B$2:$B$6)</f>
        <v>Solid Performance</v>
      </c>
      <c r="V1570" s="8" t="n">
        <f aca="false">IF(Q1570="","",ROUND((Q1570-B1570)*24,1))</f>
        <v>0</v>
      </c>
    </row>
    <row r="1571" customFormat="false" ht="15" hidden="false" customHeight="false" outlineLevel="0" collapsed="false">
      <c r="A1571" s="3" t="s">
        <v>3276</v>
      </c>
      <c r="B1571" s="5" t="n">
        <v>46295.4277777778</v>
      </c>
      <c r="C1571" s="3" t="s">
        <v>39</v>
      </c>
      <c r="D1571" s="3" t="s">
        <v>198</v>
      </c>
      <c r="E1571" s="3" t="s">
        <v>199</v>
      </c>
      <c r="F1571" s="3" t="s">
        <v>33</v>
      </c>
      <c r="G1571" s="3" t="s">
        <v>54</v>
      </c>
      <c r="H1571" s="3" t="s">
        <v>3277</v>
      </c>
      <c r="I1571" s="3" t="n">
        <v>4</v>
      </c>
      <c r="J1571" s="3" t="n">
        <v>4</v>
      </c>
      <c r="K1571" s="3" t="n">
        <v>4</v>
      </c>
      <c r="L1571" s="3" t="n">
        <v>5</v>
      </c>
      <c r="M1571" s="3" t="n">
        <v>3</v>
      </c>
      <c r="N1571" s="3" t="n">
        <v>4</v>
      </c>
      <c r="O1571" s="6" t="b">
        <f aca="false">FALSE()</f>
        <v>0</v>
      </c>
      <c r="P1571" s="3"/>
      <c r="Q1571" s="5" t="n">
        <v>46295.4284722222</v>
      </c>
      <c r="R1571" s="5" t="n">
        <v>46295.5402777778</v>
      </c>
      <c r="S1571" s="3" t="s">
        <v>1699</v>
      </c>
      <c r="T1571" s="7" t="n">
        <f aca="false">ROUND(MIN(IF(OR(O1571=TRUE(),O1571="TRUE",O1571="Yes"),59,100),(I1571*Rubric!$C$2+J1571*Rubric!$C$3+K1571*Rubric!$C$4+L1571*Rubric!$C$5+M1571*Rubric!$C$6+N1571*Rubric!$C$7)/5),1)</f>
        <v>81</v>
      </c>
      <c r="U1571" s="8" t="str">
        <f aca="false">LOOKUP(T1571,Bands!$A$2:$A$6,Bands!$B$2:$B$6)</f>
        <v>Solid Performance</v>
      </c>
      <c r="V1571" s="8" t="n">
        <f aca="false">IF(Q1571="","",ROUND((Q1571-B1571)*24,1))</f>
        <v>0</v>
      </c>
    </row>
    <row r="1572" customFormat="false" ht="15" hidden="false" customHeight="false" outlineLevel="0" collapsed="false">
      <c r="A1572" s="3" t="s">
        <v>3278</v>
      </c>
      <c r="B1572" s="5" t="n">
        <v>46295.5736111111</v>
      </c>
      <c r="C1572" s="3" t="s">
        <v>30</v>
      </c>
      <c r="D1572" s="3" t="s">
        <v>155</v>
      </c>
      <c r="E1572" s="3" t="s">
        <v>156</v>
      </c>
      <c r="F1572" s="3" t="s">
        <v>65</v>
      </c>
      <c r="G1572" s="3" t="s">
        <v>34</v>
      </c>
      <c r="H1572" s="3" t="s">
        <v>3279</v>
      </c>
      <c r="I1572" s="3" t="n">
        <v>4</v>
      </c>
      <c r="J1572" s="3" t="n">
        <v>4</v>
      </c>
      <c r="K1572" s="3" t="n">
        <v>4</v>
      </c>
      <c r="L1572" s="3" t="n">
        <v>4</v>
      </c>
      <c r="M1572" s="3" t="n">
        <v>4</v>
      </c>
      <c r="N1572" s="3" t="n">
        <v>4</v>
      </c>
      <c r="O1572" s="6" t="b">
        <f aca="false">FALSE()</f>
        <v>0</v>
      </c>
      <c r="P1572" s="3"/>
      <c r="Q1572" s="5" t="n">
        <v>46295.5756944444</v>
      </c>
      <c r="R1572" s="5" t="n">
        <v>46295.6409722222</v>
      </c>
      <c r="S1572" s="3" t="s">
        <v>1699</v>
      </c>
      <c r="T1572" s="7" t="n">
        <f aca="false">ROUND(MIN(IF(OR(O1572=TRUE(),O1572="TRUE",O1572="Yes"),59,100),(I1572*Rubric!$C$2+J1572*Rubric!$C$3+K1572*Rubric!$C$4+L1572*Rubric!$C$5+M1572*Rubric!$C$6+N1572*Rubric!$C$7)/5),1)</f>
        <v>80</v>
      </c>
      <c r="U1572" s="8" t="str">
        <f aca="false">LOOKUP(T1572,Bands!$A$2:$A$6,Bands!$B$2:$B$6)</f>
        <v>Solid Performance</v>
      </c>
      <c r="V1572" s="8" t="n">
        <f aca="false">IF(Q1572="","",ROUND((Q1572-B1572)*24,1))</f>
        <v>0</v>
      </c>
    </row>
    <row r="1573" customFormat="false" ht="15" hidden="false" customHeight="false" outlineLevel="0" collapsed="false">
      <c r="A1573" s="3" t="s">
        <v>3280</v>
      </c>
      <c r="B1573" s="5" t="n">
        <v>46295.6465277778</v>
      </c>
      <c r="C1573" s="3" t="s">
        <v>68</v>
      </c>
      <c r="D1573" s="3" t="s">
        <v>307</v>
      </c>
      <c r="E1573" s="3" t="s">
        <v>308</v>
      </c>
      <c r="F1573" s="3" t="s">
        <v>33</v>
      </c>
      <c r="G1573" s="3" t="s">
        <v>54</v>
      </c>
      <c r="H1573" s="3" t="s">
        <v>3281</v>
      </c>
      <c r="I1573" s="3" t="n">
        <v>4</v>
      </c>
      <c r="J1573" s="3" t="n">
        <v>4</v>
      </c>
      <c r="K1573" s="3" t="n">
        <v>5</v>
      </c>
      <c r="L1573" s="3" t="n">
        <v>5</v>
      </c>
      <c r="M1573" s="3" t="n">
        <v>5</v>
      </c>
      <c r="N1573" s="3" t="n">
        <v>5</v>
      </c>
      <c r="O1573" s="6" t="b">
        <f aca="false">FALSE()</f>
        <v>0</v>
      </c>
      <c r="P1573" s="3"/>
      <c r="Q1573" s="5" t="n">
        <v>46295.6486111111</v>
      </c>
      <c r="R1573" s="5" t="n">
        <v>46295.8041666667</v>
      </c>
      <c r="S1573" s="3" t="s">
        <v>1699</v>
      </c>
      <c r="T1573" s="7" t="n">
        <f aca="false">ROUND(MIN(IF(OR(O1573=TRUE(),O1573="TRUE",O1573="Yes"),59,100),(I1573*Rubric!$C$2+J1573*Rubric!$C$3+K1573*Rubric!$C$4+L1573*Rubric!$C$5+M1573*Rubric!$C$6+N1573*Rubric!$C$7)/5),1)</f>
        <v>92</v>
      </c>
      <c r="U1573" s="8" t="str">
        <f aca="false">LOOKUP(T1573,Bands!$A$2:$A$6,Bands!$B$2:$B$6)</f>
        <v>Outstanding</v>
      </c>
      <c r="V1573" s="8" t="n">
        <f aca="false">IF(Q1573="","",ROUND((Q1573-B1573)*24,1))</f>
        <v>0</v>
      </c>
    </row>
  </sheetData>
  <conditionalFormatting sqref="T2:T1573">
    <cfRule type="cellIs" priority="2" operator="lessThan" aboveAverage="0" equalAverage="0" bottom="0" percent="0" rank="0" text="" dxfId="6">
      <formula>70</formula>
    </cfRule>
    <cfRule type="cellIs" priority="3" operator="greaterThanOrEqual" aboveAverage="0" equalAverage="0" bottom="0" percent="0" rank="0" text="" dxfId="7">
      <formula>90</formula>
    </cfRule>
  </conditionalFormatting>
  <dataValidations count="1">
    <dataValidation allowBlank="false" errorStyle="stop" operator="between" showDropDown="false" showErrorMessage="false" showInputMessage="false" sqref="I2:N1573" type="whole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4" min="4" style="1" width="60"/>
    <col collapsed="false" customWidth="true" hidden="false" outlineLevel="0" max="5" min="5" style="1" width="50"/>
  </cols>
  <sheetData>
    <row r="1" customFormat="false" ht="15" hidden="false" customHeight="false" outlineLevel="0" collapsed="false">
      <c r="A1" s="4" t="s">
        <v>3282</v>
      </c>
      <c r="B1" s="4" t="s">
        <v>3283</v>
      </c>
      <c r="C1" s="4" t="s">
        <v>3284</v>
      </c>
      <c r="D1" s="4" t="s">
        <v>3285</v>
      </c>
      <c r="E1" s="4" t="s">
        <v>3286</v>
      </c>
    </row>
    <row r="2" customFormat="false" ht="15" hidden="false" customHeight="false" outlineLevel="0" collapsed="false">
      <c r="A2" s="3" t="s">
        <v>3287</v>
      </c>
      <c r="B2" s="3" t="s">
        <v>3288</v>
      </c>
      <c r="C2" s="3" t="n">
        <v>15</v>
      </c>
      <c r="D2" s="3" t="s">
        <v>3289</v>
      </c>
      <c r="E2" s="3" t="s">
        <v>3290</v>
      </c>
    </row>
    <row r="3" customFormat="false" ht="15" hidden="false" customHeight="false" outlineLevel="0" collapsed="false">
      <c r="A3" s="3" t="s">
        <v>3291</v>
      </c>
      <c r="B3" s="3" t="s">
        <v>3292</v>
      </c>
      <c r="C3" s="3" t="n">
        <v>25</v>
      </c>
      <c r="D3" s="3" t="s">
        <v>3293</v>
      </c>
      <c r="E3" s="3" t="s">
        <v>3290</v>
      </c>
    </row>
    <row r="4" customFormat="false" ht="15" hidden="false" customHeight="false" outlineLevel="0" collapsed="false">
      <c r="A4" s="3" t="s">
        <v>3294</v>
      </c>
      <c r="B4" s="3" t="s">
        <v>3295</v>
      </c>
      <c r="C4" s="3" t="n">
        <v>20</v>
      </c>
      <c r="D4" s="3" t="s">
        <v>3296</v>
      </c>
      <c r="E4" s="3" t="s">
        <v>3290</v>
      </c>
    </row>
    <row r="5" customFormat="false" ht="15" hidden="false" customHeight="false" outlineLevel="0" collapsed="false">
      <c r="A5" s="3" t="s">
        <v>3297</v>
      </c>
      <c r="B5" s="3" t="s">
        <v>3298</v>
      </c>
      <c r="C5" s="3" t="n">
        <v>15</v>
      </c>
      <c r="D5" s="3" t="s">
        <v>3299</v>
      </c>
      <c r="E5" s="3" t="s">
        <v>3290</v>
      </c>
    </row>
    <row r="6" customFormat="false" ht="15" hidden="false" customHeight="false" outlineLevel="0" collapsed="false">
      <c r="A6" s="3" t="s">
        <v>3300</v>
      </c>
      <c r="B6" s="3" t="s">
        <v>3301</v>
      </c>
      <c r="C6" s="3" t="n">
        <v>10</v>
      </c>
      <c r="D6" s="3" t="s">
        <v>3302</v>
      </c>
      <c r="E6" s="3" t="s">
        <v>3290</v>
      </c>
    </row>
    <row r="7" customFormat="false" ht="15" hidden="false" customHeight="false" outlineLevel="0" collapsed="false">
      <c r="A7" s="3" t="s">
        <v>3303</v>
      </c>
      <c r="B7" s="3" t="s">
        <v>3304</v>
      </c>
      <c r="C7" s="3" t="n">
        <v>15</v>
      </c>
      <c r="D7" s="3" t="s">
        <v>3305</v>
      </c>
      <c r="E7" s="3" t="s">
        <v>3290</v>
      </c>
    </row>
    <row r="8" customFormat="false" ht="15" hidden="false" customHeight="false" outlineLevel="0" collapsed="false">
      <c r="B8" s="9" t="s">
        <v>3306</v>
      </c>
      <c r="C8" s="9" t="n">
        <f aca="false">SUM(C2:C7)</f>
        <v>100</v>
      </c>
    </row>
    <row r="10" customFormat="false" ht="15" hidden="false" customHeight="false" outlineLevel="0" collapsed="false">
      <c r="A10" s="10" t="s">
        <v>3307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2"/>
  </cols>
  <sheetData>
    <row r="1" customFormat="false" ht="15" hidden="false" customHeight="false" outlineLevel="0" collapsed="false">
      <c r="A1" s="4" t="s">
        <v>3308</v>
      </c>
      <c r="B1" s="4" t="s">
        <v>27</v>
      </c>
    </row>
    <row r="2" customFormat="false" ht="15" hidden="false" customHeight="false" outlineLevel="0" collapsed="false">
      <c r="A2" s="3" t="n">
        <v>0</v>
      </c>
      <c r="B2" s="3" t="s">
        <v>3309</v>
      </c>
    </row>
    <row r="3" customFormat="false" ht="15" hidden="false" customHeight="false" outlineLevel="0" collapsed="false">
      <c r="A3" s="3" t="n">
        <v>60</v>
      </c>
      <c r="B3" s="3" t="s">
        <v>3310</v>
      </c>
    </row>
    <row r="4" customFormat="false" ht="15" hidden="false" customHeight="false" outlineLevel="0" collapsed="false">
      <c r="A4" s="3" t="n">
        <v>70</v>
      </c>
      <c r="B4" s="3" t="s">
        <v>3311</v>
      </c>
    </row>
    <row r="5" customFormat="false" ht="15" hidden="false" customHeight="false" outlineLevel="0" collapsed="false">
      <c r="A5" s="3" t="n">
        <v>80</v>
      </c>
      <c r="B5" s="3" t="s">
        <v>3312</v>
      </c>
    </row>
    <row r="6" customFormat="false" ht="15" hidden="false" customHeight="false" outlineLevel="0" collapsed="false">
      <c r="A6" s="3" t="n">
        <v>90</v>
      </c>
      <c r="B6" s="3" t="s">
        <v>3313</v>
      </c>
    </row>
    <row r="8" customFormat="false" ht="15" hidden="false" customHeight="false" outlineLevel="0" collapsed="false">
      <c r="A8" s="10" t="s">
        <v>3314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6" min="5" style="1" width="24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14"/>
  </cols>
  <sheetData>
    <row r="1" customFormat="false" ht="1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3315</v>
      </c>
      <c r="E1" s="4" t="s">
        <v>3316</v>
      </c>
      <c r="F1" s="4" t="s">
        <v>3317</v>
      </c>
      <c r="G1" s="4" t="s">
        <v>3318</v>
      </c>
      <c r="H1" s="4" t="s">
        <v>3319</v>
      </c>
      <c r="I1" s="4" t="s">
        <v>3320</v>
      </c>
      <c r="J1" s="4" t="s">
        <v>3321</v>
      </c>
    </row>
    <row r="2" customFormat="false" ht="15" hidden="false" customHeight="false" outlineLevel="0" collapsed="false">
      <c r="A2" s="3" t="s">
        <v>133</v>
      </c>
      <c r="B2" s="3" t="s">
        <v>134</v>
      </c>
      <c r="C2" s="3" t="s">
        <v>33</v>
      </c>
      <c r="D2" s="3" t="s">
        <v>3322</v>
      </c>
      <c r="E2" s="3"/>
      <c r="F2" s="3"/>
      <c r="G2" s="8" t="n">
        <f aca="false">COUNTIF(Audits!$D:$D,A2)</f>
        <v>30</v>
      </c>
      <c r="H2" s="8" t="n">
        <f aca="false">IFERROR(ROUND(AVERAGEIF(Audits!$D:$D,A2,Audits!$T:$T),1),"")</f>
        <v>82.5</v>
      </c>
      <c r="I2" s="8" t="n">
        <f aca="false">COUNTIFS(Audits!$D:$D,A2,Audits!$T:$T,"&lt;70")</f>
        <v>1</v>
      </c>
      <c r="J2" s="8" t="n">
        <f aca="false">COUNTIFS(Audits!$D:$D,A2,Audits!$O:$O,TRUE())</f>
        <v>1</v>
      </c>
    </row>
    <row r="3" customFormat="false" ht="15" hidden="false" customHeight="false" outlineLevel="0" collapsed="false">
      <c r="A3" s="3" t="s">
        <v>31</v>
      </c>
      <c r="B3" s="3" t="s">
        <v>32</v>
      </c>
      <c r="C3" s="3" t="s">
        <v>33</v>
      </c>
      <c r="D3" s="3" t="s">
        <v>3322</v>
      </c>
      <c r="E3" s="3"/>
      <c r="F3" s="3"/>
      <c r="G3" s="8" t="n">
        <f aca="false">COUNTIF(Audits!$D:$D,A3)</f>
        <v>34</v>
      </c>
      <c r="H3" s="8" t="n">
        <f aca="false">IFERROR(ROUND(AVERAGEIF(Audits!$D:$D,A3,Audits!$T:$T),1),"")</f>
        <v>78.6</v>
      </c>
      <c r="I3" s="8" t="n">
        <f aca="false">COUNTIFS(Audits!$D:$D,A3,Audits!$T:$T,"&lt;70")</f>
        <v>6</v>
      </c>
      <c r="J3" s="8" t="n">
        <f aca="false">COUNTIFS(Audits!$D:$D,A3,Audits!$O:$O,TRUE())</f>
        <v>4</v>
      </c>
    </row>
    <row r="4" customFormat="false" ht="15" hidden="false" customHeight="false" outlineLevel="0" collapsed="false">
      <c r="A4" s="3" t="s">
        <v>161</v>
      </c>
      <c r="B4" s="3" t="s">
        <v>162</v>
      </c>
      <c r="C4" s="3" t="s">
        <v>33</v>
      </c>
      <c r="D4" s="3" t="s">
        <v>3322</v>
      </c>
      <c r="E4" s="3"/>
      <c r="F4" s="3"/>
      <c r="G4" s="8" t="n">
        <f aca="false">COUNTIF(Audits!$D:$D,A4)</f>
        <v>42</v>
      </c>
      <c r="H4" s="8" t="n">
        <f aca="false">IFERROR(ROUND(AVERAGEIF(Audits!$D:$D,A4,Audits!$T:$T),1),"")</f>
        <v>80.1</v>
      </c>
      <c r="I4" s="8" t="n">
        <f aca="false">COUNTIFS(Audits!$D:$D,A4,Audits!$T:$T,"&lt;70")</f>
        <v>1</v>
      </c>
      <c r="J4" s="8" t="n">
        <f aca="false">COUNTIFS(Audits!$D:$D,A4,Audits!$O:$O,TRUE())</f>
        <v>1</v>
      </c>
    </row>
    <row r="5" customFormat="false" ht="15" hidden="false" customHeight="false" outlineLevel="0" collapsed="false">
      <c r="A5" s="3" t="s">
        <v>119</v>
      </c>
      <c r="B5" s="3" t="s">
        <v>120</v>
      </c>
      <c r="C5" s="3" t="s">
        <v>33</v>
      </c>
      <c r="D5" s="3" t="s">
        <v>3322</v>
      </c>
      <c r="E5" s="3"/>
      <c r="F5" s="3"/>
      <c r="G5" s="8" t="n">
        <f aca="false">COUNTIF(Audits!$D:$D,A5)</f>
        <v>46</v>
      </c>
      <c r="H5" s="8" t="n">
        <f aca="false">IFERROR(ROUND(AVERAGEIF(Audits!$D:$D,A5,Audits!$T:$T),1),"")</f>
        <v>74.4</v>
      </c>
      <c r="I5" s="8" t="n">
        <f aca="false">COUNTIFS(Audits!$D:$D,A5,Audits!$T:$T,"&lt;70")</f>
        <v>9</v>
      </c>
      <c r="J5" s="8" t="n">
        <f aca="false">COUNTIFS(Audits!$D:$D,A5,Audits!$O:$O,TRUE())</f>
        <v>5</v>
      </c>
    </row>
    <row r="6" customFormat="false" ht="15" hidden="false" customHeight="false" outlineLevel="0" collapsed="false">
      <c r="A6" s="3" t="s">
        <v>238</v>
      </c>
      <c r="B6" s="3" t="s">
        <v>239</v>
      </c>
      <c r="C6" s="3" t="s">
        <v>33</v>
      </c>
      <c r="D6" s="3" t="s">
        <v>3322</v>
      </c>
      <c r="E6" s="3"/>
      <c r="F6" s="3"/>
      <c r="G6" s="8" t="n">
        <f aca="false">COUNTIF(Audits!$D:$D,A6)</f>
        <v>46</v>
      </c>
      <c r="H6" s="8" t="n">
        <f aca="false">IFERROR(ROUND(AVERAGEIF(Audits!$D:$D,A6,Audits!$T:$T),1),"")</f>
        <v>78.5</v>
      </c>
      <c r="I6" s="8" t="n">
        <f aca="false">COUNTIFS(Audits!$D:$D,A6,Audits!$T:$T,"&lt;70")</f>
        <v>3</v>
      </c>
      <c r="J6" s="8" t="n">
        <f aca="false">COUNTIFS(Audits!$D:$D,A6,Audits!$O:$O,TRUE())</f>
        <v>2</v>
      </c>
    </row>
    <row r="7" customFormat="false" ht="15" hidden="false" customHeight="false" outlineLevel="0" collapsed="false">
      <c r="A7" s="3" t="s">
        <v>198</v>
      </c>
      <c r="B7" s="3" t="s">
        <v>199</v>
      </c>
      <c r="C7" s="3" t="s">
        <v>33</v>
      </c>
      <c r="D7" s="3" t="s">
        <v>3322</v>
      </c>
      <c r="E7" s="3"/>
      <c r="F7" s="3"/>
      <c r="G7" s="8" t="n">
        <f aca="false">COUNTIF(Audits!$D:$D,A7)</f>
        <v>40</v>
      </c>
      <c r="H7" s="8" t="n">
        <f aca="false">IFERROR(ROUND(AVERAGEIF(Audits!$D:$D,A7,Audits!$T:$T),1),"")</f>
        <v>74.6</v>
      </c>
      <c r="I7" s="8" t="n">
        <f aca="false">COUNTIFS(Audits!$D:$D,A7,Audits!$T:$T,"&lt;70")</f>
        <v>6</v>
      </c>
      <c r="J7" s="8" t="n">
        <f aca="false">COUNTIFS(Audits!$D:$D,A7,Audits!$O:$O,TRUE())</f>
        <v>1</v>
      </c>
    </row>
    <row r="8" customFormat="false" ht="15" hidden="false" customHeight="false" outlineLevel="0" collapsed="false">
      <c r="A8" s="3" t="s">
        <v>100</v>
      </c>
      <c r="B8" s="3" t="s">
        <v>101</v>
      </c>
      <c r="C8" s="3" t="s">
        <v>33</v>
      </c>
      <c r="D8" s="3" t="s">
        <v>3322</v>
      </c>
      <c r="E8" s="3"/>
      <c r="F8" s="3"/>
      <c r="G8" s="8" t="n">
        <f aca="false">COUNTIF(Audits!$D:$D,A8)</f>
        <v>35</v>
      </c>
      <c r="H8" s="8" t="n">
        <f aca="false">IFERROR(ROUND(AVERAGEIF(Audits!$D:$D,A8,Audits!$T:$T),1),"")</f>
        <v>84.5</v>
      </c>
      <c r="I8" s="8" t="n">
        <f aca="false">COUNTIFS(Audits!$D:$D,A8,Audits!$T:$T,"&lt;70")</f>
        <v>1</v>
      </c>
      <c r="J8" s="8" t="n">
        <f aca="false">COUNTIFS(Audits!$D:$D,A8,Audits!$O:$O,TRUE())</f>
        <v>1</v>
      </c>
    </row>
    <row r="9" customFormat="false" ht="15" hidden="false" customHeight="false" outlineLevel="0" collapsed="false">
      <c r="A9" s="3" t="s">
        <v>96</v>
      </c>
      <c r="B9" s="3" t="s">
        <v>97</v>
      </c>
      <c r="C9" s="3" t="s">
        <v>33</v>
      </c>
      <c r="D9" s="3" t="s">
        <v>3322</v>
      </c>
      <c r="E9" s="3"/>
      <c r="F9" s="3"/>
      <c r="G9" s="8" t="n">
        <f aca="false">COUNTIF(Audits!$D:$D,A9)</f>
        <v>37</v>
      </c>
      <c r="H9" s="8" t="n">
        <f aca="false">IFERROR(ROUND(AVERAGEIF(Audits!$D:$D,A9,Audits!$T:$T),1),"")</f>
        <v>82.2</v>
      </c>
      <c r="I9" s="8" t="n">
        <f aca="false">COUNTIFS(Audits!$D:$D,A9,Audits!$T:$T,"&lt;70")</f>
        <v>2</v>
      </c>
      <c r="J9" s="8" t="n">
        <f aca="false">COUNTIFS(Audits!$D:$D,A9,Audits!$O:$O,TRUE())</f>
        <v>2</v>
      </c>
    </row>
    <row r="10" customFormat="false" ht="15" hidden="false" customHeight="false" outlineLevel="0" collapsed="false">
      <c r="A10" s="3" t="s">
        <v>73</v>
      </c>
      <c r="B10" s="3" t="s">
        <v>74</v>
      </c>
      <c r="C10" s="3" t="s">
        <v>33</v>
      </c>
      <c r="D10" s="3" t="s">
        <v>3322</v>
      </c>
      <c r="E10" s="3"/>
      <c r="F10" s="3"/>
      <c r="G10" s="8" t="n">
        <f aca="false">COUNTIF(Audits!$D:$D,A10)</f>
        <v>37</v>
      </c>
      <c r="H10" s="8" t="n">
        <f aca="false">IFERROR(ROUND(AVERAGEIF(Audits!$D:$D,A10,Audits!$T:$T),1),"")</f>
        <v>84.8</v>
      </c>
      <c r="I10" s="8" t="n">
        <f aca="false">COUNTIFS(Audits!$D:$D,A10,Audits!$T:$T,"&lt;70")</f>
        <v>0</v>
      </c>
      <c r="J10" s="8" t="n">
        <f aca="false">COUNTIFS(Audits!$D:$D,A10,Audits!$O:$O,TRUE())</f>
        <v>0</v>
      </c>
    </row>
    <row r="11" customFormat="false" ht="15" hidden="false" customHeight="false" outlineLevel="0" collapsed="false">
      <c r="A11" s="3" t="s">
        <v>145</v>
      </c>
      <c r="B11" s="3" t="s">
        <v>146</v>
      </c>
      <c r="C11" s="3" t="s">
        <v>33</v>
      </c>
      <c r="D11" s="3" t="s">
        <v>3322</v>
      </c>
      <c r="E11" s="3"/>
      <c r="F11" s="3"/>
      <c r="G11" s="8" t="n">
        <f aca="false">COUNTIF(Audits!$D:$D,A11)</f>
        <v>49</v>
      </c>
      <c r="H11" s="8" t="n">
        <f aca="false">IFERROR(ROUND(AVERAGEIF(Audits!$D:$D,A11,Audits!$T:$T),1),"")</f>
        <v>74.3</v>
      </c>
      <c r="I11" s="8" t="n">
        <f aca="false">COUNTIFS(Audits!$D:$D,A11,Audits!$T:$T,"&lt;70")</f>
        <v>9</v>
      </c>
      <c r="J11" s="8" t="n">
        <f aca="false">COUNTIFS(Audits!$D:$D,A11,Audits!$O:$O,TRUE())</f>
        <v>4</v>
      </c>
    </row>
    <row r="12" customFormat="false" ht="15" hidden="false" customHeight="false" outlineLevel="0" collapsed="false">
      <c r="A12" s="3" t="s">
        <v>40</v>
      </c>
      <c r="B12" s="3" t="s">
        <v>41</v>
      </c>
      <c r="C12" s="3" t="s">
        <v>33</v>
      </c>
      <c r="D12" s="3" t="s">
        <v>3322</v>
      </c>
      <c r="E12" s="3"/>
      <c r="F12" s="3"/>
      <c r="G12" s="8" t="n">
        <f aca="false">COUNTIF(Audits!$D:$D,A12)</f>
        <v>38</v>
      </c>
      <c r="H12" s="8" t="n">
        <f aca="false">IFERROR(ROUND(AVERAGEIF(Audits!$D:$D,A12,Audits!$T:$T),1),"")</f>
        <v>76.8</v>
      </c>
      <c r="I12" s="8" t="n">
        <f aca="false">COUNTIFS(Audits!$D:$D,A12,Audits!$T:$T,"&lt;70")</f>
        <v>5</v>
      </c>
      <c r="J12" s="8" t="n">
        <f aca="false">COUNTIFS(Audits!$D:$D,A12,Audits!$O:$O,TRUE())</f>
        <v>0</v>
      </c>
    </row>
    <row r="13" customFormat="false" ht="15" hidden="false" customHeight="false" outlineLevel="0" collapsed="false">
      <c r="A13" s="3" t="s">
        <v>77</v>
      </c>
      <c r="B13" s="3" t="s">
        <v>78</v>
      </c>
      <c r="C13" s="3" t="s">
        <v>33</v>
      </c>
      <c r="D13" s="3" t="s">
        <v>3322</v>
      </c>
      <c r="E13" s="3"/>
      <c r="F13" s="3"/>
      <c r="G13" s="8" t="n">
        <f aca="false">COUNTIF(Audits!$D:$D,A13)</f>
        <v>43</v>
      </c>
      <c r="H13" s="8" t="n">
        <f aca="false">IFERROR(ROUND(AVERAGEIF(Audits!$D:$D,A13,Audits!$T:$T),1),"")</f>
        <v>88</v>
      </c>
      <c r="I13" s="8" t="n">
        <f aca="false">COUNTIFS(Audits!$D:$D,A13,Audits!$T:$T,"&lt;70")</f>
        <v>3</v>
      </c>
      <c r="J13" s="8" t="n">
        <f aca="false">COUNTIFS(Audits!$D:$D,A13,Audits!$O:$O,TRUE())</f>
        <v>3</v>
      </c>
    </row>
    <row r="14" customFormat="false" ht="15" hidden="false" customHeight="false" outlineLevel="0" collapsed="false">
      <c r="A14" s="3" t="s">
        <v>259</v>
      </c>
      <c r="B14" s="3" t="s">
        <v>260</v>
      </c>
      <c r="C14" s="3" t="s">
        <v>33</v>
      </c>
      <c r="D14" s="3" t="s">
        <v>3322</v>
      </c>
      <c r="E14" s="3"/>
      <c r="F14" s="3"/>
      <c r="G14" s="8" t="n">
        <f aca="false">COUNTIF(Audits!$D:$D,A14)</f>
        <v>36</v>
      </c>
      <c r="H14" s="8" t="n">
        <f aca="false">IFERROR(ROUND(AVERAGEIF(Audits!$D:$D,A14,Audits!$T:$T),1),"")</f>
        <v>89.8</v>
      </c>
      <c r="I14" s="8" t="n">
        <f aca="false">COUNTIFS(Audits!$D:$D,A14,Audits!$T:$T,"&lt;70")</f>
        <v>0</v>
      </c>
      <c r="J14" s="8" t="n">
        <f aca="false">COUNTIFS(Audits!$D:$D,A14,Audits!$O:$O,TRUE())</f>
        <v>0</v>
      </c>
    </row>
    <row r="15" customFormat="false" ht="15" hidden="false" customHeight="false" outlineLevel="0" collapsed="false">
      <c r="A15" s="3" t="s">
        <v>307</v>
      </c>
      <c r="B15" s="3" t="s">
        <v>308</v>
      </c>
      <c r="C15" s="3" t="s">
        <v>33</v>
      </c>
      <c r="D15" s="3" t="s">
        <v>3322</v>
      </c>
      <c r="E15" s="3"/>
      <c r="F15" s="3"/>
      <c r="G15" s="8" t="n">
        <f aca="false">COUNTIF(Audits!$D:$D,A15)</f>
        <v>42</v>
      </c>
      <c r="H15" s="8" t="n">
        <f aca="false">IFERROR(ROUND(AVERAGEIF(Audits!$D:$D,A15,Audits!$T:$T),1),"")</f>
        <v>88.6</v>
      </c>
      <c r="I15" s="8" t="n">
        <f aca="false">COUNTIFS(Audits!$D:$D,A15,Audits!$T:$T,"&lt;70")</f>
        <v>2</v>
      </c>
      <c r="J15" s="8" t="n">
        <f aca="false">COUNTIFS(Audits!$D:$D,A15,Audits!$O:$O,TRUE())</f>
        <v>2</v>
      </c>
    </row>
    <row r="16" customFormat="false" ht="15" hidden="false" customHeight="false" outlineLevel="0" collapsed="false">
      <c r="A16" s="3" t="s">
        <v>111</v>
      </c>
      <c r="B16" s="3" t="s">
        <v>112</v>
      </c>
      <c r="C16" s="3" t="s">
        <v>33</v>
      </c>
      <c r="D16" s="3" t="s">
        <v>3322</v>
      </c>
      <c r="E16" s="3"/>
      <c r="F16" s="3"/>
      <c r="G16" s="8" t="n">
        <f aca="false">COUNTIF(Audits!$D:$D,A16)</f>
        <v>39</v>
      </c>
      <c r="H16" s="8" t="n">
        <f aca="false">IFERROR(ROUND(AVERAGEIF(Audits!$D:$D,A16,Audits!$T:$T),1),"")</f>
        <v>79.8</v>
      </c>
      <c r="I16" s="8" t="n">
        <f aca="false">COUNTIFS(Audits!$D:$D,A16,Audits!$T:$T,"&lt;70")</f>
        <v>2</v>
      </c>
      <c r="J16" s="8" t="n">
        <f aca="false">COUNTIFS(Audits!$D:$D,A16,Audits!$O:$O,TRUE())</f>
        <v>1</v>
      </c>
    </row>
    <row r="17" customFormat="false" ht="15" hidden="false" customHeight="false" outlineLevel="0" collapsed="false">
      <c r="A17" s="3" t="s">
        <v>212</v>
      </c>
      <c r="B17" s="3" t="s">
        <v>213</v>
      </c>
      <c r="C17" s="3" t="s">
        <v>33</v>
      </c>
      <c r="D17" s="3" t="s">
        <v>3322</v>
      </c>
      <c r="E17" s="3"/>
      <c r="F17" s="3"/>
      <c r="G17" s="8" t="n">
        <f aca="false">COUNTIF(Audits!$D:$D,A17)</f>
        <v>42</v>
      </c>
      <c r="H17" s="8" t="n">
        <f aca="false">IFERROR(ROUND(AVERAGEIF(Audits!$D:$D,A17,Audits!$T:$T),1),"")</f>
        <v>67.4</v>
      </c>
      <c r="I17" s="8" t="n">
        <f aca="false">COUNTIFS(Audits!$D:$D,A17,Audits!$T:$T,"&lt;70")</f>
        <v>28</v>
      </c>
      <c r="J17" s="8" t="n">
        <f aca="false">COUNTIFS(Audits!$D:$D,A17,Audits!$O:$O,TRUE())</f>
        <v>0</v>
      </c>
    </row>
    <row r="18" customFormat="false" ht="15" hidden="false" customHeight="false" outlineLevel="0" collapsed="false">
      <c r="A18" s="3" t="s">
        <v>167</v>
      </c>
      <c r="B18" s="3" t="s">
        <v>168</v>
      </c>
      <c r="C18" s="3" t="s">
        <v>33</v>
      </c>
      <c r="D18" s="3" t="s">
        <v>3322</v>
      </c>
      <c r="E18" s="3"/>
      <c r="F18" s="3"/>
      <c r="G18" s="8" t="n">
        <f aca="false">COUNTIF(Audits!$D:$D,A18)</f>
        <v>34</v>
      </c>
      <c r="H18" s="8" t="n">
        <f aca="false">IFERROR(ROUND(AVERAGEIF(Audits!$D:$D,A18,Audits!$T:$T),1),"")</f>
        <v>65</v>
      </c>
      <c r="I18" s="8" t="n">
        <f aca="false">COUNTIFS(Audits!$D:$D,A18,Audits!$T:$T,"&lt;70")</f>
        <v>24</v>
      </c>
      <c r="J18" s="8" t="n">
        <f aca="false">COUNTIFS(Audits!$D:$D,A18,Audits!$O:$O,TRUE())</f>
        <v>2</v>
      </c>
    </row>
    <row r="19" customFormat="false" ht="15" hidden="false" customHeight="false" outlineLevel="0" collapsed="false">
      <c r="A19" s="3" t="s">
        <v>115</v>
      </c>
      <c r="B19" s="3" t="s">
        <v>116</v>
      </c>
      <c r="C19" s="3" t="s">
        <v>33</v>
      </c>
      <c r="D19" s="3" t="s">
        <v>3322</v>
      </c>
      <c r="E19" s="3"/>
      <c r="F19" s="3"/>
      <c r="G19" s="8" t="n">
        <f aca="false">COUNTIF(Audits!$D:$D,A19)</f>
        <v>45</v>
      </c>
      <c r="H19" s="8" t="n">
        <f aca="false">IFERROR(ROUND(AVERAGEIF(Audits!$D:$D,A19,Audits!$T:$T),1),"")</f>
        <v>82.5</v>
      </c>
      <c r="I19" s="8" t="n">
        <f aca="false">COUNTIFS(Audits!$D:$D,A19,Audits!$T:$T,"&lt;70")</f>
        <v>3</v>
      </c>
      <c r="J19" s="8" t="n">
        <f aca="false">COUNTIFS(Audits!$D:$D,A19,Audits!$O:$O,TRUE())</f>
        <v>3</v>
      </c>
    </row>
    <row r="20" customFormat="false" ht="15" hidden="false" customHeight="false" outlineLevel="0" collapsed="false">
      <c r="A20" s="3" t="s">
        <v>46</v>
      </c>
      <c r="B20" s="3" t="s">
        <v>47</v>
      </c>
      <c r="C20" s="3" t="s">
        <v>33</v>
      </c>
      <c r="D20" s="3" t="s">
        <v>3322</v>
      </c>
      <c r="E20" s="3"/>
      <c r="F20" s="3"/>
      <c r="G20" s="8" t="n">
        <f aca="false">COUNTIF(Audits!$D:$D,A20)</f>
        <v>33</v>
      </c>
      <c r="H20" s="8" t="n">
        <f aca="false">IFERROR(ROUND(AVERAGEIF(Audits!$D:$D,A20,Audits!$T:$T),1),"")</f>
        <v>83.9</v>
      </c>
      <c r="I20" s="8" t="n">
        <f aca="false">COUNTIFS(Audits!$D:$D,A20,Audits!$T:$T,"&lt;70")</f>
        <v>0</v>
      </c>
      <c r="J20" s="8" t="n">
        <f aca="false">COUNTIFS(Audits!$D:$D,A20,Audits!$O:$O,TRUE())</f>
        <v>0</v>
      </c>
    </row>
    <row r="21" customFormat="false" ht="15" hidden="false" customHeight="false" outlineLevel="0" collapsed="false">
      <c r="A21" s="3" t="s">
        <v>151</v>
      </c>
      <c r="B21" s="3" t="s">
        <v>152</v>
      </c>
      <c r="C21" s="3" t="s">
        <v>33</v>
      </c>
      <c r="D21" s="3" t="s">
        <v>3322</v>
      </c>
      <c r="E21" s="3"/>
      <c r="F21" s="3"/>
      <c r="G21" s="8" t="n">
        <f aca="false">COUNTIF(Audits!$D:$D,A21)</f>
        <v>40</v>
      </c>
      <c r="H21" s="8" t="n">
        <f aca="false">IFERROR(ROUND(AVERAGEIF(Audits!$D:$D,A21,Audits!$T:$T),1),"")</f>
        <v>81.4</v>
      </c>
      <c r="I21" s="8" t="n">
        <f aca="false">COUNTIFS(Audits!$D:$D,A21,Audits!$T:$T,"&lt;70")</f>
        <v>1</v>
      </c>
      <c r="J21" s="8" t="n">
        <f aca="false">COUNTIFS(Audits!$D:$D,A21,Audits!$O:$O,TRUE())</f>
        <v>0</v>
      </c>
    </row>
    <row r="22" customFormat="false" ht="15" hidden="false" customHeight="false" outlineLevel="0" collapsed="false">
      <c r="A22" s="3" t="s">
        <v>265</v>
      </c>
      <c r="B22" s="3" t="s">
        <v>266</v>
      </c>
      <c r="C22" s="3" t="s">
        <v>33</v>
      </c>
      <c r="D22" s="3" t="s">
        <v>3322</v>
      </c>
      <c r="E22" s="3"/>
      <c r="F22" s="3"/>
      <c r="G22" s="8" t="n">
        <f aca="false">COUNTIF(Audits!$D:$D,A22)</f>
        <v>40</v>
      </c>
      <c r="H22" s="8" t="n">
        <f aca="false">IFERROR(ROUND(AVERAGEIF(Audits!$D:$D,A22,Audits!$T:$T),1),"")</f>
        <v>66.1</v>
      </c>
      <c r="I22" s="8" t="n">
        <f aca="false">COUNTIFS(Audits!$D:$D,A22,Audits!$T:$T,"&lt;70")</f>
        <v>27</v>
      </c>
      <c r="J22" s="8" t="n">
        <f aca="false">COUNTIFS(Audits!$D:$D,A22,Audits!$O:$O,TRUE())</f>
        <v>0</v>
      </c>
    </row>
    <row r="23" customFormat="false" ht="15" hidden="false" customHeight="false" outlineLevel="0" collapsed="false">
      <c r="A23" s="3" t="s">
        <v>85</v>
      </c>
      <c r="B23" s="3" t="s">
        <v>86</v>
      </c>
      <c r="C23" s="3" t="s">
        <v>33</v>
      </c>
      <c r="D23" s="3" t="s">
        <v>3322</v>
      </c>
      <c r="E23" s="3"/>
      <c r="F23" s="3"/>
      <c r="G23" s="8" t="n">
        <f aca="false">COUNTIF(Audits!$D:$D,A23)</f>
        <v>37</v>
      </c>
      <c r="H23" s="8" t="n">
        <f aca="false">IFERROR(ROUND(AVERAGEIF(Audits!$D:$D,A23,Audits!$T:$T),1),"")</f>
        <v>78</v>
      </c>
      <c r="I23" s="8" t="n">
        <f aca="false">COUNTIFS(Audits!$D:$D,A23,Audits!$T:$T,"&lt;70")</f>
        <v>3</v>
      </c>
      <c r="J23" s="8" t="n">
        <f aca="false">COUNTIFS(Audits!$D:$D,A23,Audits!$O:$O,TRUE())</f>
        <v>2</v>
      </c>
    </row>
    <row r="24" customFormat="false" ht="15" hidden="false" customHeight="false" outlineLevel="0" collapsed="false">
      <c r="A24" s="3" t="s">
        <v>293</v>
      </c>
      <c r="B24" s="3" t="s">
        <v>294</v>
      </c>
      <c r="C24" s="3" t="s">
        <v>65</v>
      </c>
      <c r="D24" s="3" t="s">
        <v>3323</v>
      </c>
      <c r="E24" s="3"/>
      <c r="F24" s="3"/>
      <c r="G24" s="8" t="n">
        <f aca="false">COUNTIF(Audits!$D:$D,A24)</f>
        <v>37</v>
      </c>
      <c r="H24" s="8" t="n">
        <f aca="false">IFERROR(ROUND(AVERAGEIF(Audits!$D:$D,A24,Audits!$T:$T),1),"")</f>
        <v>89.6</v>
      </c>
      <c r="I24" s="8" t="n">
        <f aca="false">COUNTIFS(Audits!$D:$D,A24,Audits!$T:$T,"&lt;70")</f>
        <v>1</v>
      </c>
      <c r="J24" s="8" t="n">
        <f aca="false">COUNTIFS(Audits!$D:$D,A24,Audits!$O:$O,TRUE())</f>
        <v>1</v>
      </c>
    </row>
    <row r="25" customFormat="false" ht="15" hidden="false" customHeight="false" outlineLevel="0" collapsed="false">
      <c r="A25" s="3" t="s">
        <v>63</v>
      </c>
      <c r="B25" s="3" t="s">
        <v>64</v>
      </c>
      <c r="C25" s="3" t="s">
        <v>65</v>
      </c>
      <c r="D25" s="3" t="s">
        <v>3323</v>
      </c>
      <c r="E25" s="3"/>
      <c r="F25" s="3"/>
      <c r="G25" s="8" t="n">
        <f aca="false">COUNTIF(Audits!$D:$D,A25)</f>
        <v>41</v>
      </c>
      <c r="H25" s="8" t="n">
        <f aca="false">IFERROR(ROUND(AVERAGEIF(Audits!$D:$D,A25,Audits!$T:$T),1),"")</f>
        <v>73.9</v>
      </c>
      <c r="I25" s="8" t="n">
        <f aca="false">COUNTIFS(Audits!$D:$D,A25,Audits!$T:$T,"&lt;70")</f>
        <v>10</v>
      </c>
      <c r="J25" s="8" t="n">
        <f aca="false">COUNTIFS(Audits!$D:$D,A25,Audits!$O:$O,TRUE())</f>
        <v>1</v>
      </c>
    </row>
    <row r="26" customFormat="false" ht="15" hidden="false" customHeight="false" outlineLevel="0" collapsed="false">
      <c r="A26" s="3" t="s">
        <v>137</v>
      </c>
      <c r="B26" s="3" t="s">
        <v>138</v>
      </c>
      <c r="C26" s="3" t="s">
        <v>65</v>
      </c>
      <c r="D26" s="3" t="s">
        <v>3323</v>
      </c>
      <c r="E26" s="3"/>
      <c r="F26" s="3"/>
      <c r="G26" s="8" t="n">
        <f aca="false">COUNTIF(Audits!$D:$D,A26)</f>
        <v>39</v>
      </c>
      <c r="H26" s="8" t="n">
        <f aca="false">IFERROR(ROUND(AVERAGEIF(Audits!$D:$D,A26,Audits!$T:$T),1),"")</f>
        <v>87.8</v>
      </c>
      <c r="I26" s="8" t="n">
        <f aca="false">COUNTIFS(Audits!$D:$D,A26,Audits!$T:$T,"&lt;70")</f>
        <v>0</v>
      </c>
      <c r="J26" s="8" t="n">
        <f aca="false">COUNTIFS(Audits!$D:$D,A26,Audits!$O:$O,TRUE())</f>
        <v>0</v>
      </c>
    </row>
    <row r="27" customFormat="false" ht="15" hidden="false" customHeight="false" outlineLevel="0" collapsed="false">
      <c r="A27" s="3" t="s">
        <v>69</v>
      </c>
      <c r="B27" s="3" t="s">
        <v>70</v>
      </c>
      <c r="C27" s="3" t="s">
        <v>65</v>
      </c>
      <c r="D27" s="3" t="s">
        <v>3323</v>
      </c>
      <c r="E27" s="3"/>
      <c r="F27" s="3"/>
      <c r="G27" s="8" t="n">
        <f aca="false">COUNTIF(Audits!$D:$D,A27)</f>
        <v>34</v>
      </c>
      <c r="H27" s="8" t="n">
        <f aca="false">IFERROR(ROUND(AVERAGEIF(Audits!$D:$D,A27,Audits!$T:$T),1),"")</f>
        <v>80.4</v>
      </c>
      <c r="I27" s="8" t="n">
        <f aca="false">COUNTIFS(Audits!$D:$D,A27,Audits!$T:$T,"&lt;70")</f>
        <v>2</v>
      </c>
      <c r="J27" s="8" t="n">
        <f aca="false">COUNTIFS(Audits!$D:$D,A27,Audits!$O:$O,TRUE())</f>
        <v>2</v>
      </c>
    </row>
    <row r="28" customFormat="false" ht="15" hidden="false" customHeight="false" outlineLevel="0" collapsed="false">
      <c r="A28" s="3" t="s">
        <v>155</v>
      </c>
      <c r="B28" s="3" t="s">
        <v>156</v>
      </c>
      <c r="C28" s="3" t="s">
        <v>65</v>
      </c>
      <c r="D28" s="3" t="s">
        <v>3323</v>
      </c>
      <c r="E28" s="3"/>
      <c r="F28" s="3"/>
      <c r="G28" s="8" t="n">
        <f aca="false">COUNTIF(Audits!$D:$D,A28)</f>
        <v>49</v>
      </c>
      <c r="H28" s="8" t="n">
        <f aca="false">IFERROR(ROUND(AVERAGEIF(Audits!$D:$D,A28,Audits!$T:$T),1),"")</f>
        <v>81</v>
      </c>
      <c r="I28" s="8" t="n">
        <f aca="false">COUNTIFS(Audits!$D:$D,A28,Audits!$T:$T,"&lt;70")</f>
        <v>3</v>
      </c>
      <c r="J28" s="8" t="n">
        <f aca="false">COUNTIFS(Audits!$D:$D,A28,Audits!$O:$O,TRUE())</f>
        <v>2</v>
      </c>
    </row>
    <row r="29" customFormat="false" ht="15" hidden="false" customHeight="false" outlineLevel="0" collapsed="false">
      <c r="A29" s="3" t="s">
        <v>228</v>
      </c>
      <c r="B29" s="3" t="s">
        <v>229</v>
      </c>
      <c r="C29" s="3" t="s">
        <v>65</v>
      </c>
      <c r="D29" s="3" t="s">
        <v>3323</v>
      </c>
      <c r="E29" s="3"/>
      <c r="F29" s="3"/>
      <c r="G29" s="8" t="n">
        <f aca="false">COUNTIF(Audits!$D:$D,A29)</f>
        <v>44</v>
      </c>
      <c r="H29" s="8" t="n">
        <f aca="false">IFERROR(ROUND(AVERAGEIF(Audits!$D:$D,A29,Audits!$T:$T),1),"")</f>
        <v>63.7</v>
      </c>
      <c r="I29" s="8" t="n">
        <f aca="false">COUNTIFS(Audits!$D:$D,A29,Audits!$T:$T,"&lt;70")</f>
        <v>34</v>
      </c>
      <c r="J29" s="8" t="n">
        <f aca="false">COUNTIFS(Audits!$D:$D,A29,Audits!$O:$O,TRUE())</f>
        <v>5</v>
      </c>
    </row>
    <row r="30" customFormat="false" ht="15" hidden="false" customHeight="false" outlineLevel="0" collapsed="false">
      <c r="A30" s="3" t="s">
        <v>105</v>
      </c>
      <c r="B30" s="3" t="s">
        <v>106</v>
      </c>
      <c r="C30" s="3" t="s">
        <v>65</v>
      </c>
      <c r="D30" s="3" t="s">
        <v>3323</v>
      </c>
      <c r="E30" s="3"/>
      <c r="F30" s="3"/>
      <c r="G30" s="8" t="n">
        <f aca="false">COUNTIF(Audits!$D:$D,A30)</f>
        <v>40</v>
      </c>
      <c r="H30" s="8" t="n">
        <f aca="false">IFERROR(ROUND(AVERAGEIF(Audits!$D:$D,A30,Audits!$T:$T),1),"")</f>
        <v>76.9</v>
      </c>
      <c r="I30" s="8" t="n">
        <f aca="false">COUNTIFS(Audits!$D:$D,A30,Audits!$T:$T,"&lt;70")</f>
        <v>3</v>
      </c>
      <c r="J30" s="8" t="n">
        <f aca="false">COUNTIFS(Audits!$D:$D,A30,Audits!$O:$O,TRUE())</f>
        <v>0</v>
      </c>
    </row>
    <row r="31" customFormat="false" ht="15" hidden="false" customHeight="false" outlineLevel="0" collapsed="false">
      <c r="A31" s="3" t="s">
        <v>81</v>
      </c>
      <c r="B31" s="3" t="s">
        <v>82</v>
      </c>
      <c r="C31" s="3" t="s">
        <v>65</v>
      </c>
      <c r="D31" s="3" t="s">
        <v>3323</v>
      </c>
      <c r="E31" s="3"/>
      <c r="F31" s="3"/>
      <c r="G31" s="8" t="n">
        <f aca="false">COUNTIF(Audits!$D:$D,A31)</f>
        <v>33</v>
      </c>
      <c r="H31" s="8" t="n">
        <f aca="false">IFERROR(ROUND(AVERAGEIF(Audits!$D:$D,A31,Audits!$T:$T),1),"")</f>
        <v>76.6</v>
      </c>
      <c r="I31" s="8" t="n">
        <f aca="false">COUNTIFS(Audits!$D:$D,A31,Audits!$T:$T,"&lt;70")</f>
        <v>4</v>
      </c>
      <c r="J31" s="8" t="n">
        <f aca="false">COUNTIFS(Audits!$D:$D,A31,Audits!$O:$O,TRUE())</f>
        <v>1</v>
      </c>
    </row>
    <row r="32" customFormat="false" ht="15" hidden="false" customHeight="false" outlineLevel="0" collapsed="false">
      <c r="A32" s="3" t="s">
        <v>90</v>
      </c>
      <c r="B32" s="3" t="s">
        <v>91</v>
      </c>
      <c r="C32" s="3" t="s">
        <v>65</v>
      </c>
      <c r="D32" s="3" t="s">
        <v>3323</v>
      </c>
      <c r="E32" s="3"/>
      <c r="F32" s="3"/>
      <c r="G32" s="8" t="n">
        <f aca="false">COUNTIF(Audits!$D:$D,A32)</f>
        <v>43</v>
      </c>
      <c r="H32" s="8" t="n">
        <f aca="false">IFERROR(ROUND(AVERAGEIF(Audits!$D:$D,A32,Audits!$T:$T),1),"")</f>
        <v>79.5</v>
      </c>
      <c r="I32" s="8" t="n">
        <f aca="false">COUNTIFS(Audits!$D:$D,A32,Audits!$T:$T,"&lt;70")</f>
        <v>3</v>
      </c>
      <c r="J32" s="8" t="n">
        <f aca="false">COUNTIFS(Audits!$D:$D,A32,Audits!$O:$O,TRUE())</f>
        <v>1</v>
      </c>
    </row>
    <row r="33" customFormat="false" ht="15" hidden="false" customHeight="false" outlineLevel="0" collapsed="false">
      <c r="A33" s="3" t="s">
        <v>486</v>
      </c>
      <c r="B33" s="3" t="s">
        <v>487</v>
      </c>
      <c r="C33" s="3" t="s">
        <v>65</v>
      </c>
      <c r="D33" s="3" t="s">
        <v>3323</v>
      </c>
      <c r="E33" s="3"/>
      <c r="F33" s="3"/>
      <c r="G33" s="8" t="n">
        <f aca="false">COUNTIF(Audits!$D:$D,A33)</f>
        <v>21</v>
      </c>
      <c r="H33" s="8" t="n">
        <f aca="false">IFERROR(ROUND(AVERAGEIF(Audits!$D:$D,A33,Audits!$T:$T),1),"")</f>
        <v>80.4</v>
      </c>
      <c r="I33" s="8" t="n">
        <f aca="false">COUNTIFS(Audits!$D:$D,A33,Audits!$T:$T,"&lt;70")</f>
        <v>3</v>
      </c>
      <c r="J33" s="8" t="n">
        <f aca="false">COUNTIFS(Audits!$D:$D,A33,Audits!$O:$O,TRUE())</f>
        <v>3</v>
      </c>
    </row>
    <row r="34" customFormat="false" ht="15" hidden="false" customHeight="false" outlineLevel="0" collapsed="false">
      <c r="A34" s="3" t="s">
        <v>51</v>
      </c>
      <c r="B34" s="3" t="s">
        <v>52</v>
      </c>
      <c r="C34" s="3" t="s">
        <v>53</v>
      </c>
      <c r="D34" s="3" t="s">
        <v>3324</v>
      </c>
      <c r="E34" s="3"/>
      <c r="F34" s="3"/>
      <c r="G34" s="8" t="n">
        <f aca="false">COUNTIF(Audits!$D:$D,A34)</f>
        <v>49</v>
      </c>
      <c r="H34" s="8" t="n">
        <f aca="false">IFERROR(ROUND(AVERAGEIF(Audits!$D:$D,A34,Audits!$T:$T),1),"")</f>
        <v>76</v>
      </c>
      <c r="I34" s="8" t="n">
        <f aca="false">COUNTIFS(Audits!$D:$D,A34,Audits!$T:$T,"&lt;70")</f>
        <v>9</v>
      </c>
      <c r="J34" s="8" t="n">
        <f aca="false">COUNTIFS(Audits!$D:$D,A34,Audits!$O:$O,TRUE())</f>
        <v>0</v>
      </c>
    </row>
    <row r="35" customFormat="false" ht="15" hidden="false" customHeight="false" outlineLevel="0" collapsed="false">
      <c r="A35" s="3" t="s">
        <v>366</v>
      </c>
      <c r="B35" s="3" t="s">
        <v>367</v>
      </c>
      <c r="C35" s="3" t="s">
        <v>53</v>
      </c>
      <c r="D35" s="3" t="s">
        <v>3324</v>
      </c>
      <c r="E35" s="3"/>
      <c r="F35" s="3"/>
      <c r="G35" s="8" t="n">
        <f aca="false">COUNTIF(Audits!$D:$D,A35)</f>
        <v>32</v>
      </c>
      <c r="H35" s="8" t="n">
        <f aca="false">IFERROR(ROUND(AVERAGEIF(Audits!$D:$D,A35,Audits!$T:$T),1),"")</f>
        <v>77.7</v>
      </c>
      <c r="I35" s="8" t="n">
        <f aca="false">COUNTIFS(Audits!$D:$D,A35,Audits!$T:$T,"&lt;70")</f>
        <v>3</v>
      </c>
      <c r="J35" s="8" t="n">
        <f aca="false">COUNTIFS(Audits!$D:$D,A35,Audits!$O:$O,TRUE())</f>
        <v>1</v>
      </c>
    </row>
    <row r="36" customFormat="false" ht="15" hidden="false" customHeight="false" outlineLevel="0" collapsed="false">
      <c r="A36" s="3" t="s">
        <v>222</v>
      </c>
      <c r="B36" s="3" t="s">
        <v>223</v>
      </c>
      <c r="C36" s="3" t="s">
        <v>53</v>
      </c>
      <c r="D36" s="3" t="s">
        <v>3324</v>
      </c>
      <c r="E36" s="3"/>
      <c r="F36" s="3"/>
      <c r="G36" s="8" t="n">
        <f aca="false">COUNTIF(Audits!$D:$D,A36)</f>
        <v>39</v>
      </c>
      <c r="H36" s="8" t="n">
        <f aca="false">IFERROR(ROUND(AVERAGEIF(Audits!$D:$D,A36,Audits!$T:$T),1),"")</f>
        <v>78.6</v>
      </c>
      <c r="I36" s="8" t="n">
        <f aca="false">COUNTIFS(Audits!$D:$D,A36,Audits!$T:$T,"&lt;70")</f>
        <v>4</v>
      </c>
      <c r="J36" s="8" t="n">
        <f aca="false">COUNTIFS(Audits!$D:$D,A36,Audits!$O:$O,TRUE())</f>
        <v>3</v>
      </c>
    </row>
    <row r="37" customFormat="false" ht="15" hidden="false" customHeight="false" outlineLevel="0" collapsed="false">
      <c r="A37" s="3" t="s">
        <v>251</v>
      </c>
      <c r="B37" s="3" t="s">
        <v>252</v>
      </c>
      <c r="C37" s="3" t="s">
        <v>53</v>
      </c>
      <c r="D37" s="3" t="s">
        <v>3324</v>
      </c>
      <c r="E37" s="3"/>
      <c r="F37" s="3"/>
      <c r="G37" s="8" t="n">
        <f aca="false">COUNTIF(Audits!$D:$D,A37)</f>
        <v>39</v>
      </c>
      <c r="H37" s="8" t="n">
        <f aca="false">IFERROR(ROUND(AVERAGEIF(Audits!$D:$D,A37,Audits!$T:$T),1),"")</f>
        <v>75.1</v>
      </c>
      <c r="I37" s="8" t="n">
        <f aca="false">COUNTIFS(Audits!$D:$D,A37,Audits!$T:$T,"&lt;70")</f>
        <v>2</v>
      </c>
      <c r="J37" s="8" t="n">
        <f aca="false">COUNTIFS(Audits!$D:$D,A37,Audits!$O:$O,TRUE())</f>
        <v>1</v>
      </c>
    </row>
    <row r="38" customFormat="false" ht="15" hidden="false" customHeight="false" outlineLevel="0" collapsed="false">
      <c r="A38" s="3" t="s">
        <v>194</v>
      </c>
      <c r="B38" s="3" t="s">
        <v>195</v>
      </c>
      <c r="C38" s="3" t="s">
        <v>53</v>
      </c>
      <c r="D38" s="3" t="s">
        <v>3324</v>
      </c>
      <c r="E38" s="3"/>
      <c r="F38" s="3"/>
      <c r="G38" s="8" t="n">
        <f aca="false">COUNTIF(Audits!$D:$D,A38)</f>
        <v>49</v>
      </c>
      <c r="H38" s="8" t="n">
        <f aca="false">IFERROR(ROUND(AVERAGEIF(Audits!$D:$D,A38,Audits!$T:$T),1),"")</f>
        <v>79.4</v>
      </c>
      <c r="I38" s="8" t="n">
        <f aca="false">COUNTIFS(Audits!$D:$D,A38,Audits!$T:$T,"&lt;70")</f>
        <v>7</v>
      </c>
      <c r="J38" s="8" t="n">
        <f aca="false">COUNTIFS(Audits!$D:$D,A38,Audits!$O:$O,TRUE())</f>
        <v>6</v>
      </c>
    </row>
    <row r="39" customFormat="false" ht="15" hidden="false" customHeight="false" outlineLevel="0" collapsed="false">
      <c r="A39" s="3" t="s">
        <v>58</v>
      </c>
      <c r="B39" s="3" t="s">
        <v>59</v>
      </c>
      <c r="C39" s="3" t="s">
        <v>53</v>
      </c>
      <c r="D39" s="3" t="s">
        <v>3324</v>
      </c>
      <c r="E39" s="3"/>
      <c r="F39" s="3"/>
      <c r="G39" s="8" t="n">
        <f aca="false">COUNTIF(Audits!$D:$D,A39)</f>
        <v>46</v>
      </c>
      <c r="H39" s="8" t="n">
        <f aca="false">IFERROR(ROUND(AVERAGEIF(Audits!$D:$D,A39,Audits!$T:$T),1),"")</f>
        <v>61.8</v>
      </c>
      <c r="I39" s="8" t="n">
        <f aca="false">COUNTIFS(Audits!$D:$D,A39,Audits!$T:$T,"&lt;70")</f>
        <v>41</v>
      </c>
      <c r="J39" s="8" t="n">
        <f aca="false">COUNTIFS(Audits!$D:$D,A39,Audits!$O:$O,TRUE())</f>
        <v>1</v>
      </c>
    </row>
    <row r="40" customFormat="false" ht="15" hidden="false" customHeight="false" outlineLevel="0" collapsed="false">
      <c r="A40" s="3" t="s">
        <v>202</v>
      </c>
      <c r="B40" s="3" t="s">
        <v>203</v>
      </c>
      <c r="C40" s="3" t="s">
        <v>53</v>
      </c>
      <c r="D40" s="3" t="s">
        <v>3324</v>
      </c>
      <c r="E40" s="3"/>
      <c r="F40" s="3"/>
      <c r="G40" s="8" t="n">
        <f aca="false">COUNTIF(Audits!$D:$D,A40)</f>
        <v>35</v>
      </c>
      <c r="H40" s="8" t="n">
        <f aca="false">IFERROR(ROUND(AVERAGEIF(Audits!$D:$D,A40,Audits!$T:$T),1),"")</f>
        <v>72</v>
      </c>
      <c r="I40" s="8" t="n">
        <f aca="false">COUNTIFS(Audits!$D:$D,A40,Audits!$T:$T,"&lt;70")</f>
        <v>13</v>
      </c>
      <c r="J40" s="8" t="n">
        <f aca="false">COUNTIFS(Audits!$D:$D,A40,Audits!$O:$O,TRUE())</f>
        <v>1</v>
      </c>
    </row>
    <row r="41" customFormat="false" ht="15" hidden="false" customHeight="false" outlineLevel="0" collapsed="false">
      <c r="A41" s="3" t="s">
        <v>125</v>
      </c>
      <c r="B41" s="3" t="s">
        <v>126</v>
      </c>
      <c r="C41" s="3" t="s">
        <v>53</v>
      </c>
      <c r="D41" s="3" t="s">
        <v>3324</v>
      </c>
      <c r="E41" s="3"/>
      <c r="F41" s="3"/>
      <c r="G41" s="8" t="n">
        <f aca="false">COUNTIF(Audits!$D:$D,A41)</f>
        <v>37</v>
      </c>
      <c r="H41" s="8" t="n">
        <f aca="false">IFERROR(ROUND(AVERAGEIF(Audits!$D:$D,A41,Audits!$T:$T),1),"")</f>
        <v>81.1</v>
      </c>
      <c r="I41" s="8" t="n">
        <f aca="false">COUNTIFS(Audits!$D:$D,A41,Audits!$T:$T,"&lt;70")</f>
        <v>3</v>
      </c>
      <c r="J41" s="8" t="n">
        <f aca="false">COUNTIFS(Audits!$D:$D,A41,Audits!$O:$O,TRUE())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2026-10-19T18:45:26Z</dcterms:created>
  <dc:creator>openpyxl</dc:creator>
  <dc:description/>
  <dc:language>en-US</dc:language>
  <cp:lastModifiedBy/>
  <dcterms:modified xsi:type="dcterms:W3CDTF">2026-10-19T18:45:27Z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