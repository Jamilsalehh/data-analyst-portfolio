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Audits" sheetId="2" state="visible" r:id="rId4"/>
    <sheet name="Rubric" sheetId="3" state="visible" r:id="rId5"/>
    <sheet name="Bands" sheetId="4" state="visible" r:id="rId6"/>
    <sheet name="Ag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<sst xmlns="http://schemas.openxmlformats.org/spreadsheetml/2006/main" count="248" uniqueCount="162">
  <si>
    <t xml:space="preserve">QA Audit Log</t>
  </si>
  <si>
    <t xml:space="preserve">The Power Automate flow adds one row to the Audits table for every Microsoft Forms submission.</t>
  </si>
  <si>
    <t xml:space="preserve">White columns are inputs (written by the flow). Blue columns are formulas: do not type in them.</t>
  </si>
  <si>
    <t xml:space="preserve">Rubric: change a weight there and every score updates. Weights must total 100.</t>
  </si>
  <si>
    <t xml:space="preserve">Bands: score thresholds for the band label.</t>
  </si>
  <si>
    <t xml:space="preserve">Agents: fill in agent_email and lead_email. The flow looks these up to send feedback.</t>
  </si>
  <si>
    <t xml:space="preserve">Keep the table names 'Audits' and 'Agents': the flow refers to them by name.</t>
  </si>
  <si>
    <t xml:space="preserve">Row 2 of Audits is an example of a completed audit. Delete it before going live.</t>
  </si>
  <si>
    <t xml:space="preserve">audit_id</t>
  </si>
  <si>
    <t xml:space="preserve">audit_ts</t>
  </si>
  <si>
    <t xml:space="preserve">reviewer</t>
  </si>
  <si>
    <t xml:space="preserve">agent_id</t>
  </si>
  <si>
    <t xml:space="preserve">agent_name</t>
  </si>
  <si>
    <t xml:space="preserve">team</t>
  </si>
  <si>
    <t xml:space="preserve">channel</t>
  </si>
  <si>
    <t xml:space="preserve">interaction_ref</t>
  </si>
  <si>
    <t xml:space="preserve">c1_score</t>
  </si>
  <si>
    <t xml:space="preserve">c2_score</t>
  </si>
  <si>
    <t xml:space="preserve">c3_score</t>
  </si>
  <si>
    <t xml:space="preserve">c4_score</t>
  </si>
  <si>
    <t xml:space="preserve">c5_score</t>
  </si>
  <si>
    <t xml:space="preserve">c6_score</t>
  </si>
  <si>
    <t xml:space="preserve">critical_error</t>
  </si>
  <si>
    <t xml:space="preserve">flagged_issues</t>
  </si>
  <si>
    <t xml:space="preserve">feedback_sent_at</t>
  </si>
  <si>
    <t xml:space="preserve">agent_acknowledged_at</t>
  </si>
  <si>
    <t xml:space="preserve">process</t>
  </si>
  <si>
    <t xml:space="preserve">score</t>
  </si>
  <si>
    <t xml:space="preserve">band</t>
  </si>
  <si>
    <t xml:space="preserve">hours_to_feedback</t>
  </si>
  <si>
    <t xml:space="preserve">AUD70001</t>
  </si>
  <si>
    <t xml:space="preserve">QA Reviewer 3</t>
  </si>
  <si>
    <t xml:space="preserve">QA002</t>
  </si>
  <si>
    <t xml:space="preserve">Lina Karam</t>
  </si>
  <si>
    <t xml:space="preserve">After-Sales</t>
  </si>
  <si>
    <t xml:space="preserve">Chat</t>
  </si>
  <si>
    <t xml:space="preserve">CH-828119</t>
  </si>
  <si>
    <t xml:space="preserve">Changed account details before verifying identity</t>
  </si>
  <si>
    <t xml:space="preserve">Manual (spreadsheet + email)</t>
  </si>
  <si>
    <t xml:space="preserve">criterion_id</t>
  </si>
  <si>
    <t xml:space="preserve">criterion</t>
  </si>
  <si>
    <t xml:space="preserve">weight</t>
  </si>
  <si>
    <t xml:space="preserve">what_it_measures</t>
  </si>
  <si>
    <t xml:space="preserve">how to score (0-5)</t>
  </si>
  <si>
    <t xml:space="preserve">c1</t>
  </si>
  <si>
    <t xml:space="preserve">Communication</t>
  </si>
  <si>
    <t xml:space="preserve">Greeting, empathy, clear language, proper closing</t>
  </si>
  <si>
    <t xml:space="preserve">5 = flawless · 3 = minor gaps · 1 = major gap · 0 = not done</t>
  </si>
  <si>
    <t xml:space="preserve">c2</t>
  </si>
  <si>
    <t xml:space="preserve">Issue handling &amp; SOP</t>
  </si>
  <si>
    <t xml:space="preserve">Understood the issue and followed the correct procedure</t>
  </si>
  <si>
    <t xml:space="preserve">c3</t>
  </si>
  <si>
    <t xml:space="preserve">Resolution &amp; follow-up</t>
  </si>
  <si>
    <t xml:space="preserve">Solved it, or set a clear next step and followed up on time</t>
  </si>
  <si>
    <t xml:space="preserve">c4</t>
  </si>
  <si>
    <t xml:space="preserve">Escalation &amp; ownership</t>
  </si>
  <si>
    <t xml:space="preserve">Escalated only when needed, with complete notes; owned the case</t>
  </si>
  <si>
    <t xml:space="preserve">c5</t>
  </si>
  <si>
    <t xml:space="preserve">Accuracy &amp; documentation</t>
  </si>
  <si>
    <t xml:space="preserve">Information given was correct; ticket/call notes complete</t>
  </si>
  <si>
    <t xml:space="preserve">c6</t>
  </si>
  <si>
    <t xml:space="preserve">Security &amp; compliance</t>
  </si>
  <si>
    <t xml:space="preserve">Verified identity before account changes; no data shared wrongly</t>
  </si>
  <si>
    <t xml:space="preserve">Total</t>
  </si>
  <si>
    <t xml:space="preserve">Score = sum(criterion score / 5 x weight). A critical security error (identity not verified) caps the audit at 59.</t>
  </si>
  <si>
    <t xml:space="preserve">min_score</t>
  </si>
  <si>
    <t xml:space="preserve">Critical</t>
  </si>
  <si>
    <t xml:space="preserve">Needs Improvement</t>
  </si>
  <si>
    <t xml:space="preserve">Meets Expectations</t>
  </si>
  <si>
    <t xml:space="preserve">Solid Performance</t>
  </si>
  <si>
    <t xml:space="preserve">Outstanding</t>
  </si>
  <si>
    <t xml:space="preserve">Sorted ascending on purpose: the Audits!band formula uses LOOKUP.</t>
  </si>
  <si>
    <t xml:space="preserve">team_lead</t>
  </si>
  <si>
    <t xml:space="preserve">agent_email (fill in)</t>
  </si>
  <si>
    <t xml:space="preserve">lead_email (fill in)</t>
  </si>
  <si>
    <t xml:space="preserve">audits</t>
  </si>
  <si>
    <t xml:space="preserve">avg_score</t>
  </si>
  <si>
    <t xml:space="preserve">below_70</t>
  </si>
  <si>
    <t xml:space="preserve">critical_errors</t>
  </si>
  <si>
    <t xml:space="preserve">QA001</t>
  </si>
  <si>
    <t xml:space="preserve">Rami Yazbek</t>
  </si>
  <si>
    <t xml:space="preserve">Lead · After-Sales</t>
  </si>
  <si>
    <t xml:space="preserve">QA003</t>
  </si>
  <si>
    <t xml:space="preserve">Karim Bitar</t>
  </si>
  <si>
    <t xml:space="preserve">QA004</t>
  </si>
  <si>
    <t xml:space="preserve">Maya Nassar</t>
  </si>
  <si>
    <t xml:space="preserve">QA005</t>
  </si>
  <si>
    <t xml:space="preserve">Omar Yazbek</t>
  </si>
  <si>
    <t xml:space="preserve">QA006</t>
  </si>
  <si>
    <t xml:space="preserve">Nour Harb</t>
  </si>
  <si>
    <t xml:space="preserve">QA007</t>
  </si>
  <si>
    <t xml:space="preserve">Hadi Najjar</t>
  </si>
  <si>
    <t xml:space="preserve">QA008</t>
  </si>
  <si>
    <t xml:space="preserve">Rana Bitar</t>
  </si>
  <si>
    <t xml:space="preserve">QA009</t>
  </si>
  <si>
    <t xml:space="preserve">Ziad Rizk</t>
  </si>
  <si>
    <t xml:space="preserve">QA010</t>
  </si>
  <si>
    <t xml:space="preserve">Sara Chami</t>
  </si>
  <si>
    <t xml:space="preserve">QA011</t>
  </si>
  <si>
    <t xml:space="preserve">Fadi Khoury</t>
  </si>
  <si>
    <t xml:space="preserve">QA012</t>
  </si>
  <si>
    <t xml:space="preserve">Dana Hamdan</t>
  </si>
  <si>
    <t xml:space="preserve">QA013</t>
  </si>
  <si>
    <t xml:space="preserve">Tarek Saab</t>
  </si>
  <si>
    <t xml:space="preserve">QA014</t>
  </si>
  <si>
    <t xml:space="preserve">Yara Karam</t>
  </si>
  <si>
    <t xml:space="preserve">QA015</t>
  </si>
  <si>
    <t xml:space="preserve">Samir Karam</t>
  </si>
  <si>
    <t xml:space="preserve">QA016</t>
  </si>
  <si>
    <t xml:space="preserve">Hiba Khoury</t>
  </si>
  <si>
    <t xml:space="preserve">QA017</t>
  </si>
  <si>
    <t xml:space="preserve">Jad Nassar</t>
  </si>
  <si>
    <t xml:space="preserve">QA018</t>
  </si>
  <si>
    <t xml:space="preserve">Rita Hajj</t>
  </si>
  <si>
    <t xml:space="preserve">QA019</t>
  </si>
  <si>
    <t xml:space="preserve">Walid Chami</t>
  </si>
  <si>
    <t xml:space="preserve">QA020</t>
  </si>
  <si>
    <t xml:space="preserve">Lara Karam</t>
  </si>
  <si>
    <t xml:space="preserve">QA021</t>
  </si>
  <si>
    <t xml:space="preserve">Bilal Chami</t>
  </si>
  <si>
    <t xml:space="preserve">QA022</t>
  </si>
  <si>
    <t xml:space="preserve">Mira Saab</t>
  </si>
  <si>
    <t xml:space="preserve">QA023</t>
  </si>
  <si>
    <t xml:space="preserve">Nabil Yazbek</t>
  </si>
  <si>
    <t xml:space="preserve">Agent Support</t>
  </si>
  <si>
    <t xml:space="preserve">Lead · Agent Support</t>
  </si>
  <si>
    <t xml:space="preserve">QA024</t>
  </si>
  <si>
    <t xml:space="preserve">Joelle Daher</t>
  </si>
  <si>
    <t xml:space="preserve">QA025</t>
  </si>
  <si>
    <t xml:space="preserve">Sami Fares</t>
  </si>
  <si>
    <t xml:space="preserve">QA026</t>
  </si>
  <si>
    <t xml:space="preserve">Layal Haddad</t>
  </si>
  <si>
    <t xml:space="preserve">QA027</t>
  </si>
  <si>
    <t xml:space="preserve">Firas Bitar</t>
  </si>
  <si>
    <t xml:space="preserve">QA028</t>
  </si>
  <si>
    <t xml:space="preserve">Reem Khoury</t>
  </si>
  <si>
    <t xml:space="preserve">QA029</t>
  </si>
  <si>
    <t xml:space="preserve">Ali Haddad</t>
  </si>
  <si>
    <t xml:space="preserve">QA030</t>
  </si>
  <si>
    <t xml:space="preserve">Nadine Sleiman</t>
  </si>
  <si>
    <t xml:space="preserve">QA031</t>
  </si>
  <si>
    <t xml:space="preserve">Elie Nassar</t>
  </si>
  <si>
    <t xml:space="preserve">QA032</t>
  </si>
  <si>
    <t xml:space="preserve">Hala Rizk</t>
  </si>
  <si>
    <t xml:space="preserve">QA033</t>
  </si>
  <si>
    <t xml:space="preserve">Majd Rizk</t>
  </si>
  <si>
    <t xml:space="preserve">Card Services</t>
  </si>
  <si>
    <t xml:space="preserve">Lead · Card Services</t>
  </si>
  <si>
    <t xml:space="preserve">QA034</t>
  </si>
  <si>
    <t xml:space="preserve">Tala Bitar</t>
  </si>
  <si>
    <t xml:space="preserve">QA035</t>
  </si>
  <si>
    <t xml:space="preserve">Imad Nassar</t>
  </si>
  <si>
    <t xml:space="preserve">QA036</t>
  </si>
  <si>
    <t xml:space="preserve">Celine Aoun</t>
  </si>
  <si>
    <t xml:space="preserve">QA037</t>
  </si>
  <si>
    <t xml:space="preserve">Rabih Sleiman</t>
  </si>
  <si>
    <t xml:space="preserve">QA038</t>
  </si>
  <si>
    <t xml:space="preserve">Aya Aoun</t>
  </si>
  <si>
    <t xml:space="preserve">QA039</t>
  </si>
  <si>
    <t xml:space="preserve">Ghassan Fares</t>
  </si>
  <si>
    <t xml:space="preserve">QA040</t>
  </si>
  <si>
    <t xml:space="preserve">Zeina Daher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</si>
</sst>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gents" displayName="Agents" ref="A1:J41" headerRowCount="1" totalsRowCount="0" totalsRowShown="0">
  <autoFilter ref="A1:J41"/>
  <tableColumns count="10">
    <tableColumn id="1" name="agent_id"/>
    <tableColumn id="2" name="agent_name"/>
    <tableColumn id="3" name="team"/>
    <tableColumn id="4" name="team_lead"/>
    <tableColumn id="5" name="agent_email (fill in)"/>
    <tableColumn id="6" name="lead_email (fill in)"/>
    <tableColumn id="7" name="audits"/>
    <tableColumn id="8" name="avg_score"/>
    <tableColumn id="9" name="below_70"/>
    <tableColumn id="10" name="critical_errors"/>
  </tableColumns>
</table>
</file>

<file path=xl/tables/table2.xml><?xml version="1.0" encoding="utf-8"?>
<table xmlns="http://schemas.openxmlformats.org/spreadsheetml/2006/main" id="2" name="Audits" displayName="Audits" ref="A1:V2" headerRowCount="1" totalsRowCount="0" totalsRowShown="0">
  <autoFilter ref="A1:V2"/>
  <tableColumns count="22">
    <tableColumn id="1" name="audit_id"/>
    <tableColumn id="2" name="audit_ts"/>
    <tableColumn id="3" name="reviewer"/>
    <tableColumn id="4" name="agent_id"/>
    <tableColumn id="5" name="agent_name"/>
    <tableColumn id="6" name="team"/>
    <tableColumn id="7" name="channel"/>
    <tableColumn id="8" name="interaction_ref"/>
    <tableColumn id="9" name="c1_score"/>
    <tableColumn id="10" name="c2_score"/>
    <tableColumn id="11" name="c3_score"/>
    <tableColumn id="12" name="c4_score"/>
    <tableColumn id="13" name="c5_score"/>
    <tableColumn id="14" name="c6_score"/>
    <tableColumn id="15" name="critical_error"/>
    <tableColumn id="16" name="flagged_issues"/>
    <tableColumn id="17" name="feedback_sent_at"/>
    <tableColumn id="18" name="agent_acknowledged_at"/>
    <tableColumn id="19" name="process"/>
    <tableColumn id="20" name="score"/>
    <tableColumn id="21" name="band"/>
    <tableColumn id="22" name="hours_to_feedbac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4" min="9" style="0" width="8"/>
    <col collapsed="false" customWidth="true" hidden="false" outlineLevel="0" max="15" min="15" style="0" width="9"/>
    <col collapsed="false" customWidth="true" hidden="false" outlineLevel="0" max="16" min="16" style="0" width="40"/>
    <col collapsed="false" customWidth="true" hidden="false" outlineLevel="0" max="18" min="17" style="0" width="16"/>
    <col collapsed="false" customWidth="true" hidden="false" outlineLevel="0" max="19" min="19" style="0" width="30"/>
    <col collapsed="false" customWidth="true" hidden="false" outlineLevel="0" max="20" min="20" style="0" width="7"/>
    <col collapsed="false" customWidth="true" hidden="false" outlineLevel="0" max="21" min="21" style="0" width="18"/>
    <col collapsed="false" customWidth="true" hidden="false" outlineLevel="0" max="22" min="22" style="0" width="10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</row>
    <row r="2" customFormat="false" ht="15" hidden="false" customHeight="false" outlineLevel="0" collapsed="false">
      <c r="A2" s="2" t="s">
        <v>30</v>
      </c>
      <c r="B2" s="4" t="n">
        <v>46113.3923611111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n">
        <v>4</v>
      </c>
      <c r="J2" s="2" t="n">
        <v>4</v>
      </c>
      <c r="K2" s="2" t="n">
        <v>5</v>
      </c>
      <c r="L2" s="2" t="n">
        <v>4</v>
      </c>
      <c r="M2" s="2" t="n">
        <v>3</v>
      </c>
      <c r="N2" s="2" t="n">
        <v>2</v>
      </c>
      <c r="O2" s="5" t="b">
        <f aca="false">FALSE()</f>
        <v>0</v>
      </c>
      <c r="P2" s="2" t="s">
        <v>37</v>
      </c>
      <c r="Q2" s="4" t="n">
        <v>46116.3923611111</v>
      </c>
      <c r="R2" s="4" t="n">
        <v>46116.4083333333</v>
      </c>
      <c r="S2" s="2" t="s">
        <v>38</v>
      </c>
      <c r="T2" s="6" t="n">
        <f aca="false">ROUND(MIN(IF(OR(O2=TRUE(),O2="TRUE",O2="Yes"),59,100),(I2*Rubric!$C$2+J2*Rubric!$C$3+K2*Rubric!$C$4+L2*Rubric!$C$5+M2*Rubric!$C$6+N2*Rubric!$C$7)/5),1)</f>
        <v>76</v>
      </c>
      <c r="U2" s="7" t="str">
        <f aca="false">LOOKUP(T2,Bands!$A$2:$A$6,Bands!$B$2:$B$6)</f>
        <v>Meets Expectations</v>
      </c>
      <c r="V2" s="7" t="n">
        <f aca="false">IF(Q2="","",ROUND((Q2-B2)*24,1))</f>
        <v>72</v>
      </c>
    </row>
  </sheetData>
  <conditionalFormatting sqref="T2">
    <cfRule type="cellIs" priority="2" operator="lessThan" aboveAverage="0" equalAverage="0" bottom="0" percent="0" rank="0" text="" dxfId="4">
      <formula>70</formula>
    </cfRule>
    <cfRule type="cellIs" priority="3" operator="greaterThanOrEqual" aboveAverage="0" equalAverage="0" bottom="0" percent="0" rank="0" text="" dxfId="5">
      <formula>90</formula>
    </cfRule>
  </conditionalFormatting>
  <dataValidations count="1">
    <dataValidation allowBlank="false" errorStyle="stop" operator="between" showDropDown="false" showErrorMessage="false" showInputMessage="false" sqref="I2:N500" type="whole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6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</row>
    <row r="2" customFormat="false" ht="15" hidden="false" customHeight="false" outlineLevel="0" collapsed="false">
      <c r="A2" s="2" t="s">
        <v>44</v>
      </c>
      <c r="B2" s="2" t="s">
        <v>45</v>
      </c>
      <c r="C2" s="2" t="n">
        <v>15</v>
      </c>
      <c r="D2" s="2" t="s">
        <v>46</v>
      </c>
      <c r="E2" s="2" t="s">
        <v>47</v>
      </c>
    </row>
    <row r="3" customFormat="false" ht="15" hidden="false" customHeight="false" outlineLevel="0" collapsed="false">
      <c r="A3" s="2" t="s">
        <v>48</v>
      </c>
      <c r="B3" s="2" t="s">
        <v>49</v>
      </c>
      <c r="C3" s="2" t="n">
        <v>25</v>
      </c>
      <c r="D3" s="2" t="s">
        <v>50</v>
      </c>
      <c r="E3" s="2" t="s">
        <v>47</v>
      </c>
    </row>
    <row r="4" customFormat="false" ht="15" hidden="false" customHeight="false" outlineLevel="0" collapsed="false">
      <c r="A4" s="2" t="s">
        <v>51</v>
      </c>
      <c r="B4" s="2" t="s">
        <v>52</v>
      </c>
      <c r="C4" s="2" t="n">
        <v>20</v>
      </c>
      <c r="D4" s="2" t="s">
        <v>53</v>
      </c>
      <c r="E4" s="2" t="s">
        <v>47</v>
      </c>
    </row>
    <row r="5" customFormat="false" ht="15" hidden="false" customHeight="false" outlineLevel="0" collapsed="false">
      <c r="A5" s="2" t="s">
        <v>54</v>
      </c>
      <c r="B5" s="2" t="s">
        <v>55</v>
      </c>
      <c r="C5" s="2" t="n">
        <v>15</v>
      </c>
      <c r="D5" s="2" t="s">
        <v>56</v>
      </c>
      <c r="E5" s="2" t="s">
        <v>47</v>
      </c>
    </row>
    <row r="6" customFormat="false" ht="15" hidden="false" customHeight="false" outlineLevel="0" collapsed="false">
      <c r="A6" s="2" t="s">
        <v>57</v>
      </c>
      <c r="B6" s="2" t="s">
        <v>58</v>
      </c>
      <c r="C6" s="2" t="n">
        <v>10</v>
      </c>
      <c r="D6" s="2" t="s">
        <v>59</v>
      </c>
      <c r="E6" s="2" t="s">
        <v>47</v>
      </c>
    </row>
    <row r="7" customFormat="false" ht="15" hidden="false" customHeight="false" outlineLevel="0" collapsed="false">
      <c r="A7" s="2" t="s">
        <v>60</v>
      </c>
      <c r="B7" s="2" t="s">
        <v>61</v>
      </c>
      <c r="C7" s="2" t="n">
        <v>15</v>
      </c>
      <c r="D7" s="2" t="s">
        <v>62</v>
      </c>
      <c r="E7" s="2" t="s">
        <v>47</v>
      </c>
    </row>
    <row r="8" customFormat="false" ht="15" hidden="false" customHeight="false" outlineLevel="0" collapsed="false">
      <c r="B8" s="8" t="s">
        <v>63</v>
      </c>
      <c r="C8" s="8" t="n">
        <f aca="false">SUM(C2:C7)</f>
        <v>100</v>
      </c>
    </row>
    <row r="10" customFormat="false" ht="15" hidden="false" customHeight="false" outlineLevel="0" collapsed="false">
      <c r="A10" s="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</cols>
  <sheetData>
    <row r="1" customFormat="false" ht="15" hidden="false" customHeight="false" outlineLevel="0" collapsed="false">
      <c r="A1" s="3" t="s">
        <v>65</v>
      </c>
      <c r="B1" s="3" t="s">
        <v>28</v>
      </c>
    </row>
    <row r="2" customFormat="false" ht="15" hidden="false" customHeight="false" outlineLevel="0" collapsed="false">
      <c r="A2" s="2" t="n">
        <v>0</v>
      </c>
      <c r="B2" s="2" t="s">
        <v>66</v>
      </c>
    </row>
    <row r="3" customFormat="false" ht="15" hidden="false" customHeight="false" outlineLevel="0" collapsed="false">
      <c r="A3" s="2" t="n">
        <v>60</v>
      </c>
      <c r="B3" s="2" t="s">
        <v>67</v>
      </c>
    </row>
    <row r="4" customFormat="false" ht="15" hidden="false" customHeight="false" outlineLevel="0" collapsed="false">
      <c r="A4" s="2" t="n">
        <v>70</v>
      </c>
      <c r="B4" s="2" t="s">
        <v>68</v>
      </c>
    </row>
    <row r="5" customFormat="false" ht="15" hidden="false" customHeight="false" outlineLevel="0" collapsed="false">
      <c r="A5" s="2" t="n">
        <v>80</v>
      </c>
      <c r="B5" s="2" t="s">
        <v>69</v>
      </c>
    </row>
    <row r="6" customFormat="false" ht="15" hidden="false" customHeight="false" outlineLevel="0" collapsed="false">
      <c r="A6" s="2" t="n">
        <v>90</v>
      </c>
      <c r="B6" s="2" t="s">
        <v>70</v>
      </c>
    </row>
    <row r="8" customFormat="false" ht="15" hidden="false" customHeight="false" outlineLevel="0" collapsed="false">
      <c r="A8" s="9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24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</row>
    <row r="2" customFormat="false" ht="15" hidden="false" customHeight="false" outlineLevel="0" collapsed="false">
      <c r="A2" s="2" t="s">
        <v>79</v>
      </c>
      <c r="B2" s="2" t="s">
        <v>80</v>
      </c>
      <c r="C2" s="2" t="s">
        <v>34</v>
      </c>
      <c r="D2" s="2" t="s">
        <v>81</v>
      </c>
      <c r="E2" s="2"/>
      <c r="F2" s="2"/>
      <c r="G2" s="7" t="n">
        <f aca="false">COUNTIF(Audits!$D:$D,A2)</f>
        <v>0</v>
      </c>
      <c r="H2" s="7" t="str">
        <f aca="false">IFERROR(ROUND(AVERAGEIF(Audits!$D:$D,A2,Audits!$T:$T),1),"")</f>
        <v/>
      </c>
      <c r="I2" s="7" t="n">
        <f aca="false">COUNTIFS(Audits!$D:$D,A2,Audits!$T:$T,"&lt;70")</f>
        <v>0</v>
      </c>
      <c r="J2" s="7" t="n">
        <f aca="false">COUNTIFS(Audits!$D:$D,A2,Audits!$O:$O,TRUE())</f>
        <v>0</v>
      </c>
    </row>
    <row r="3" customFormat="false" ht="15" hidden="false" customHeight="false" outlineLevel="0" collapsed="false">
      <c r="A3" s="2" t="s">
        <v>32</v>
      </c>
      <c r="B3" s="2" t="s">
        <v>33</v>
      </c>
      <c r="C3" s="2" t="s">
        <v>34</v>
      </c>
      <c r="D3" s="2" t="s">
        <v>81</v>
      </c>
      <c r="E3" s="2"/>
      <c r="F3" s="2"/>
      <c r="G3" s="7" t="n">
        <f aca="false">COUNTIF(Audits!$D:$D,A3)</f>
        <v>1</v>
      </c>
      <c r="H3" s="7" t="n">
        <f aca="false">IFERROR(ROUND(AVERAGEIF(Audits!$D:$D,A3,Audits!$T:$T),1),"")</f>
        <v>76</v>
      </c>
      <c r="I3" s="7" t="n">
        <f aca="false">COUNTIFS(Audits!$D:$D,A3,Audits!$T:$T,"&lt;70")</f>
        <v>0</v>
      </c>
      <c r="J3" s="7" t="n">
        <f aca="false">COUNTIFS(Audits!$D:$D,A3,Audits!$O:$O,TRUE())</f>
        <v>0</v>
      </c>
    </row>
    <row r="4" customFormat="false" ht="15" hidden="false" customHeight="false" outlineLevel="0" collapsed="false">
      <c r="A4" s="2" t="s">
        <v>82</v>
      </c>
      <c r="B4" s="2" t="s">
        <v>83</v>
      </c>
      <c r="C4" s="2" t="s">
        <v>34</v>
      </c>
      <c r="D4" s="2" t="s">
        <v>81</v>
      </c>
      <c r="E4" s="2"/>
      <c r="F4" s="2"/>
      <c r="G4" s="7" t="n">
        <f aca="false">COUNTIF(Audits!$D:$D,A4)</f>
        <v>0</v>
      </c>
      <c r="H4" s="7" t="str">
        <f aca="false">IFERROR(ROUND(AVERAGEIF(Audits!$D:$D,A4,Audits!$T:$T),1),"")</f>
        <v/>
      </c>
      <c r="I4" s="7" t="n">
        <f aca="false">COUNTIFS(Audits!$D:$D,A4,Audits!$T:$T,"&lt;70")</f>
        <v>0</v>
      </c>
      <c r="J4" s="7" t="n">
        <f aca="false">COUNTIFS(Audits!$D:$D,A4,Audits!$O:$O,TRUE())</f>
        <v>0</v>
      </c>
    </row>
    <row r="5" customFormat="false" ht="15" hidden="false" customHeight="false" outlineLevel="0" collapsed="false">
      <c r="A5" s="2" t="s">
        <v>84</v>
      </c>
      <c r="B5" s="2" t="s">
        <v>85</v>
      </c>
      <c r="C5" s="2" t="s">
        <v>34</v>
      </c>
      <c r="D5" s="2" t="s">
        <v>81</v>
      </c>
      <c r="E5" s="2"/>
      <c r="F5" s="2"/>
      <c r="G5" s="7" t="n">
        <f aca="false">COUNTIF(Audits!$D:$D,A5)</f>
        <v>0</v>
      </c>
      <c r="H5" s="7" t="str">
        <f aca="false">IFERROR(ROUND(AVERAGEIF(Audits!$D:$D,A5,Audits!$T:$T),1),"")</f>
        <v/>
      </c>
      <c r="I5" s="7" t="n">
        <f aca="false">COUNTIFS(Audits!$D:$D,A5,Audits!$T:$T,"&lt;70")</f>
        <v>0</v>
      </c>
      <c r="J5" s="7" t="n">
        <f aca="false">COUNTIFS(Audits!$D:$D,A5,Audits!$O:$O,TRUE())</f>
        <v>0</v>
      </c>
    </row>
    <row r="6" customFormat="false" ht="15" hidden="false" customHeight="false" outlineLevel="0" collapsed="false">
      <c r="A6" s="2" t="s">
        <v>86</v>
      </c>
      <c r="B6" s="2" t="s">
        <v>87</v>
      </c>
      <c r="C6" s="2" t="s">
        <v>34</v>
      </c>
      <c r="D6" s="2" t="s">
        <v>81</v>
      </c>
      <c r="E6" s="2"/>
      <c r="F6" s="2"/>
      <c r="G6" s="7" t="n">
        <f aca="false">COUNTIF(Audits!$D:$D,A6)</f>
        <v>0</v>
      </c>
      <c r="H6" s="7" t="str">
        <f aca="false">IFERROR(ROUND(AVERAGEIF(Audits!$D:$D,A6,Audits!$T:$T),1),"")</f>
        <v/>
      </c>
      <c r="I6" s="7" t="n">
        <f aca="false">COUNTIFS(Audits!$D:$D,A6,Audits!$T:$T,"&lt;70")</f>
        <v>0</v>
      </c>
      <c r="J6" s="7" t="n">
        <f aca="false">COUNTIFS(Audits!$D:$D,A6,Audits!$O:$O,TRUE())</f>
        <v>0</v>
      </c>
    </row>
    <row r="7" customFormat="false" ht="15" hidden="false" customHeight="false" outlineLevel="0" collapsed="false">
      <c r="A7" s="2" t="s">
        <v>88</v>
      </c>
      <c r="B7" s="2" t="s">
        <v>89</v>
      </c>
      <c r="C7" s="2" t="s">
        <v>34</v>
      </c>
      <c r="D7" s="2" t="s">
        <v>81</v>
      </c>
      <c r="E7" s="2"/>
      <c r="F7" s="2"/>
      <c r="G7" s="7" t="n">
        <f aca="false">COUNTIF(Audits!$D:$D,A7)</f>
        <v>0</v>
      </c>
      <c r="H7" s="7" t="str">
        <f aca="false">IFERROR(ROUND(AVERAGEIF(Audits!$D:$D,A7,Audits!$T:$T),1),"")</f>
        <v/>
      </c>
      <c r="I7" s="7" t="n">
        <f aca="false">COUNTIFS(Audits!$D:$D,A7,Audits!$T:$T,"&lt;70")</f>
        <v>0</v>
      </c>
      <c r="J7" s="7" t="n">
        <f aca="false">COUNTIFS(Audits!$D:$D,A7,Audits!$O:$O,TRUE())</f>
        <v>0</v>
      </c>
    </row>
    <row r="8" customFormat="false" ht="15" hidden="false" customHeight="false" outlineLevel="0" collapsed="false">
      <c r="A8" s="2" t="s">
        <v>90</v>
      </c>
      <c r="B8" s="2" t="s">
        <v>91</v>
      </c>
      <c r="C8" s="2" t="s">
        <v>34</v>
      </c>
      <c r="D8" s="2" t="s">
        <v>81</v>
      </c>
      <c r="E8" s="2"/>
      <c r="F8" s="2"/>
      <c r="G8" s="7" t="n">
        <f aca="false">COUNTIF(Audits!$D:$D,A8)</f>
        <v>0</v>
      </c>
      <c r="H8" s="7" t="str">
        <f aca="false">IFERROR(ROUND(AVERAGEIF(Audits!$D:$D,A8,Audits!$T:$T),1),"")</f>
        <v/>
      </c>
      <c r="I8" s="7" t="n">
        <f aca="false">COUNTIFS(Audits!$D:$D,A8,Audits!$T:$T,"&lt;70")</f>
        <v>0</v>
      </c>
      <c r="J8" s="7" t="n">
        <f aca="false">COUNTIFS(Audits!$D:$D,A8,Audits!$O:$O,TRUE())</f>
        <v>0</v>
      </c>
    </row>
    <row r="9" customFormat="false" ht="15" hidden="false" customHeight="false" outlineLevel="0" collapsed="false">
      <c r="A9" s="2" t="s">
        <v>92</v>
      </c>
      <c r="B9" s="2" t="s">
        <v>93</v>
      </c>
      <c r="C9" s="2" t="s">
        <v>34</v>
      </c>
      <c r="D9" s="2" t="s">
        <v>81</v>
      </c>
      <c r="E9" s="2"/>
      <c r="F9" s="2"/>
      <c r="G9" s="7" t="n">
        <f aca="false">COUNTIF(Audits!$D:$D,A9)</f>
        <v>0</v>
      </c>
      <c r="H9" s="7" t="str">
        <f aca="false">IFERROR(ROUND(AVERAGEIF(Audits!$D:$D,A9,Audits!$T:$T),1),"")</f>
        <v/>
      </c>
      <c r="I9" s="7" t="n">
        <f aca="false">COUNTIFS(Audits!$D:$D,A9,Audits!$T:$T,"&lt;70")</f>
        <v>0</v>
      </c>
      <c r="J9" s="7" t="n">
        <f aca="false">COUNTIFS(Audits!$D:$D,A9,Audits!$O:$O,TRUE())</f>
        <v>0</v>
      </c>
    </row>
    <row r="10" customFormat="false" ht="15" hidden="false" customHeight="false" outlineLevel="0" collapsed="false">
      <c r="A10" s="2" t="s">
        <v>94</v>
      </c>
      <c r="B10" s="2" t="s">
        <v>95</v>
      </c>
      <c r="C10" s="2" t="s">
        <v>34</v>
      </c>
      <c r="D10" s="2" t="s">
        <v>81</v>
      </c>
      <c r="E10" s="2"/>
      <c r="F10" s="2"/>
      <c r="G10" s="7" t="n">
        <f aca="false">COUNTIF(Audits!$D:$D,A10)</f>
        <v>0</v>
      </c>
      <c r="H10" s="7" t="str">
        <f aca="false">IFERROR(ROUND(AVERAGEIF(Audits!$D:$D,A10,Audits!$T:$T),1),"")</f>
        <v/>
      </c>
      <c r="I10" s="7" t="n">
        <f aca="false">COUNTIFS(Audits!$D:$D,A10,Audits!$T:$T,"&lt;70")</f>
        <v>0</v>
      </c>
      <c r="J10" s="7" t="n">
        <f aca="false">COUNTIFS(Audits!$D:$D,A10,Audits!$O:$O,TRUE())</f>
        <v>0</v>
      </c>
    </row>
    <row r="11" customFormat="false" ht="15" hidden="false" customHeight="false" outlineLevel="0" collapsed="false">
      <c r="A11" s="2" t="s">
        <v>96</v>
      </c>
      <c r="B11" s="2" t="s">
        <v>97</v>
      </c>
      <c r="C11" s="2" t="s">
        <v>34</v>
      </c>
      <c r="D11" s="2" t="s">
        <v>81</v>
      </c>
      <c r="E11" s="2"/>
      <c r="F11" s="2"/>
      <c r="G11" s="7" t="n">
        <f aca="false">COUNTIF(Audits!$D:$D,A11)</f>
        <v>0</v>
      </c>
      <c r="H11" s="7" t="str">
        <f aca="false">IFERROR(ROUND(AVERAGEIF(Audits!$D:$D,A11,Audits!$T:$T),1),"")</f>
        <v/>
      </c>
      <c r="I11" s="7" t="n">
        <f aca="false">COUNTIFS(Audits!$D:$D,A11,Audits!$T:$T,"&lt;70")</f>
        <v>0</v>
      </c>
      <c r="J11" s="7" t="n">
        <f aca="false">COUNTIFS(Audits!$D:$D,A11,Audits!$O:$O,TRUE())</f>
        <v>0</v>
      </c>
    </row>
    <row r="12" customFormat="false" ht="15" hidden="false" customHeight="false" outlineLevel="0" collapsed="false">
      <c r="A12" s="2" t="s">
        <v>98</v>
      </c>
      <c r="B12" s="2" t="s">
        <v>99</v>
      </c>
      <c r="C12" s="2" t="s">
        <v>34</v>
      </c>
      <c r="D12" s="2" t="s">
        <v>81</v>
      </c>
      <c r="E12" s="2"/>
      <c r="F12" s="2"/>
      <c r="G12" s="7" t="n">
        <f aca="false">COUNTIF(Audits!$D:$D,A12)</f>
        <v>0</v>
      </c>
      <c r="H12" s="7" t="str">
        <f aca="false">IFERROR(ROUND(AVERAGEIF(Audits!$D:$D,A12,Audits!$T:$T),1),"")</f>
        <v/>
      </c>
      <c r="I12" s="7" t="n">
        <f aca="false">COUNTIFS(Audits!$D:$D,A12,Audits!$T:$T,"&lt;70")</f>
        <v>0</v>
      </c>
      <c r="J12" s="7" t="n">
        <f aca="false">COUNTIFS(Audits!$D:$D,A12,Audits!$O:$O,TRUE())</f>
        <v>0</v>
      </c>
    </row>
    <row r="13" customFormat="false" ht="15" hidden="false" customHeight="false" outlineLevel="0" collapsed="false">
      <c r="A13" s="2" t="s">
        <v>100</v>
      </c>
      <c r="B13" s="2" t="s">
        <v>101</v>
      </c>
      <c r="C13" s="2" t="s">
        <v>34</v>
      </c>
      <c r="D13" s="2" t="s">
        <v>81</v>
      </c>
      <c r="E13" s="2"/>
      <c r="F13" s="2"/>
      <c r="G13" s="7" t="n">
        <f aca="false">COUNTIF(Audits!$D:$D,A13)</f>
        <v>0</v>
      </c>
      <c r="H13" s="7" t="str">
        <f aca="false">IFERROR(ROUND(AVERAGEIF(Audits!$D:$D,A13,Audits!$T:$T),1),"")</f>
        <v/>
      </c>
      <c r="I13" s="7" t="n">
        <f aca="false">COUNTIFS(Audits!$D:$D,A13,Audits!$T:$T,"&lt;70")</f>
        <v>0</v>
      </c>
      <c r="J13" s="7" t="n">
        <f aca="false">COUNTIFS(Audits!$D:$D,A13,Audits!$O:$O,TRUE())</f>
        <v>0</v>
      </c>
    </row>
    <row r="14" customFormat="false" ht="15" hidden="false" customHeight="false" outlineLevel="0" collapsed="false">
      <c r="A14" s="2" t="s">
        <v>102</v>
      </c>
      <c r="B14" s="2" t="s">
        <v>103</v>
      </c>
      <c r="C14" s="2" t="s">
        <v>34</v>
      </c>
      <c r="D14" s="2" t="s">
        <v>81</v>
      </c>
      <c r="E14" s="2"/>
      <c r="F14" s="2"/>
      <c r="G14" s="7" t="n">
        <f aca="false">COUNTIF(Audits!$D:$D,A14)</f>
        <v>0</v>
      </c>
      <c r="H14" s="7" t="str">
        <f aca="false">IFERROR(ROUND(AVERAGEIF(Audits!$D:$D,A14,Audits!$T:$T),1),"")</f>
        <v/>
      </c>
      <c r="I14" s="7" t="n">
        <f aca="false">COUNTIFS(Audits!$D:$D,A14,Audits!$T:$T,"&lt;70")</f>
        <v>0</v>
      </c>
      <c r="J14" s="7" t="n">
        <f aca="false">COUNTIFS(Audits!$D:$D,A14,Audits!$O:$O,TRUE())</f>
        <v>0</v>
      </c>
    </row>
    <row r="15" customFormat="false" ht="15" hidden="false" customHeight="false" outlineLevel="0" collapsed="false">
      <c r="A15" s="2" t="s">
        <v>104</v>
      </c>
      <c r="B15" s="2" t="s">
        <v>105</v>
      </c>
      <c r="C15" s="2" t="s">
        <v>34</v>
      </c>
      <c r="D15" s="2" t="s">
        <v>81</v>
      </c>
      <c r="E15" s="2"/>
      <c r="F15" s="2"/>
      <c r="G15" s="7" t="n">
        <f aca="false">COUNTIF(Audits!$D:$D,A15)</f>
        <v>0</v>
      </c>
      <c r="H15" s="7" t="str">
        <f aca="false">IFERROR(ROUND(AVERAGEIF(Audits!$D:$D,A15,Audits!$T:$T),1),"")</f>
        <v/>
      </c>
      <c r="I15" s="7" t="n">
        <f aca="false">COUNTIFS(Audits!$D:$D,A15,Audits!$T:$T,"&lt;70")</f>
        <v>0</v>
      </c>
      <c r="J15" s="7" t="n">
        <f aca="false">COUNTIFS(Audits!$D:$D,A15,Audits!$O:$O,TRUE())</f>
        <v>0</v>
      </c>
    </row>
    <row r="16" customFormat="false" ht="15" hidden="false" customHeight="false" outlineLevel="0" collapsed="false">
      <c r="A16" s="2" t="s">
        <v>106</v>
      </c>
      <c r="B16" s="2" t="s">
        <v>107</v>
      </c>
      <c r="C16" s="2" t="s">
        <v>34</v>
      </c>
      <c r="D16" s="2" t="s">
        <v>81</v>
      </c>
      <c r="E16" s="2"/>
      <c r="F16" s="2"/>
      <c r="G16" s="7" t="n">
        <f aca="false">COUNTIF(Audits!$D:$D,A16)</f>
        <v>0</v>
      </c>
      <c r="H16" s="7" t="str">
        <f aca="false">IFERROR(ROUND(AVERAGEIF(Audits!$D:$D,A16,Audits!$T:$T),1),"")</f>
        <v/>
      </c>
      <c r="I16" s="7" t="n">
        <f aca="false">COUNTIFS(Audits!$D:$D,A16,Audits!$T:$T,"&lt;70")</f>
        <v>0</v>
      </c>
      <c r="J16" s="7" t="n">
        <f aca="false">COUNTIFS(Audits!$D:$D,A16,Audits!$O:$O,TRUE())</f>
        <v>0</v>
      </c>
    </row>
    <row r="17" customFormat="false" ht="15" hidden="false" customHeight="false" outlineLevel="0" collapsed="false">
      <c r="A17" s="2" t="s">
        <v>108</v>
      </c>
      <c r="B17" s="2" t="s">
        <v>109</v>
      </c>
      <c r="C17" s="2" t="s">
        <v>34</v>
      </c>
      <c r="D17" s="2" t="s">
        <v>81</v>
      </c>
      <c r="E17" s="2"/>
      <c r="F17" s="2"/>
      <c r="G17" s="7" t="n">
        <f aca="false">COUNTIF(Audits!$D:$D,A17)</f>
        <v>0</v>
      </c>
      <c r="H17" s="7" t="str">
        <f aca="false">IFERROR(ROUND(AVERAGEIF(Audits!$D:$D,A17,Audits!$T:$T),1),"")</f>
        <v/>
      </c>
      <c r="I17" s="7" t="n">
        <f aca="false">COUNTIFS(Audits!$D:$D,A17,Audits!$T:$T,"&lt;70")</f>
        <v>0</v>
      </c>
      <c r="J17" s="7" t="n">
        <f aca="false">COUNTIFS(Audits!$D:$D,A17,Audits!$O:$O,TRUE())</f>
        <v>0</v>
      </c>
    </row>
    <row r="18" customFormat="false" ht="15" hidden="false" customHeight="false" outlineLevel="0" collapsed="false">
      <c r="A18" s="2" t="s">
        <v>110</v>
      </c>
      <c r="B18" s="2" t="s">
        <v>111</v>
      </c>
      <c r="C18" s="2" t="s">
        <v>34</v>
      </c>
      <c r="D18" s="2" t="s">
        <v>81</v>
      </c>
      <c r="E18" s="2"/>
      <c r="F18" s="2"/>
      <c r="G18" s="7" t="n">
        <f aca="false">COUNTIF(Audits!$D:$D,A18)</f>
        <v>0</v>
      </c>
      <c r="H18" s="7" t="str">
        <f aca="false">IFERROR(ROUND(AVERAGEIF(Audits!$D:$D,A18,Audits!$T:$T),1),"")</f>
        <v/>
      </c>
      <c r="I18" s="7" t="n">
        <f aca="false">COUNTIFS(Audits!$D:$D,A18,Audits!$T:$T,"&lt;70")</f>
        <v>0</v>
      </c>
      <c r="J18" s="7" t="n">
        <f aca="false">COUNTIFS(Audits!$D:$D,A18,Audits!$O:$O,TRUE())</f>
        <v>0</v>
      </c>
    </row>
    <row r="19" customFormat="false" ht="15" hidden="false" customHeight="false" outlineLevel="0" collapsed="false">
      <c r="A19" s="2" t="s">
        <v>112</v>
      </c>
      <c r="B19" s="2" t="s">
        <v>113</v>
      </c>
      <c r="C19" s="2" t="s">
        <v>34</v>
      </c>
      <c r="D19" s="2" t="s">
        <v>81</v>
      </c>
      <c r="E19" s="2"/>
      <c r="F19" s="2"/>
      <c r="G19" s="7" t="n">
        <f aca="false">COUNTIF(Audits!$D:$D,A19)</f>
        <v>0</v>
      </c>
      <c r="H19" s="7" t="str">
        <f aca="false">IFERROR(ROUND(AVERAGEIF(Audits!$D:$D,A19,Audits!$T:$T),1),"")</f>
        <v/>
      </c>
      <c r="I19" s="7" t="n">
        <f aca="false">COUNTIFS(Audits!$D:$D,A19,Audits!$T:$T,"&lt;70")</f>
        <v>0</v>
      </c>
      <c r="J19" s="7" t="n">
        <f aca="false">COUNTIFS(Audits!$D:$D,A19,Audits!$O:$O,TRUE())</f>
        <v>0</v>
      </c>
    </row>
    <row r="20" customFormat="false" ht="15" hidden="false" customHeight="false" outlineLevel="0" collapsed="false">
      <c r="A20" s="2" t="s">
        <v>114</v>
      </c>
      <c r="B20" s="2" t="s">
        <v>115</v>
      </c>
      <c r="C20" s="2" t="s">
        <v>34</v>
      </c>
      <c r="D20" s="2" t="s">
        <v>81</v>
      </c>
      <c r="E20" s="2"/>
      <c r="F20" s="2"/>
      <c r="G20" s="7" t="n">
        <f aca="false">COUNTIF(Audits!$D:$D,A20)</f>
        <v>0</v>
      </c>
      <c r="H20" s="7" t="str">
        <f aca="false">IFERROR(ROUND(AVERAGEIF(Audits!$D:$D,A20,Audits!$T:$T),1),"")</f>
        <v/>
      </c>
      <c r="I20" s="7" t="n">
        <f aca="false">COUNTIFS(Audits!$D:$D,A20,Audits!$T:$T,"&lt;70")</f>
        <v>0</v>
      </c>
      <c r="J20" s="7" t="n">
        <f aca="false">COUNTIFS(Audits!$D:$D,A20,Audits!$O:$O,TRUE())</f>
        <v>0</v>
      </c>
    </row>
    <row r="21" customFormat="false" ht="15" hidden="false" customHeight="false" outlineLevel="0" collapsed="false">
      <c r="A21" s="2" t="s">
        <v>116</v>
      </c>
      <c r="B21" s="2" t="s">
        <v>117</v>
      </c>
      <c r="C21" s="2" t="s">
        <v>34</v>
      </c>
      <c r="D21" s="2" t="s">
        <v>81</v>
      </c>
      <c r="E21" s="2"/>
      <c r="F21" s="2"/>
      <c r="G21" s="7" t="n">
        <f aca="false">COUNTIF(Audits!$D:$D,A21)</f>
        <v>0</v>
      </c>
      <c r="H21" s="7" t="str">
        <f aca="false">IFERROR(ROUND(AVERAGEIF(Audits!$D:$D,A21,Audits!$T:$T),1),"")</f>
        <v/>
      </c>
      <c r="I21" s="7" t="n">
        <f aca="false">COUNTIFS(Audits!$D:$D,A21,Audits!$T:$T,"&lt;70")</f>
        <v>0</v>
      </c>
      <c r="J21" s="7" t="n">
        <f aca="false">COUNTIFS(Audits!$D:$D,A21,Audits!$O:$O,TRUE())</f>
        <v>0</v>
      </c>
    </row>
    <row r="22" customFormat="false" ht="15" hidden="false" customHeight="false" outlineLevel="0" collapsed="false">
      <c r="A22" s="2" t="s">
        <v>118</v>
      </c>
      <c r="B22" s="2" t="s">
        <v>119</v>
      </c>
      <c r="C22" s="2" t="s">
        <v>34</v>
      </c>
      <c r="D22" s="2" t="s">
        <v>81</v>
      </c>
      <c r="E22" s="2"/>
      <c r="F22" s="2"/>
      <c r="G22" s="7" t="n">
        <f aca="false">COUNTIF(Audits!$D:$D,A22)</f>
        <v>0</v>
      </c>
      <c r="H22" s="7" t="str">
        <f aca="false">IFERROR(ROUND(AVERAGEIF(Audits!$D:$D,A22,Audits!$T:$T),1),"")</f>
        <v/>
      </c>
      <c r="I22" s="7" t="n">
        <f aca="false">COUNTIFS(Audits!$D:$D,A22,Audits!$T:$T,"&lt;70")</f>
        <v>0</v>
      </c>
      <c r="J22" s="7" t="n">
        <f aca="false">COUNTIFS(Audits!$D:$D,A22,Audits!$O:$O,TRUE())</f>
        <v>0</v>
      </c>
    </row>
    <row r="23" customFormat="false" ht="15" hidden="false" customHeight="false" outlineLevel="0" collapsed="false">
      <c r="A23" s="2" t="s">
        <v>120</v>
      </c>
      <c r="B23" s="2" t="s">
        <v>121</v>
      </c>
      <c r="C23" s="2" t="s">
        <v>34</v>
      </c>
      <c r="D23" s="2" t="s">
        <v>81</v>
      </c>
      <c r="E23" s="2"/>
      <c r="F23" s="2"/>
      <c r="G23" s="7" t="n">
        <f aca="false">COUNTIF(Audits!$D:$D,A23)</f>
        <v>0</v>
      </c>
      <c r="H23" s="7" t="str">
        <f aca="false">IFERROR(ROUND(AVERAGEIF(Audits!$D:$D,A23,Audits!$T:$T),1),"")</f>
        <v/>
      </c>
      <c r="I23" s="7" t="n">
        <f aca="false">COUNTIFS(Audits!$D:$D,A23,Audits!$T:$T,"&lt;70")</f>
        <v>0</v>
      </c>
      <c r="J23" s="7" t="n">
        <f aca="false">COUNTIFS(Audits!$D:$D,A23,Audits!$O:$O,TRUE())</f>
        <v>0</v>
      </c>
    </row>
    <row r="24" customFormat="false" ht="15" hidden="false" customHeight="false" outlineLevel="0" collapsed="false">
      <c r="A24" s="2" t="s">
        <v>122</v>
      </c>
      <c r="B24" s="2" t="s">
        <v>123</v>
      </c>
      <c r="C24" s="2" t="s">
        <v>124</v>
      </c>
      <c r="D24" s="2" t="s">
        <v>125</v>
      </c>
      <c r="E24" s="2"/>
      <c r="F24" s="2"/>
      <c r="G24" s="7" t="n">
        <f aca="false">COUNTIF(Audits!$D:$D,A24)</f>
        <v>0</v>
      </c>
      <c r="H24" s="7" t="str">
        <f aca="false">IFERROR(ROUND(AVERAGEIF(Audits!$D:$D,A24,Audits!$T:$T),1),"")</f>
        <v/>
      </c>
      <c r="I24" s="7" t="n">
        <f aca="false">COUNTIFS(Audits!$D:$D,A24,Audits!$T:$T,"&lt;70")</f>
        <v>0</v>
      </c>
      <c r="J24" s="7" t="n">
        <f aca="false">COUNTIFS(Audits!$D:$D,A24,Audits!$O:$O,TRUE())</f>
        <v>0</v>
      </c>
    </row>
    <row r="25" customFormat="false" ht="15" hidden="false" customHeight="false" outlineLevel="0" collapsed="false">
      <c r="A25" s="2" t="s">
        <v>126</v>
      </c>
      <c r="B25" s="2" t="s">
        <v>127</v>
      </c>
      <c r="C25" s="2" t="s">
        <v>124</v>
      </c>
      <c r="D25" s="2" t="s">
        <v>125</v>
      </c>
      <c r="E25" s="2"/>
      <c r="F25" s="2"/>
      <c r="G25" s="7" t="n">
        <f aca="false">COUNTIF(Audits!$D:$D,A25)</f>
        <v>0</v>
      </c>
      <c r="H25" s="7" t="str">
        <f aca="false">IFERROR(ROUND(AVERAGEIF(Audits!$D:$D,A25,Audits!$T:$T),1),"")</f>
        <v/>
      </c>
      <c r="I25" s="7" t="n">
        <f aca="false">COUNTIFS(Audits!$D:$D,A25,Audits!$T:$T,"&lt;70")</f>
        <v>0</v>
      </c>
      <c r="J25" s="7" t="n">
        <f aca="false">COUNTIFS(Audits!$D:$D,A25,Audits!$O:$O,TRUE())</f>
        <v>0</v>
      </c>
    </row>
    <row r="26" customFormat="false" ht="15" hidden="false" customHeight="false" outlineLevel="0" collapsed="false">
      <c r="A26" s="2" t="s">
        <v>128</v>
      </c>
      <c r="B26" s="2" t="s">
        <v>129</v>
      </c>
      <c r="C26" s="2" t="s">
        <v>124</v>
      </c>
      <c r="D26" s="2" t="s">
        <v>125</v>
      </c>
      <c r="E26" s="2"/>
      <c r="F26" s="2"/>
      <c r="G26" s="7" t="n">
        <f aca="false">COUNTIF(Audits!$D:$D,A26)</f>
        <v>0</v>
      </c>
      <c r="H26" s="7" t="str">
        <f aca="false">IFERROR(ROUND(AVERAGEIF(Audits!$D:$D,A26,Audits!$T:$T),1),"")</f>
        <v/>
      </c>
      <c r="I26" s="7" t="n">
        <f aca="false">COUNTIFS(Audits!$D:$D,A26,Audits!$T:$T,"&lt;70")</f>
        <v>0</v>
      </c>
      <c r="J26" s="7" t="n">
        <f aca="false">COUNTIFS(Audits!$D:$D,A26,Audits!$O:$O,TRUE())</f>
        <v>0</v>
      </c>
    </row>
    <row r="27" customFormat="false" ht="15" hidden="false" customHeight="false" outlineLevel="0" collapsed="false">
      <c r="A27" s="2" t="s">
        <v>130</v>
      </c>
      <c r="B27" s="2" t="s">
        <v>131</v>
      </c>
      <c r="C27" s="2" t="s">
        <v>124</v>
      </c>
      <c r="D27" s="2" t="s">
        <v>125</v>
      </c>
      <c r="E27" s="2"/>
      <c r="F27" s="2"/>
      <c r="G27" s="7" t="n">
        <f aca="false">COUNTIF(Audits!$D:$D,A27)</f>
        <v>0</v>
      </c>
      <c r="H27" s="7" t="str">
        <f aca="false">IFERROR(ROUND(AVERAGEIF(Audits!$D:$D,A27,Audits!$T:$T),1),"")</f>
        <v/>
      </c>
      <c r="I27" s="7" t="n">
        <f aca="false">COUNTIFS(Audits!$D:$D,A27,Audits!$T:$T,"&lt;70")</f>
        <v>0</v>
      </c>
      <c r="J27" s="7" t="n">
        <f aca="false">COUNTIFS(Audits!$D:$D,A27,Audits!$O:$O,TRUE())</f>
        <v>0</v>
      </c>
    </row>
    <row r="28" customFormat="false" ht="15" hidden="false" customHeight="false" outlineLevel="0" collapsed="false">
      <c r="A28" s="2" t="s">
        <v>132</v>
      </c>
      <c r="B28" s="2" t="s">
        <v>133</v>
      </c>
      <c r="C28" s="2" t="s">
        <v>124</v>
      </c>
      <c r="D28" s="2" t="s">
        <v>125</v>
      </c>
      <c r="E28" s="2"/>
      <c r="F28" s="2"/>
      <c r="G28" s="7" t="n">
        <f aca="false">COUNTIF(Audits!$D:$D,A28)</f>
        <v>0</v>
      </c>
      <c r="H28" s="7" t="str">
        <f aca="false">IFERROR(ROUND(AVERAGEIF(Audits!$D:$D,A28,Audits!$T:$T),1),"")</f>
        <v/>
      </c>
      <c r="I28" s="7" t="n">
        <f aca="false">COUNTIFS(Audits!$D:$D,A28,Audits!$T:$T,"&lt;70")</f>
        <v>0</v>
      </c>
      <c r="J28" s="7" t="n">
        <f aca="false">COUNTIFS(Audits!$D:$D,A28,Audits!$O:$O,TRUE())</f>
        <v>0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124</v>
      </c>
      <c r="D29" s="2" t="s">
        <v>125</v>
      </c>
      <c r="E29" s="2"/>
      <c r="F29" s="2"/>
      <c r="G29" s="7" t="n">
        <f aca="false">COUNTIF(Audits!$D:$D,A29)</f>
        <v>0</v>
      </c>
      <c r="H29" s="7" t="str">
        <f aca="false">IFERROR(ROUND(AVERAGEIF(Audits!$D:$D,A29,Audits!$T:$T),1),"")</f>
        <v/>
      </c>
      <c r="I29" s="7" t="n">
        <f aca="false">COUNTIFS(Audits!$D:$D,A29,Audits!$T:$T,"&lt;70")</f>
        <v>0</v>
      </c>
      <c r="J29" s="7" t="n">
        <f aca="false">COUNTIFS(Audits!$D:$D,A29,Audits!$O:$O,TRUE())</f>
        <v>0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124</v>
      </c>
      <c r="D30" s="2" t="s">
        <v>125</v>
      </c>
      <c r="E30" s="2"/>
      <c r="F30" s="2"/>
      <c r="G30" s="7" t="n">
        <f aca="false">COUNTIF(Audits!$D:$D,A30)</f>
        <v>0</v>
      </c>
      <c r="H30" s="7" t="str">
        <f aca="false">IFERROR(ROUND(AVERAGEIF(Audits!$D:$D,A30,Audits!$T:$T),1),"")</f>
        <v/>
      </c>
      <c r="I30" s="7" t="n">
        <f aca="false">COUNTIFS(Audits!$D:$D,A30,Audits!$T:$T,"&lt;70")</f>
        <v>0</v>
      </c>
      <c r="J30" s="7" t="n">
        <f aca="false">COUNTIFS(Audits!$D:$D,A30,Audits!$O:$O,TRUE())</f>
        <v>0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124</v>
      </c>
      <c r="D31" s="2" t="s">
        <v>125</v>
      </c>
      <c r="E31" s="2"/>
      <c r="F31" s="2"/>
      <c r="G31" s="7" t="n">
        <f aca="false">COUNTIF(Audits!$D:$D,A31)</f>
        <v>0</v>
      </c>
      <c r="H31" s="7" t="str">
        <f aca="false">IFERROR(ROUND(AVERAGEIF(Audits!$D:$D,A31,Audits!$T:$T),1),"")</f>
        <v/>
      </c>
      <c r="I31" s="7" t="n">
        <f aca="false">COUNTIFS(Audits!$D:$D,A31,Audits!$T:$T,"&lt;70")</f>
        <v>0</v>
      </c>
      <c r="J31" s="7" t="n">
        <f aca="false">COUNTIFS(Audits!$D:$D,A31,Audits!$O:$O,TRUE())</f>
        <v>0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124</v>
      </c>
      <c r="D32" s="2" t="s">
        <v>125</v>
      </c>
      <c r="E32" s="2"/>
      <c r="F32" s="2"/>
      <c r="G32" s="7" t="n">
        <f aca="false">COUNTIF(Audits!$D:$D,A32)</f>
        <v>0</v>
      </c>
      <c r="H32" s="7" t="str">
        <f aca="false">IFERROR(ROUND(AVERAGEIF(Audits!$D:$D,A32,Audits!$T:$T),1),"")</f>
        <v/>
      </c>
      <c r="I32" s="7" t="n">
        <f aca="false">COUNTIFS(Audits!$D:$D,A32,Audits!$T:$T,"&lt;70")</f>
        <v>0</v>
      </c>
      <c r="J32" s="7" t="n">
        <f aca="false">COUNTIFS(Audits!$D:$D,A32,Audits!$O:$O,TRUE())</f>
        <v>0</v>
      </c>
    </row>
    <row r="33" customFormat="false" ht="15" hidden="false" customHeight="false" outlineLevel="0" collapsed="false">
      <c r="A33" s="2" t="s">
        <v>142</v>
      </c>
      <c r="B33" s="2" t="s">
        <v>143</v>
      </c>
      <c r="C33" s="2" t="s">
        <v>124</v>
      </c>
      <c r="D33" s="2" t="s">
        <v>125</v>
      </c>
      <c r="E33" s="2"/>
      <c r="F33" s="2"/>
      <c r="G33" s="7" t="n">
        <f aca="false">COUNTIF(Audits!$D:$D,A33)</f>
        <v>0</v>
      </c>
      <c r="H33" s="7" t="str">
        <f aca="false">IFERROR(ROUND(AVERAGEIF(Audits!$D:$D,A33,Audits!$T:$T),1),"")</f>
        <v/>
      </c>
      <c r="I33" s="7" t="n">
        <f aca="false">COUNTIFS(Audits!$D:$D,A33,Audits!$T:$T,"&lt;70")</f>
        <v>0</v>
      </c>
      <c r="J33" s="7" t="n">
        <f aca="false">COUNTIFS(Audits!$D:$D,A33,Audits!$O:$O,TRUE())</f>
        <v>0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s">
        <v>147</v>
      </c>
      <c r="E34" s="2"/>
      <c r="F34" s="2"/>
      <c r="G34" s="7" t="n">
        <f aca="false">COUNTIF(Audits!$D:$D,A34)</f>
        <v>0</v>
      </c>
      <c r="H34" s="7" t="str">
        <f aca="false">IFERROR(ROUND(AVERAGEIF(Audits!$D:$D,A34,Audits!$T:$T),1),"")</f>
        <v/>
      </c>
      <c r="I34" s="7" t="n">
        <f aca="false">COUNTIFS(Audits!$D:$D,A34,Audits!$T:$T,"&lt;70")</f>
        <v>0</v>
      </c>
      <c r="J34" s="7" t="n">
        <f aca="false">COUNTIFS(Audits!$D:$D,A34,Audits!$O:$O,TRUE())</f>
        <v>0</v>
      </c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146</v>
      </c>
      <c r="D35" s="2" t="s">
        <v>147</v>
      </c>
      <c r="E35" s="2"/>
      <c r="F35" s="2"/>
      <c r="G35" s="7" t="n">
        <f aca="false">COUNTIF(Audits!$D:$D,A35)</f>
        <v>0</v>
      </c>
      <c r="H35" s="7" t="str">
        <f aca="false">IFERROR(ROUND(AVERAGEIF(Audits!$D:$D,A35,Audits!$T:$T),1),"")</f>
        <v/>
      </c>
      <c r="I35" s="7" t="n">
        <f aca="false">COUNTIFS(Audits!$D:$D,A35,Audits!$T:$T,"&lt;70")</f>
        <v>0</v>
      </c>
      <c r="J35" s="7" t="n">
        <f aca="false">COUNTIFS(Audits!$D:$D,A35,Audits!$O:$O,TRUE())</f>
        <v>0</v>
      </c>
    </row>
    <row r="36" customFormat="false" ht="15" hidden="false" customHeight="false" outlineLevel="0" collapsed="false">
      <c r="A36" s="2" t="s">
        <v>150</v>
      </c>
      <c r="B36" s="2" t="s">
        <v>151</v>
      </c>
      <c r="C36" s="2" t="s">
        <v>146</v>
      </c>
      <c r="D36" s="2" t="s">
        <v>147</v>
      </c>
      <c r="E36" s="2"/>
      <c r="F36" s="2"/>
      <c r="G36" s="7" t="n">
        <f aca="false">COUNTIF(Audits!$D:$D,A36)</f>
        <v>0</v>
      </c>
      <c r="H36" s="7" t="str">
        <f aca="false">IFERROR(ROUND(AVERAGEIF(Audits!$D:$D,A36,Audits!$T:$T),1),"")</f>
        <v/>
      </c>
      <c r="I36" s="7" t="n">
        <f aca="false">COUNTIFS(Audits!$D:$D,A36,Audits!$T:$T,"&lt;70")</f>
        <v>0</v>
      </c>
      <c r="J36" s="7" t="n">
        <f aca="false">COUNTIFS(Audits!$D:$D,A36,Audits!$O:$O,TRUE())</f>
        <v>0</v>
      </c>
    </row>
    <row r="37" customFormat="false" ht="15" hidden="false" customHeight="false" outlineLevel="0" collapsed="false">
      <c r="A37" s="2" t="s">
        <v>152</v>
      </c>
      <c r="B37" s="2" t="s">
        <v>153</v>
      </c>
      <c r="C37" s="2" t="s">
        <v>146</v>
      </c>
      <c r="D37" s="2" t="s">
        <v>147</v>
      </c>
      <c r="E37" s="2"/>
      <c r="F37" s="2"/>
      <c r="G37" s="7" t="n">
        <f aca="false">COUNTIF(Audits!$D:$D,A37)</f>
        <v>0</v>
      </c>
      <c r="H37" s="7" t="str">
        <f aca="false">IFERROR(ROUND(AVERAGEIF(Audits!$D:$D,A37,Audits!$T:$T),1),"")</f>
        <v/>
      </c>
      <c r="I37" s="7" t="n">
        <f aca="false">COUNTIFS(Audits!$D:$D,A37,Audits!$T:$T,"&lt;70")</f>
        <v>0</v>
      </c>
      <c r="J37" s="7" t="n">
        <f aca="false">COUNTIFS(Audits!$D:$D,A37,Audits!$O:$O,TRUE())</f>
        <v>0</v>
      </c>
    </row>
    <row r="38" customFormat="false" ht="15" hidden="false" customHeight="false" outlineLevel="0" collapsed="false">
      <c r="A38" s="2" t="s">
        <v>154</v>
      </c>
      <c r="B38" s="2" t="s">
        <v>155</v>
      </c>
      <c r="C38" s="2" t="s">
        <v>146</v>
      </c>
      <c r="D38" s="2" t="s">
        <v>147</v>
      </c>
      <c r="E38" s="2"/>
      <c r="F38" s="2"/>
      <c r="G38" s="7" t="n">
        <f aca="false">COUNTIF(Audits!$D:$D,A38)</f>
        <v>0</v>
      </c>
      <c r="H38" s="7" t="str">
        <f aca="false">IFERROR(ROUND(AVERAGEIF(Audits!$D:$D,A38,Audits!$T:$T),1),"")</f>
        <v/>
      </c>
      <c r="I38" s="7" t="n">
        <f aca="false">COUNTIFS(Audits!$D:$D,A38,Audits!$T:$T,"&lt;70")</f>
        <v>0</v>
      </c>
      <c r="J38" s="7" t="n">
        <f aca="false">COUNTIFS(Audits!$D:$D,A38,Audits!$O:$O,TRUE())</f>
        <v>0</v>
      </c>
    </row>
    <row r="39" customFormat="false" ht="15" hidden="false" customHeight="false" outlineLevel="0" collapsed="false">
      <c r="A39" s="2" t="s">
        <v>156</v>
      </c>
      <c r="B39" s="2" t="s">
        <v>157</v>
      </c>
      <c r="C39" s="2" t="s">
        <v>146</v>
      </c>
      <c r="D39" s="2" t="s">
        <v>147</v>
      </c>
      <c r="E39" s="2"/>
      <c r="F39" s="2"/>
      <c r="G39" s="7" t="n">
        <f aca="false">COUNTIF(Audits!$D:$D,A39)</f>
        <v>0</v>
      </c>
      <c r="H39" s="7" t="str">
        <f aca="false">IFERROR(ROUND(AVERAGEIF(Audits!$D:$D,A39,Audits!$T:$T),1),"")</f>
        <v/>
      </c>
      <c r="I39" s="7" t="n">
        <f aca="false">COUNTIFS(Audits!$D:$D,A39,Audits!$T:$T,"&lt;70")</f>
        <v>0</v>
      </c>
      <c r="J39" s="7" t="n">
        <f aca="false">COUNTIFS(Audits!$D:$D,A39,Audits!$O:$O,TRUE())</f>
        <v>0</v>
      </c>
    </row>
    <row r="40" customFormat="false" ht="15" hidden="false" customHeight="false" outlineLevel="0" collapsed="false">
      <c r="A40" s="2" t="s">
        <v>158</v>
      </c>
      <c r="B40" s="2" t="s">
        <v>159</v>
      </c>
      <c r="C40" s="2" t="s">
        <v>146</v>
      </c>
      <c r="D40" s="2" t="s">
        <v>147</v>
      </c>
      <c r="E40" s="2"/>
      <c r="F40" s="2"/>
      <c r="G40" s="7" t="n">
        <f aca="false">COUNTIF(Audits!$D:$D,A40)</f>
        <v>0</v>
      </c>
      <c r="H40" s="7" t="str">
        <f aca="false">IFERROR(ROUND(AVERAGEIF(Audits!$D:$D,A40,Audits!$T:$T),1),"")</f>
        <v/>
      </c>
      <c r="I40" s="7" t="n">
        <f aca="false">COUNTIFS(Audits!$D:$D,A40,Audits!$T:$T,"&lt;70")</f>
        <v>0</v>
      </c>
      <c r="J40" s="7" t="n">
        <f aca="false">COUNTIFS(Audits!$D:$D,A40,Audits!$O:$O,TRUE())</f>
        <v>0</v>
      </c>
    </row>
    <row r="41" customFormat="false" ht="15" hidden="false" customHeight="false" outlineLevel="0" collapsed="false">
      <c r="A41" s="2" t="s">
        <v>160</v>
      </c>
      <c r="B41" s="2" t="s">
        <v>161</v>
      </c>
      <c r="C41" s="2" t="s">
        <v>146</v>
      </c>
      <c r="D41" s="2" t="s">
        <v>147</v>
      </c>
      <c r="E41" s="2"/>
      <c r="F41" s="2"/>
      <c r="G41" s="7" t="n">
        <f aca="false">COUNTIF(Audits!$D:$D,A41)</f>
        <v>0</v>
      </c>
      <c r="H41" s="7" t="str">
        <f aca="false">IFERROR(ROUND(AVERAGEIF(Audits!$D:$D,A41,Audits!$T:$T),1),"")</f>
        <v/>
      </c>
      <c r="I41" s="7" t="n">
        <f aca="false">COUNTIFS(Audits!$D:$D,A41,Audits!$T:$T,"&lt;70")</f>
        <v>0</v>
      </c>
      <c r="J41" s="7" t="n">
        <f aca="false">COUNTIFS(Audits!$D:$D,A41,Audits!$O:$O,TRUE())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2026-10-19T18:45:26Z</dcterms:created>
  <dc:creator>openpyxl</dc:creator>
  <dc:description/>
  <dc:language>en-US</dc:language>
  <cp:lastModifiedBy/>
  <dcterms:modified xsi:type="dcterms:W3CDTF">2026-10-19T18:45:26Z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